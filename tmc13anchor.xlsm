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E:\mc\11jiaoben-cerefanchor\"/>
    </mc:Choice>
  </mc:AlternateContent>
  <bookViews>
    <workbookView xWindow="-105" yWindow="-105" windowWidth="23250" windowHeight="12570" firstSheet="5" activeTab="6"/>
  </bookViews>
  <sheets>
    <sheet name="Summary" sheetId="1" r:id="rId1"/>
    <sheet name="Graphs" sheetId="2" r:id="rId2"/>
    <sheet name="C1 losslG,lossyA,intra" sheetId="3" r:id="rId3"/>
    <sheet name="names" sheetId="4" state="hidden" r:id="rId4"/>
    <sheet name="C2 lossyG,lossyA,intra" sheetId="5" r:id="rId5"/>
    <sheet name="CW losslG,losslA,intra" sheetId="6" r:id="rId6"/>
    <sheet name="CY losslG,nearllA,int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workbook>
</file>

<file path=xl/calcChain.xml><?xml version="1.0" encoding="utf-8"?>
<calcChain xmlns="http://schemas.openxmlformats.org/spreadsheetml/2006/main">
  <c r="AY292" i="7" l="1"/>
  <c r="AY293" i="7" s="1"/>
  <c r="AX292" i="7"/>
  <c r="AX293" i="7" s="1"/>
  <c r="AC292" i="7"/>
  <c r="AB292" i="7"/>
  <c r="AY290" i="7"/>
  <c r="AY291" i="7" s="1"/>
  <c r="AX290" i="7"/>
  <c r="AX291" i="7" s="1"/>
  <c r="AC290" i="7"/>
  <c r="AB290" i="7"/>
  <c r="BA284" i="7"/>
  <c r="AJ284" i="7"/>
  <c r="AI284" i="7"/>
  <c r="AG284" i="7"/>
  <c r="AF284" i="7"/>
  <c r="AE284" i="7"/>
  <c r="N284" i="7"/>
  <c r="M284" i="7"/>
  <c r="K284" i="7"/>
  <c r="J284" i="7"/>
  <c r="I284" i="7"/>
  <c r="BA283" i="7"/>
  <c r="AJ283" i="7"/>
  <c r="AI283" i="7"/>
  <c r="AG283" i="7"/>
  <c r="AF283" i="7"/>
  <c r="AE283" i="7"/>
  <c r="N283" i="7"/>
  <c r="M283" i="7"/>
  <c r="K283" i="7"/>
  <c r="J283" i="7"/>
  <c r="I283" i="7"/>
  <c r="BA282" i="7"/>
  <c r="AJ282" i="7"/>
  <c r="AI282" i="7"/>
  <c r="AG282" i="7"/>
  <c r="AF282" i="7"/>
  <c r="AE282" i="7"/>
  <c r="N282" i="7"/>
  <c r="M282" i="7"/>
  <c r="K282" i="7"/>
  <c r="J282" i="7"/>
  <c r="I282" i="7"/>
  <c r="BA281" i="7"/>
  <c r="AJ281" i="7"/>
  <c r="AI281" i="7"/>
  <c r="AG281" i="7"/>
  <c r="AF281" i="7"/>
  <c r="AE281" i="7"/>
  <c r="N281" i="7"/>
  <c r="M281" i="7"/>
  <c r="K281" i="7"/>
  <c r="J281" i="7"/>
  <c r="I281" i="7"/>
  <c r="BB280" i="7" a="1"/>
  <c r="BB280" i="7" s="1"/>
  <c r="BA280" i="7"/>
  <c r="AJ280" i="7"/>
  <c r="AI280" i="7"/>
  <c r="AG280" i="7"/>
  <c r="AF280" i="7"/>
  <c r="AE280" i="7"/>
  <c r="N280" i="7"/>
  <c r="M280" i="7"/>
  <c r="K280" i="7"/>
  <c r="J280" i="7"/>
  <c r="I280" i="7"/>
  <c r="BA279" i="7"/>
  <c r="AJ279" i="7"/>
  <c r="AI279" i="7"/>
  <c r="AG279" i="7"/>
  <c r="AF279" i="7"/>
  <c r="AE279" i="7"/>
  <c r="N279" i="7"/>
  <c r="M279" i="7"/>
  <c r="K279" i="7"/>
  <c r="J279" i="7"/>
  <c r="I279" i="7"/>
  <c r="BA278" i="7"/>
  <c r="AJ278" i="7"/>
  <c r="AI278" i="7"/>
  <c r="AG278" i="7"/>
  <c r="AF278" i="7"/>
  <c r="AE278" i="7"/>
  <c r="N278" i="7"/>
  <c r="M278" i="7"/>
  <c r="K278" i="7"/>
  <c r="J278" i="7"/>
  <c r="I278" i="7"/>
  <c r="BA277" i="7"/>
  <c r="AJ277" i="7"/>
  <c r="AI277" i="7"/>
  <c r="AG277" i="7"/>
  <c r="AF277" i="7"/>
  <c r="AE277" i="7"/>
  <c r="N277" i="7"/>
  <c r="M277" i="7"/>
  <c r="K277" i="7"/>
  <c r="J277" i="7"/>
  <c r="I277" i="7"/>
  <c r="BA276" i="7"/>
  <c r="AJ276" i="7"/>
  <c r="AI276" i="7"/>
  <c r="AG276" i="7"/>
  <c r="AF276" i="7"/>
  <c r="AE276" i="7"/>
  <c r="N276" i="7"/>
  <c r="M276" i="7"/>
  <c r="K276" i="7"/>
  <c r="J276" i="7"/>
  <c r="I276" i="7"/>
  <c r="BB275" i="7" a="1"/>
  <c r="BB275" i="7" s="1"/>
  <c r="BA275" i="7"/>
  <c r="AJ275" i="7"/>
  <c r="AI275" i="7"/>
  <c r="AG275" i="7"/>
  <c r="AF275" i="7"/>
  <c r="AE275" i="7"/>
  <c r="N275" i="7"/>
  <c r="M275" i="7"/>
  <c r="K275" i="7"/>
  <c r="J275" i="7"/>
  <c r="I275" i="7"/>
  <c r="BA274" i="7"/>
  <c r="AJ274" i="7"/>
  <c r="AI274" i="7"/>
  <c r="AG274" i="7"/>
  <c r="AF274" i="7"/>
  <c r="AE274" i="7"/>
  <c r="N274" i="7"/>
  <c r="M274" i="7"/>
  <c r="K274" i="7"/>
  <c r="J274" i="7"/>
  <c r="I274" i="7"/>
  <c r="BA273" i="7"/>
  <c r="AJ273" i="7"/>
  <c r="AI273" i="7"/>
  <c r="AG273" i="7"/>
  <c r="AF273" i="7"/>
  <c r="AE273" i="7"/>
  <c r="N273" i="7"/>
  <c r="M273" i="7"/>
  <c r="K273" i="7"/>
  <c r="J273" i="7"/>
  <c r="I273" i="7"/>
  <c r="BA272" i="7"/>
  <c r="AJ272" i="7"/>
  <c r="AI272" i="7"/>
  <c r="AG272" i="7"/>
  <c r="AF272" i="7"/>
  <c r="AE272" i="7"/>
  <c r="N272" i="7"/>
  <c r="M272" i="7"/>
  <c r="K272" i="7"/>
  <c r="J272" i="7"/>
  <c r="I272" i="7"/>
  <c r="BA271" i="7"/>
  <c r="AJ271" i="7"/>
  <c r="AI271" i="7"/>
  <c r="AG271" i="7"/>
  <c r="AF271" i="7"/>
  <c r="AE271" i="7"/>
  <c r="N271" i="7"/>
  <c r="M271" i="7"/>
  <c r="K271" i="7"/>
  <c r="J271" i="7"/>
  <c r="I271" i="7"/>
  <c r="BB270" i="7" a="1"/>
  <c r="BB270" i="7" s="1"/>
  <c r="BA270" i="7"/>
  <c r="AJ270" i="7"/>
  <c r="AI270" i="7"/>
  <c r="AG270" i="7"/>
  <c r="AF270" i="7"/>
  <c r="AE270" i="7"/>
  <c r="N270" i="7"/>
  <c r="M270" i="7"/>
  <c r="K270" i="7"/>
  <c r="J270" i="7"/>
  <c r="I270" i="7"/>
  <c r="BA269" i="7"/>
  <c r="AJ269" i="7"/>
  <c r="AI269" i="7"/>
  <c r="AG269" i="7"/>
  <c r="AF269" i="7"/>
  <c r="AE269" i="7"/>
  <c r="N269" i="7"/>
  <c r="M269" i="7"/>
  <c r="K269" i="7"/>
  <c r="J269" i="7"/>
  <c r="I269" i="7"/>
  <c r="BA268" i="7"/>
  <c r="AJ268" i="7"/>
  <c r="AI268" i="7"/>
  <c r="AG268" i="7"/>
  <c r="AF268" i="7"/>
  <c r="AE268" i="7"/>
  <c r="N268" i="7"/>
  <c r="M268" i="7"/>
  <c r="K268" i="7"/>
  <c r="J268" i="7"/>
  <c r="I268" i="7"/>
  <c r="BA267" i="7"/>
  <c r="AJ267" i="7"/>
  <c r="AI267" i="7"/>
  <c r="AG267" i="7"/>
  <c r="AF267" i="7"/>
  <c r="AE267" i="7"/>
  <c r="N267" i="7"/>
  <c r="M267" i="7"/>
  <c r="K267" i="7"/>
  <c r="J267" i="7"/>
  <c r="I267" i="7"/>
  <c r="BA266" i="7"/>
  <c r="AJ266" i="7"/>
  <c r="AI266" i="7"/>
  <c r="AG266" i="7"/>
  <c r="AF266" i="7"/>
  <c r="AE266" i="7"/>
  <c r="N266" i="7"/>
  <c r="M266" i="7"/>
  <c r="K266" i="7"/>
  <c r="J266" i="7"/>
  <c r="I266" i="7"/>
  <c r="BB265" i="7" a="1"/>
  <c r="BB265" i="7" s="1"/>
  <c r="BA265" i="7"/>
  <c r="AJ265" i="7"/>
  <c r="AI265" i="7"/>
  <c r="AG265" i="7"/>
  <c r="AF265" i="7"/>
  <c r="AE265" i="7"/>
  <c r="N265" i="7"/>
  <c r="M265" i="7"/>
  <c r="K265" i="7"/>
  <c r="J265" i="7"/>
  <c r="I265" i="7"/>
  <c r="BA264" i="7"/>
  <c r="AJ264" i="7"/>
  <c r="AI264" i="7"/>
  <c r="AG264" i="7"/>
  <c r="AF264" i="7"/>
  <c r="AE264" i="7"/>
  <c r="N264" i="7"/>
  <c r="M264" i="7"/>
  <c r="K264" i="7"/>
  <c r="J264" i="7"/>
  <c r="I264" i="7"/>
  <c r="BA263" i="7"/>
  <c r="AJ263" i="7"/>
  <c r="AI263" i="7"/>
  <c r="AG263" i="7"/>
  <c r="AF263" i="7"/>
  <c r="AE263" i="7"/>
  <c r="N263" i="7"/>
  <c r="M263" i="7"/>
  <c r="K263" i="7"/>
  <c r="J263" i="7"/>
  <c r="I263" i="7"/>
  <c r="BA262" i="7"/>
  <c r="AJ262" i="7"/>
  <c r="AI262" i="7"/>
  <c r="AG262" i="7"/>
  <c r="AF262" i="7"/>
  <c r="AE262" i="7"/>
  <c r="N262" i="7"/>
  <c r="M262" i="7"/>
  <c r="K262" i="7"/>
  <c r="J262" i="7"/>
  <c r="I262" i="7"/>
  <c r="BA261" i="7"/>
  <c r="AJ261" i="7"/>
  <c r="AI261" i="7"/>
  <c r="AG261" i="7"/>
  <c r="AF261" i="7"/>
  <c r="AE261" i="7"/>
  <c r="N261" i="7"/>
  <c r="M261" i="7"/>
  <c r="K261" i="7"/>
  <c r="J261" i="7"/>
  <c r="I261" i="7"/>
  <c r="BB260" i="7" a="1"/>
  <c r="BB260" i="7" s="1"/>
  <c r="BA260" i="7"/>
  <c r="AJ260" i="7"/>
  <c r="AI260" i="7"/>
  <c r="AG260" i="7"/>
  <c r="AF260" i="7"/>
  <c r="AE260" i="7"/>
  <c r="N260" i="7"/>
  <c r="M260" i="7"/>
  <c r="K260" i="7"/>
  <c r="J260" i="7"/>
  <c r="I260" i="7"/>
  <c r="BA259" i="7"/>
  <c r="AJ259" i="7"/>
  <c r="AI259" i="7"/>
  <c r="AG259" i="7"/>
  <c r="AF259" i="7"/>
  <c r="AE259" i="7"/>
  <c r="N259" i="7"/>
  <c r="M259" i="7"/>
  <c r="K259" i="7"/>
  <c r="J259" i="7"/>
  <c r="I259" i="7"/>
  <c r="BA258" i="7"/>
  <c r="AJ258" i="7"/>
  <c r="AI258" i="7"/>
  <c r="AG258" i="7"/>
  <c r="AF258" i="7"/>
  <c r="AE258" i="7"/>
  <c r="N258" i="7"/>
  <c r="M258" i="7"/>
  <c r="K258" i="7"/>
  <c r="J258" i="7"/>
  <c r="I258" i="7"/>
  <c r="BA257" i="7"/>
  <c r="AJ257" i="7"/>
  <c r="AI257" i="7"/>
  <c r="AG257" i="7"/>
  <c r="AF257" i="7"/>
  <c r="AE257" i="7"/>
  <c r="N257" i="7"/>
  <c r="M257" i="7"/>
  <c r="K257" i="7"/>
  <c r="J257" i="7"/>
  <c r="I257" i="7"/>
  <c r="BA256" i="7"/>
  <c r="AJ256" i="7"/>
  <c r="AI256" i="7"/>
  <c r="AG256" i="7"/>
  <c r="AF256" i="7"/>
  <c r="AE256" i="7"/>
  <c r="N256" i="7"/>
  <c r="M256" i="7"/>
  <c r="K256" i="7"/>
  <c r="J256" i="7"/>
  <c r="I256" i="7"/>
  <c r="BB255" i="7" a="1"/>
  <c r="BB255" i="7" s="1"/>
  <c r="BA255" i="7"/>
  <c r="AJ255" i="7"/>
  <c r="AI255" i="7"/>
  <c r="AG255" i="7"/>
  <c r="AF255" i="7"/>
  <c r="AE255" i="7"/>
  <c r="N255" i="7"/>
  <c r="M255" i="7"/>
  <c r="K255" i="7"/>
  <c r="J255" i="7"/>
  <c r="I255" i="7"/>
  <c r="BA254" i="7"/>
  <c r="AJ254" i="7"/>
  <c r="AI254" i="7"/>
  <c r="AG254" i="7"/>
  <c r="AF254" i="7"/>
  <c r="AE254" i="7"/>
  <c r="N254" i="7"/>
  <c r="M254" i="7"/>
  <c r="K254" i="7"/>
  <c r="J254" i="7"/>
  <c r="I254" i="7"/>
  <c r="BA253" i="7"/>
  <c r="AJ253" i="7"/>
  <c r="AI253" i="7"/>
  <c r="AG253" i="7"/>
  <c r="AF253" i="7"/>
  <c r="AE253" i="7"/>
  <c r="N253" i="7"/>
  <c r="M253" i="7"/>
  <c r="K253" i="7"/>
  <c r="J253" i="7"/>
  <c r="I253" i="7"/>
  <c r="BA252" i="7"/>
  <c r="AJ252" i="7"/>
  <c r="AI252" i="7"/>
  <c r="AG252" i="7"/>
  <c r="AF252" i="7"/>
  <c r="AE252" i="7"/>
  <c r="N252" i="7"/>
  <c r="M252" i="7"/>
  <c r="K252" i="7"/>
  <c r="J252" i="7"/>
  <c r="I252" i="7"/>
  <c r="BA251" i="7"/>
  <c r="AJ251" i="7"/>
  <c r="AI251" i="7"/>
  <c r="AG251" i="7"/>
  <c r="AF251" i="7"/>
  <c r="AE251" i="7"/>
  <c r="N251" i="7"/>
  <c r="M251" i="7"/>
  <c r="K251" i="7"/>
  <c r="J251" i="7"/>
  <c r="I251" i="7"/>
  <c r="BB250" i="7" a="1"/>
  <c r="BB250" i="7" s="1"/>
  <c r="BA250" i="7"/>
  <c r="AJ250" i="7"/>
  <c r="AI250" i="7"/>
  <c r="AG250" i="7"/>
  <c r="AF250" i="7"/>
  <c r="AE250" i="7"/>
  <c r="N250" i="7"/>
  <c r="M250" i="7"/>
  <c r="M288" i="7" s="1"/>
  <c r="K250" i="7"/>
  <c r="K288" i="7" s="1"/>
  <c r="J250" i="7"/>
  <c r="J288" i="7" s="1"/>
  <c r="I250" i="7"/>
  <c r="BA249" i="7"/>
  <c r="AJ249" i="7"/>
  <c r="AI249" i="7"/>
  <c r="AH249" i="7"/>
  <c r="AG249" i="7"/>
  <c r="AF249" i="7"/>
  <c r="AE249" i="7"/>
  <c r="N249" i="7"/>
  <c r="M249" i="7"/>
  <c r="L249" i="7"/>
  <c r="K249" i="7"/>
  <c r="J249" i="7"/>
  <c r="I249" i="7"/>
  <c r="BA248" i="7"/>
  <c r="AJ248" i="7"/>
  <c r="AI248" i="7"/>
  <c r="AH248" i="7"/>
  <c r="AG248" i="7"/>
  <c r="AF248" i="7"/>
  <c r="AE248" i="7"/>
  <c r="N248" i="7"/>
  <c r="M248" i="7"/>
  <c r="L248" i="7"/>
  <c r="K248" i="7"/>
  <c r="J248" i="7"/>
  <c r="I248" i="7"/>
  <c r="BA247" i="7"/>
  <c r="AJ247" i="7"/>
  <c r="AI247" i="7"/>
  <c r="AH247" i="7"/>
  <c r="AG247" i="7"/>
  <c r="AF247" i="7"/>
  <c r="AE247" i="7"/>
  <c r="N247" i="7"/>
  <c r="M247" i="7"/>
  <c r="L247" i="7"/>
  <c r="K247" i="7"/>
  <c r="J247" i="7"/>
  <c r="I247" i="7"/>
  <c r="BA246" i="7"/>
  <c r="AJ246" i="7"/>
  <c r="AI246" i="7"/>
  <c r="AH246" i="7"/>
  <c r="AG246" i="7"/>
  <c r="AF246" i="7"/>
  <c r="AE246" i="7"/>
  <c r="N246" i="7"/>
  <c r="M246" i="7"/>
  <c r="L246" i="7"/>
  <c r="K246" i="7"/>
  <c r="J246" i="7"/>
  <c r="I246" i="7"/>
  <c r="BB245" i="7" a="1"/>
  <c r="BB245" i="7"/>
  <c r="BA245" i="7"/>
  <c r="AJ245" i="7"/>
  <c r="AI245" i="7"/>
  <c r="AH245" i="7"/>
  <c r="AG245" i="7"/>
  <c r="AF245" i="7"/>
  <c r="AE245" i="7"/>
  <c r="N245" i="7"/>
  <c r="M245" i="7"/>
  <c r="L245" i="7"/>
  <c r="K245" i="7"/>
  <c r="J245" i="7"/>
  <c r="I245" i="7"/>
  <c r="BA244" i="7"/>
  <c r="AJ244" i="7"/>
  <c r="AI244" i="7"/>
  <c r="AH244" i="7"/>
  <c r="AG244" i="7"/>
  <c r="AF244" i="7"/>
  <c r="AE244" i="7"/>
  <c r="N244" i="7"/>
  <c r="M244" i="7"/>
  <c r="L244" i="7"/>
  <c r="K244" i="7"/>
  <c r="J244" i="7"/>
  <c r="I244" i="7"/>
  <c r="BA243" i="7"/>
  <c r="AJ243" i="7"/>
  <c r="AI243" i="7"/>
  <c r="AH243" i="7"/>
  <c r="AG243" i="7"/>
  <c r="AF243" i="7"/>
  <c r="AE243" i="7"/>
  <c r="N243" i="7"/>
  <c r="M243" i="7"/>
  <c r="L243" i="7"/>
  <c r="K243" i="7"/>
  <c r="J243" i="7"/>
  <c r="I243" i="7"/>
  <c r="BA242" i="7"/>
  <c r="AJ242" i="7"/>
  <c r="AI242" i="7"/>
  <c r="AH242" i="7"/>
  <c r="AG242" i="7"/>
  <c r="AF242" i="7"/>
  <c r="AE242" i="7"/>
  <c r="N242" i="7"/>
  <c r="M242" i="7"/>
  <c r="L242" i="7"/>
  <c r="K242" i="7"/>
  <c r="J242" i="7"/>
  <c r="I242" i="7"/>
  <c r="BA241" i="7"/>
  <c r="AJ241" i="7"/>
  <c r="AI241" i="7"/>
  <c r="AH241" i="7"/>
  <c r="AG241" i="7"/>
  <c r="AF241" i="7"/>
  <c r="AE241" i="7"/>
  <c r="N241" i="7"/>
  <c r="M241" i="7"/>
  <c r="L241" i="7"/>
  <c r="K241" i="7"/>
  <c r="J241" i="7"/>
  <c r="I241" i="7"/>
  <c r="BB240" i="7" a="1"/>
  <c r="BB240" i="7"/>
  <c r="BA240" i="7"/>
  <c r="AJ240" i="7"/>
  <c r="AI240" i="7"/>
  <c r="AH240" i="7"/>
  <c r="AG240" i="7"/>
  <c r="AF240" i="7"/>
  <c r="AE240" i="7"/>
  <c r="N240" i="7"/>
  <c r="M240" i="7"/>
  <c r="L240" i="7"/>
  <c r="K240" i="7"/>
  <c r="J240" i="7"/>
  <c r="I240" i="7"/>
  <c r="BA239" i="7"/>
  <c r="AJ239" i="7"/>
  <c r="AI239" i="7"/>
  <c r="AH239" i="7"/>
  <c r="AG239" i="7"/>
  <c r="AF239" i="7"/>
  <c r="AE239" i="7"/>
  <c r="N239" i="7"/>
  <c r="M239" i="7"/>
  <c r="L239" i="7"/>
  <c r="K239" i="7"/>
  <c r="J239" i="7"/>
  <c r="I239" i="7"/>
  <c r="BA238" i="7"/>
  <c r="AJ238" i="7"/>
  <c r="AI238" i="7"/>
  <c r="AH238" i="7"/>
  <c r="AG238" i="7"/>
  <c r="AF238" i="7"/>
  <c r="AE238" i="7"/>
  <c r="N238" i="7"/>
  <c r="M238" i="7"/>
  <c r="L238" i="7"/>
  <c r="K238" i="7"/>
  <c r="J238" i="7"/>
  <c r="I238" i="7"/>
  <c r="BA237" i="7"/>
  <c r="AJ237" i="7"/>
  <c r="AI237" i="7"/>
  <c r="AH237" i="7"/>
  <c r="AG237" i="7"/>
  <c r="AF237" i="7"/>
  <c r="AE237" i="7"/>
  <c r="N237" i="7"/>
  <c r="M237" i="7"/>
  <c r="L237" i="7"/>
  <c r="K237" i="7"/>
  <c r="J237" i="7"/>
  <c r="I237" i="7"/>
  <c r="BA236" i="7"/>
  <c r="AJ236" i="7"/>
  <c r="AI236" i="7"/>
  <c r="AH236" i="7"/>
  <c r="AG236" i="7"/>
  <c r="AF236" i="7"/>
  <c r="AE236" i="7"/>
  <c r="N236" i="7"/>
  <c r="M236" i="7"/>
  <c r="L236" i="7"/>
  <c r="K236" i="7"/>
  <c r="J236" i="7"/>
  <c r="I236" i="7"/>
  <c r="BB235" i="7" a="1"/>
  <c r="BB235" i="7" s="1"/>
  <c r="BA235" i="7"/>
  <c r="AJ235" i="7"/>
  <c r="AI235" i="7"/>
  <c r="AH235" i="7"/>
  <c r="AG235" i="7"/>
  <c r="AF235" i="7"/>
  <c r="AE235" i="7"/>
  <c r="N235" i="7"/>
  <c r="M235" i="7"/>
  <c r="M289" i="7" s="1"/>
  <c r="L235" i="7"/>
  <c r="L287" i="7" s="1"/>
  <c r="K235" i="7"/>
  <c r="K287" i="7" s="1"/>
  <c r="J235" i="7"/>
  <c r="J287" i="7" s="1"/>
  <c r="I235" i="7"/>
  <c r="BA234" i="7"/>
  <c r="AJ234" i="7"/>
  <c r="AH234" i="7"/>
  <c r="AG234" i="7"/>
  <c r="AF234" i="7"/>
  <c r="AE234" i="7"/>
  <c r="N234" i="7"/>
  <c r="L234" i="7"/>
  <c r="K234" i="7"/>
  <c r="J234" i="7"/>
  <c r="I234" i="7"/>
  <c r="BA233" i="7"/>
  <c r="AJ233" i="7"/>
  <c r="AH233" i="7"/>
  <c r="AG233" i="7"/>
  <c r="AF233" i="7"/>
  <c r="AE233" i="7"/>
  <c r="N233" i="7"/>
  <c r="L233" i="7"/>
  <c r="K233" i="7"/>
  <c r="J233" i="7"/>
  <c r="I233" i="7"/>
  <c r="BA232" i="7"/>
  <c r="AJ232" i="7"/>
  <c r="AH232" i="7"/>
  <c r="AG232" i="7"/>
  <c r="AF232" i="7"/>
  <c r="AE232" i="7"/>
  <c r="N232" i="7"/>
  <c r="L232" i="7"/>
  <c r="K232" i="7"/>
  <c r="J232" i="7"/>
  <c r="I232" i="7"/>
  <c r="BA231" i="7"/>
  <c r="AJ231" i="7"/>
  <c r="AH231" i="7"/>
  <c r="AG231" i="7"/>
  <c r="AF231" i="7"/>
  <c r="AE231" i="7"/>
  <c r="N231" i="7"/>
  <c r="L231" i="7"/>
  <c r="K231" i="7"/>
  <c r="J231" i="7"/>
  <c r="I231" i="7"/>
  <c r="BB230" i="7" a="1"/>
  <c r="BB230" i="7" s="1"/>
  <c r="BA230" i="7"/>
  <c r="AJ230" i="7"/>
  <c r="AH230" i="7"/>
  <c r="AG230" i="7"/>
  <c r="AF230" i="7"/>
  <c r="AE230" i="7"/>
  <c r="N230" i="7"/>
  <c r="L230" i="7"/>
  <c r="K230" i="7"/>
  <c r="J230" i="7"/>
  <c r="I230" i="7"/>
  <c r="BA229" i="7"/>
  <c r="AJ229" i="7"/>
  <c r="AH229" i="7"/>
  <c r="AG229" i="7"/>
  <c r="AF229" i="7"/>
  <c r="AE229" i="7"/>
  <c r="N229" i="7"/>
  <c r="L229" i="7"/>
  <c r="K229" i="7"/>
  <c r="J229" i="7"/>
  <c r="I229" i="7"/>
  <c r="BA228" i="7"/>
  <c r="AJ228" i="7"/>
  <c r="AH228" i="7"/>
  <c r="AG228" i="7"/>
  <c r="AF228" i="7"/>
  <c r="AE228" i="7"/>
  <c r="N228" i="7"/>
  <c r="L228" i="7"/>
  <c r="K228" i="7"/>
  <c r="J228" i="7"/>
  <c r="I228" i="7"/>
  <c r="BA227" i="7"/>
  <c r="AJ227" i="7"/>
  <c r="AH227" i="7"/>
  <c r="AG227" i="7"/>
  <c r="AF227" i="7"/>
  <c r="AE227" i="7"/>
  <c r="N227" i="7"/>
  <c r="L227" i="7"/>
  <c r="K227" i="7"/>
  <c r="J227" i="7"/>
  <c r="I227" i="7"/>
  <c r="BA226" i="7"/>
  <c r="AJ226" i="7"/>
  <c r="AH226" i="7"/>
  <c r="AG226" i="7"/>
  <c r="AF226" i="7"/>
  <c r="AE226" i="7"/>
  <c r="N226" i="7"/>
  <c r="L226" i="7"/>
  <c r="K226" i="7"/>
  <c r="J226" i="7"/>
  <c r="I226" i="7"/>
  <c r="BB225" i="7" a="1"/>
  <c r="BB225" i="7" s="1"/>
  <c r="BA225" i="7"/>
  <c r="AJ225" i="7"/>
  <c r="AH225" i="7"/>
  <c r="AG225" i="7"/>
  <c r="AF225" i="7"/>
  <c r="AE225" i="7"/>
  <c r="N225" i="7"/>
  <c r="L225" i="7"/>
  <c r="K225" i="7"/>
  <c r="J225" i="7"/>
  <c r="I225" i="7"/>
  <c r="BA224" i="7"/>
  <c r="AJ224" i="7"/>
  <c r="AH224" i="7"/>
  <c r="AG224" i="7"/>
  <c r="AF224" i="7"/>
  <c r="AE224" i="7"/>
  <c r="N224" i="7"/>
  <c r="L224" i="7"/>
  <c r="K224" i="7"/>
  <c r="J224" i="7"/>
  <c r="I224" i="7"/>
  <c r="BA223" i="7"/>
  <c r="AJ223" i="7"/>
  <c r="AH223" i="7"/>
  <c r="AG223" i="7"/>
  <c r="AF223" i="7"/>
  <c r="AE223" i="7"/>
  <c r="N223" i="7"/>
  <c r="L223" i="7"/>
  <c r="K223" i="7"/>
  <c r="J223" i="7"/>
  <c r="I223" i="7"/>
  <c r="BA222" i="7"/>
  <c r="AJ222" i="7"/>
  <c r="AH222" i="7"/>
  <c r="AG222" i="7"/>
  <c r="AF222" i="7"/>
  <c r="AE222" i="7"/>
  <c r="N222" i="7"/>
  <c r="L222" i="7"/>
  <c r="K222" i="7"/>
  <c r="J222" i="7"/>
  <c r="I222" i="7"/>
  <c r="BA221" i="7"/>
  <c r="AJ221" i="7"/>
  <c r="AH221" i="7"/>
  <c r="AG221" i="7"/>
  <c r="AF221" i="7"/>
  <c r="AE221" i="7"/>
  <c r="N221" i="7"/>
  <c r="L221" i="7"/>
  <c r="K221" i="7"/>
  <c r="J221" i="7"/>
  <c r="I221" i="7"/>
  <c r="BB220" i="7" a="1"/>
  <c r="BB220" i="7" s="1"/>
  <c r="BA220" i="7"/>
  <c r="AJ220" i="7"/>
  <c r="AH220" i="7"/>
  <c r="AG220" i="7"/>
  <c r="AF220" i="7"/>
  <c r="AE220" i="7"/>
  <c r="N220" i="7"/>
  <c r="L220" i="7"/>
  <c r="K220" i="7"/>
  <c r="J220" i="7"/>
  <c r="I220" i="7"/>
  <c r="BA219" i="7"/>
  <c r="AJ219" i="7"/>
  <c r="AH219" i="7"/>
  <c r="AG219" i="7"/>
  <c r="AF219" i="7"/>
  <c r="AE219" i="7"/>
  <c r="N219" i="7"/>
  <c r="L219" i="7"/>
  <c r="K219" i="7"/>
  <c r="J219" i="7"/>
  <c r="I219" i="7"/>
  <c r="BA218" i="7"/>
  <c r="AJ218" i="7"/>
  <c r="AH218" i="7"/>
  <c r="AG218" i="7"/>
  <c r="AF218" i="7"/>
  <c r="AE218" i="7"/>
  <c r="N218" i="7"/>
  <c r="L218" i="7"/>
  <c r="K218" i="7"/>
  <c r="J218" i="7"/>
  <c r="I218" i="7"/>
  <c r="BA217" i="7"/>
  <c r="AJ217" i="7"/>
  <c r="AH217" i="7"/>
  <c r="AG217" i="7"/>
  <c r="AF217" i="7"/>
  <c r="AE217" i="7"/>
  <c r="N217" i="7"/>
  <c r="L217" i="7"/>
  <c r="K217" i="7"/>
  <c r="J217" i="7"/>
  <c r="I217" i="7"/>
  <c r="BA216" i="7"/>
  <c r="AJ216" i="7"/>
  <c r="AH216" i="7"/>
  <c r="AG216" i="7"/>
  <c r="AF216" i="7"/>
  <c r="AE216" i="7"/>
  <c r="N216" i="7"/>
  <c r="L216" i="7"/>
  <c r="K216" i="7"/>
  <c r="J216" i="7"/>
  <c r="I216" i="7"/>
  <c r="BB215" i="7" a="1"/>
  <c r="BB215" i="7"/>
  <c r="BA215" i="7"/>
  <c r="AJ215" i="7"/>
  <c r="AH215" i="7"/>
  <c r="AG215" i="7"/>
  <c r="AF215" i="7"/>
  <c r="AE215" i="7"/>
  <c r="N215" i="7"/>
  <c r="L215" i="7"/>
  <c r="K215" i="7"/>
  <c r="J215" i="7"/>
  <c r="I215" i="7"/>
  <c r="BA214" i="7"/>
  <c r="AJ214" i="7"/>
  <c r="AH214" i="7"/>
  <c r="AG214" i="7"/>
  <c r="AF214" i="7"/>
  <c r="AE214" i="7"/>
  <c r="N214" i="7"/>
  <c r="L214" i="7"/>
  <c r="K214" i="7"/>
  <c r="J214" i="7"/>
  <c r="I214" i="7"/>
  <c r="BA213" i="7"/>
  <c r="AJ213" i="7"/>
  <c r="AH213" i="7"/>
  <c r="AG213" i="7"/>
  <c r="AF213" i="7"/>
  <c r="AE213" i="7"/>
  <c r="N213" i="7"/>
  <c r="L213" i="7"/>
  <c r="K213" i="7"/>
  <c r="J213" i="7"/>
  <c r="I213" i="7"/>
  <c r="BA212" i="7"/>
  <c r="AJ212" i="7"/>
  <c r="AH212" i="7"/>
  <c r="AG212" i="7"/>
  <c r="AF212" i="7"/>
  <c r="AE212" i="7"/>
  <c r="N212" i="7"/>
  <c r="L212" i="7"/>
  <c r="K212" i="7"/>
  <c r="J212" i="7"/>
  <c r="I212" i="7"/>
  <c r="BA211" i="7"/>
  <c r="AJ211" i="7"/>
  <c r="AH211" i="7"/>
  <c r="AG211" i="7"/>
  <c r="AF211" i="7"/>
  <c r="AE211" i="7"/>
  <c r="N211" i="7"/>
  <c r="L211" i="7"/>
  <c r="K211" i="7"/>
  <c r="J211" i="7"/>
  <c r="I211" i="7"/>
  <c r="BB210" i="7" a="1"/>
  <c r="BB210" i="7" s="1"/>
  <c r="BA210" i="7"/>
  <c r="AJ210" i="7"/>
  <c r="AH210" i="7"/>
  <c r="AG210" i="7"/>
  <c r="AF210" i="7"/>
  <c r="AE210" i="7"/>
  <c r="N210" i="7"/>
  <c r="L210" i="7"/>
  <c r="K210" i="7"/>
  <c r="J210" i="7"/>
  <c r="I210" i="7"/>
  <c r="BA209" i="7"/>
  <c r="AJ209" i="7"/>
  <c r="AH209" i="7"/>
  <c r="AG209" i="7"/>
  <c r="AF209" i="7"/>
  <c r="AE209" i="7"/>
  <c r="N209" i="7"/>
  <c r="L209" i="7"/>
  <c r="K209" i="7"/>
  <c r="J209" i="7"/>
  <c r="I209" i="7"/>
  <c r="BA208" i="7"/>
  <c r="AJ208" i="7"/>
  <c r="AH208" i="7"/>
  <c r="AG208" i="7"/>
  <c r="AF208" i="7"/>
  <c r="AE208" i="7"/>
  <c r="N208" i="7"/>
  <c r="L208" i="7"/>
  <c r="K208" i="7"/>
  <c r="J208" i="7"/>
  <c r="I208" i="7"/>
  <c r="BA207" i="7"/>
  <c r="AJ207" i="7"/>
  <c r="AH207" i="7"/>
  <c r="AG207" i="7"/>
  <c r="AF207" i="7"/>
  <c r="AE207" i="7"/>
  <c r="N207" i="7"/>
  <c r="L207" i="7"/>
  <c r="K207" i="7"/>
  <c r="J207" i="7"/>
  <c r="I207" i="7"/>
  <c r="BA206" i="7"/>
  <c r="AJ206" i="7"/>
  <c r="AH206" i="7"/>
  <c r="AG206" i="7"/>
  <c r="AF206" i="7"/>
  <c r="AE206" i="7"/>
  <c r="N206" i="7"/>
  <c r="L206" i="7"/>
  <c r="K206" i="7"/>
  <c r="J206" i="7"/>
  <c r="I206" i="7"/>
  <c r="BB205" i="7" a="1"/>
  <c r="BB205" i="7" s="1"/>
  <c r="BA205" i="7"/>
  <c r="AJ205" i="7"/>
  <c r="AH205" i="7"/>
  <c r="AG205" i="7"/>
  <c r="AF205" i="7"/>
  <c r="AE205" i="7"/>
  <c r="N205" i="7"/>
  <c r="L205" i="7"/>
  <c r="K205" i="7"/>
  <c r="J205" i="7"/>
  <c r="I205" i="7"/>
  <c r="BA204" i="7"/>
  <c r="AJ204" i="7"/>
  <c r="AH204" i="7"/>
  <c r="AG204" i="7"/>
  <c r="AF204" i="7"/>
  <c r="AE204" i="7"/>
  <c r="N204" i="7"/>
  <c r="L204" i="7"/>
  <c r="K204" i="7"/>
  <c r="J204" i="7"/>
  <c r="I204" i="7"/>
  <c r="BA203" i="7"/>
  <c r="AJ203" i="7"/>
  <c r="AH203" i="7"/>
  <c r="AG203" i="7"/>
  <c r="AF203" i="7"/>
  <c r="AE203" i="7"/>
  <c r="N203" i="7"/>
  <c r="L203" i="7"/>
  <c r="K203" i="7"/>
  <c r="J203" i="7"/>
  <c r="I203" i="7"/>
  <c r="BA202" i="7"/>
  <c r="AJ202" i="7"/>
  <c r="AH202" i="7"/>
  <c r="AG202" i="7"/>
  <c r="AF202" i="7"/>
  <c r="AE202" i="7"/>
  <c r="N202" i="7"/>
  <c r="L202" i="7"/>
  <c r="K202" i="7"/>
  <c r="J202" i="7"/>
  <c r="I202" i="7"/>
  <c r="BA201" i="7"/>
  <c r="AJ201" i="7"/>
  <c r="AH201" i="7"/>
  <c r="AG201" i="7"/>
  <c r="AF201" i="7"/>
  <c r="AE201" i="7"/>
  <c r="N201" i="7"/>
  <c r="L201" i="7"/>
  <c r="K201" i="7"/>
  <c r="J201" i="7"/>
  <c r="I201" i="7"/>
  <c r="BB200" i="7" a="1"/>
  <c r="BB200" i="7" s="1"/>
  <c r="BA200" i="7"/>
  <c r="AJ200" i="7"/>
  <c r="AH200" i="7"/>
  <c r="AG200" i="7"/>
  <c r="AF200" i="7"/>
  <c r="AE200" i="7"/>
  <c r="N200" i="7"/>
  <c r="L200" i="7"/>
  <c r="K200" i="7"/>
  <c r="J200" i="7"/>
  <c r="I200" i="7"/>
  <c r="BA199" i="7"/>
  <c r="AJ199" i="7"/>
  <c r="AH199" i="7"/>
  <c r="AG199" i="7"/>
  <c r="AF199" i="7"/>
  <c r="AE199" i="7"/>
  <c r="N199" i="7"/>
  <c r="L199" i="7"/>
  <c r="K199" i="7"/>
  <c r="J199" i="7"/>
  <c r="I199" i="7"/>
  <c r="BA198" i="7"/>
  <c r="AJ198" i="7"/>
  <c r="AH198" i="7"/>
  <c r="AG198" i="7"/>
  <c r="AF198" i="7"/>
  <c r="AE198" i="7"/>
  <c r="N198" i="7"/>
  <c r="L198" i="7"/>
  <c r="K198" i="7"/>
  <c r="J198" i="7"/>
  <c r="I198" i="7"/>
  <c r="BA197" i="7"/>
  <c r="AJ197" i="7"/>
  <c r="AH197" i="7"/>
  <c r="AG197" i="7"/>
  <c r="AF197" i="7"/>
  <c r="AE197" i="7"/>
  <c r="N197" i="7"/>
  <c r="L197" i="7"/>
  <c r="K197" i="7"/>
  <c r="J197" i="7"/>
  <c r="I197" i="7"/>
  <c r="BA196" i="7"/>
  <c r="AJ196" i="7"/>
  <c r="AH196" i="7"/>
  <c r="AG196" i="7"/>
  <c r="AF196" i="7"/>
  <c r="AE196" i="7"/>
  <c r="N196" i="7"/>
  <c r="L196" i="7"/>
  <c r="K196" i="7"/>
  <c r="J196" i="7"/>
  <c r="I196" i="7"/>
  <c r="BB195" i="7" a="1"/>
  <c r="BB195" i="7"/>
  <c r="BA195" i="7"/>
  <c r="AJ195" i="7"/>
  <c r="AH195" i="7"/>
  <c r="AG195" i="7"/>
  <c r="AF195" i="7"/>
  <c r="AE195" i="7"/>
  <c r="N195" i="7"/>
  <c r="L195" i="7"/>
  <c r="K195" i="7"/>
  <c r="J195" i="7"/>
  <c r="I195" i="7"/>
  <c r="BA194" i="7"/>
  <c r="AJ194" i="7"/>
  <c r="AH194" i="7"/>
  <c r="AG194" i="7"/>
  <c r="AF194" i="7"/>
  <c r="AE194" i="7"/>
  <c r="N194" i="7"/>
  <c r="L194" i="7"/>
  <c r="K194" i="7"/>
  <c r="J194" i="7"/>
  <c r="I194" i="7"/>
  <c r="BA193" i="7"/>
  <c r="AJ193" i="7"/>
  <c r="AH193" i="7"/>
  <c r="AG193" i="7"/>
  <c r="AF193" i="7"/>
  <c r="AE193" i="7"/>
  <c r="N193" i="7"/>
  <c r="L193" i="7"/>
  <c r="K193" i="7"/>
  <c r="J193" i="7"/>
  <c r="I193" i="7"/>
  <c r="BA192" i="7"/>
  <c r="AJ192" i="7"/>
  <c r="AH192" i="7"/>
  <c r="AG192" i="7"/>
  <c r="AF192" i="7"/>
  <c r="AE192" i="7"/>
  <c r="N192" i="7"/>
  <c r="L192" i="7"/>
  <c r="K192" i="7"/>
  <c r="J192" i="7"/>
  <c r="I192" i="7"/>
  <c r="BA191" i="7"/>
  <c r="AJ191" i="7"/>
  <c r="AH191" i="7"/>
  <c r="AG191" i="7"/>
  <c r="AF191" i="7"/>
  <c r="AE191" i="7"/>
  <c r="N191" i="7"/>
  <c r="L191" i="7"/>
  <c r="K191" i="7"/>
  <c r="J191" i="7"/>
  <c r="I191" i="7"/>
  <c r="BB190" i="7" a="1"/>
  <c r="BB190" i="7" s="1"/>
  <c r="BA190" i="7"/>
  <c r="AJ190" i="7"/>
  <c r="AH190" i="7"/>
  <c r="AG190" i="7"/>
  <c r="AF190" i="7"/>
  <c r="AE190" i="7"/>
  <c r="N190" i="7"/>
  <c r="L190" i="7"/>
  <c r="K190" i="7"/>
  <c r="J190" i="7"/>
  <c r="I190" i="7"/>
  <c r="BA189" i="7"/>
  <c r="AJ189" i="7"/>
  <c r="AH189" i="7"/>
  <c r="AG189" i="7"/>
  <c r="AF189" i="7"/>
  <c r="AE189" i="7"/>
  <c r="N189" i="7"/>
  <c r="L189" i="7"/>
  <c r="K189" i="7"/>
  <c r="J189" i="7"/>
  <c r="I189" i="7"/>
  <c r="BA188" i="7"/>
  <c r="AJ188" i="7"/>
  <c r="AH188" i="7"/>
  <c r="AG188" i="7"/>
  <c r="AF188" i="7"/>
  <c r="AE188" i="7"/>
  <c r="N188" i="7"/>
  <c r="L188" i="7"/>
  <c r="K188" i="7"/>
  <c r="J188" i="7"/>
  <c r="I188" i="7"/>
  <c r="BA187" i="7"/>
  <c r="AJ187" i="7"/>
  <c r="AH187" i="7"/>
  <c r="AG187" i="7"/>
  <c r="AF187" i="7"/>
  <c r="AE187" i="7"/>
  <c r="N187" i="7"/>
  <c r="L187" i="7"/>
  <c r="K187" i="7"/>
  <c r="J187" i="7"/>
  <c r="I187" i="7"/>
  <c r="BA186" i="7"/>
  <c r="AJ186" i="7"/>
  <c r="AH186" i="7"/>
  <c r="AG186" i="7"/>
  <c r="AF186" i="7"/>
  <c r="AE186" i="7"/>
  <c r="N186" i="7"/>
  <c r="L186" i="7"/>
  <c r="K186" i="7"/>
  <c r="J186" i="7"/>
  <c r="I186" i="7"/>
  <c r="BB185" i="7" a="1"/>
  <c r="BB185" i="7" s="1"/>
  <c r="BA185" i="7"/>
  <c r="AJ185" i="7"/>
  <c r="AH185" i="7"/>
  <c r="AG185" i="7"/>
  <c r="AF185" i="7"/>
  <c r="AE185" i="7"/>
  <c r="N185" i="7"/>
  <c r="L185" i="7"/>
  <c r="K185" i="7"/>
  <c r="J185" i="7"/>
  <c r="I185" i="7"/>
  <c r="BA184" i="7"/>
  <c r="AJ184" i="7"/>
  <c r="AH184" i="7"/>
  <c r="AG184" i="7"/>
  <c r="AF184" i="7"/>
  <c r="AE184" i="7"/>
  <c r="N184" i="7"/>
  <c r="L184" i="7"/>
  <c r="K184" i="7"/>
  <c r="J184" i="7"/>
  <c r="I184" i="7"/>
  <c r="BA183" i="7"/>
  <c r="AJ183" i="7"/>
  <c r="AH183" i="7"/>
  <c r="AG183" i="7"/>
  <c r="AF183" i="7"/>
  <c r="AE183" i="7"/>
  <c r="N183" i="7"/>
  <c r="L183" i="7"/>
  <c r="K183" i="7"/>
  <c r="J183" i="7"/>
  <c r="I183" i="7"/>
  <c r="BA182" i="7"/>
  <c r="AJ182" i="7"/>
  <c r="AH182" i="7"/>
  <c r="AG182" i="7"/>
  <c r="AF182" i="7"/>
  <c r="AE182" i="7"/>
  <c r="N182" i="7"/>
  <c r="L182" i="7"/>
  <c r="K182" i="7"/>
  <c r="J182" i="7"/>
  <c r="I182" i="7"/>
  <c r="BA181" i="7"/>
  <c r="AJ181" i="7"/>
  <c r="AH181" i="7"/>
  <c r="AG181" i="7"/>
  <c r="AF181" i="7"/>
  <c r="AE181" i="7"/>
  <c r="N181" i="7"/>
  <c r="L181" i="7"/>
  <c r="K181" i="7"/>
  <c r="J181" i="7"/>
  <c r="I181" i="7"/>
  <c r="BB180" i="7" a="1"/>
  <c r="BB180" i="7" s="1"/>
  <c r="BA180" i="7"/>
  <c r="AJ180" i="7"/>
  <c r="AH180" i="7"/>
  <c r="AG180" i="7"/>
  <c r="AF180" i="7"/>
  <c r="AE180" i="7"/>
  <c r="N180" i="7"/>
  <c r="L180" i="7"/>
  <c r="K180" i="7"/>
  <c r="J180" i="7"/>
  <c r="I180" i="7"/>
  <c r="BA179" i="7"/>
  <c r="AJ179" i="7"/>
  <c r="AH179" i="7"/>
  <c r="AG179" i="7"/>
  <c r="AF179" i="7"/>
  <c r="AE179" i="7"/>
  <c r="N179" i="7"/>
  <c r="L179" i="7"/>
  <c r="K179" i="7"/>
  <c r="J179" i="7"/>
  <c r="I179" i="7"/>
  <c r="BA178" i="7"/>
  <c r="AJ178" i="7"/>
  <c r="AH178" i="7"/>
  <c r="AG178" i="7"/>
  <c r="AF178" i="7"/>
  <c r="AE178" i="7"/>
  <c r="N178" i="7"/>
  <c r="L178" i="7"/>
  <c r="K178" i="7"/>
  <c r="J178" i="7"/>
  <c r="I178" i="7"/>
  <c r="BA177" i="7"/>
  <c r="AJ177" i="7"/>
  <c r="AH177" i="7"/>
  <c r="AG177" i="7"/>
  <c r="AF177" i="7"/>
  <c r="AE177" i="7"/>
  <c r="N177" i="7"/>
  <c r="L177" i="7"/>
  <c r="K177" i="7"/>
  <c r="J177" i="7"/>
  <c r="I177" i="7"/>
  <c r="BA176" i="7"/>
  <c r="AJ176" i="7"/>
  <c r="AH176" i="7"/>
  <c r="AG176" i="7"/>
  <c r="AF176" i="7"/>
  <c r="AE176" i="7"/>
  <c r="N176" i="7"/>
  <c r="L176" i="7"/>
  <c r="K176" i="7"/>
  <c r="J176" i="7"/>
  <c r="I176" i="7"/>
  <c r="BB175" i="7" a="1"/>
  <c r="BB175" i="7"/>
  <c r="BA175" i="7"/>
  <c r="AJ175" i="7"/>
  <c r="AH175" i="7"/>
  <c r="AG175" i="7"/>
  <c r="AF175" i="7"/>
  <c r="AE175" i="7"/>
  <c r="N175" i="7"/>
  <c r="L175" i="7"/>
  <c r="K175" i="7"/>
  <c r="J175" i="7"/>
  <c r="I175" i="7"/>
  <c r="BA174" i="7"/>
  <c r="AJ174" i="7"/>
  <c r="AH174" i="7"/>
  <c r="AG174" i="7"/>
  <c r="AF174" i="7"/>
  <c r="AE174" i="7"/>
  <c r="N174" i="7"/>
  <c r="L174" i="7"/>
  <c r="K174" i="7"/>
  <c r="J174" i="7"/>
  <c r="I174" i="7"/>
  <c r="BA173" i="7"/>
  <c r="AJ173" i="7"/>
  <c r="AH173" i="7"/>
  <c r="AG173" i="7"/>
  <c r="AF173" i="7"/>
  <c r="AE173" i="7"/>
  <c r="N173" i="7"/>
  <c r="L173" i="7"/>
  <c r="K173" i="7"/>
  <c r="J173" i="7"/>
  <c r="I173" i="7"/>
  <c r="BA172" i="7"/>
  <c r="AJ172" i="7"/>
  <c r="AH172" i="7"/>
  <c r="AG172" i="7"/>
  <c r="AF172" i="7"/>
  <c r="AE172" i="7"/>
  <c r="N172" i="7"/>
  <c r="L172" i="7"/>
  <c r="K172" i="7"/>
  <c r="J172" i="7"/>
  <c r="I172" i="7"/>
  <c r="BA171" i="7"/>
  <c r="AJ171" i="7"/>
  <c r="AH171" i="7"/>
  <c r="AG171" i="7"/>
  <c r="AF171" i="7"/>
  <c r="AE171" i="7"/>
  <c r="N171" i="7"/>
  <c r="L171" i="7"/>
  <c r="K171" i="7"/>
  <c r="J171" i="7"/>
  <c r="I171" i="7"/>
  <c r="BB170" i="7" a="1"/>
  <c r="BB170" i="7" s="1"/>
  <c r="BA170" i="7"/>
  <c r="AJ170" i="7"/>
  <c r="AH170" i="7"/>
  <c r="AG170" i="7"/>
  <c r="AF170" i="7"/>
  <c r="AE170" i="7"/>
  <c r="N170" i="7"/>
  <c r="L170" i="7"/>
  <c r="K170" i="7"/>
  <c r="J170" i="7"/>
  <c r="I170" i="7"/>
  <c r="BA169" i="7"/>
  <c r="AJ169" i="7"/>
  <c r="AH169" i="7"/>
  <c r="AG169" i="7"/>
  <c r="AF169" i="7"/>
  <c r="AE169" i="7"/>
  <c r="N169" i="7"/>
  <c r="L169" i="7"/>
  <c r="K169" i="7"/>
  <c r="J169" i="7"/>
  <c r="I169" i="7"/>
  <c r="BA168" i="7"/>
  <c r="AJ168" i="7"/>
  <c r="AH168" i="7"/>
  <c r="AG168" i="7"/>
  <c r="AF168" i="7"/>
  <c r="AE168" i="7"/>
  <c r="N168" i="7"/>
  <c r="L168" i="7"/>
  <c r="K168" i="7"/>
  <c r="J168" i="7"/>
  <c r="I168" i="7"/>
  <c r="BA167" i="7"/>
  <c r="AJ167" i="7"/>
  <c r="AH167" i="7"/>
  <c r="AG167" i="7"/>
  <c r="AF167" i="7"/>
  <c r="AE167" i="7"/>
  <c r="N167" i="7"/>
  <c r="L167" i="7"/>
  <c r="K167" i="7"/>
  <c r="J167" i="7"/>
  <c r="I167" i="7"/>
  <c r="BA166" i="7"/>
  <c r="AJ166" i="7"/>
  <c r="AH166" i="7"/>
  <c r="AG166" i="7"/>
  <c r="AF166" i="7"/>
  <c r="AE166" i="7"/>
  <c r="N166" i="7"/>
  <c r="L166" i="7"/>
  <c r="K166" i="7"/>
  <c r="J166" i="7"/>
  <c r="I166" i="7"/>
  <c r="BB165" i="7" a="1"/>
  <c r="BB165" i="7" s="1"/>
  <c r="BA165" i="7"/>
  <c r="AJ165" i="7"/>
  <c r="AH165" i="7"/>
  <c r="AG165" i="7"/>
  <c r="AF165" i="7"/>
  <c r="AE165" i="7"/>
  <c r="N165" i="7"/>
  <c r="L165" i="7"/>
  <c r="K165" i="7"/>
  <c r="J165" i="7"/>
  <c r="I165" i="7"/>
  <c r="BA164" i="7"/>
  <c r="AJ164" i="7"/>
  <c r="AH164" i="7"/>
  <c r="AG164" i="7"/>
  <c r="AF164" i="7"/>
  <c r="AE164" i="7"/>
  <c r="N164" i="7"/>
  <c r="L164" i="7"/>
  <c r="K164" i="7"/>
  <c r="J164" i="7"/>
  <c r="I164" i="7"/>
  <c r="BA163" i="7"/>
  <c r="AJ163" i="7"/>
  <c r="AH163" i="7"/>
  <c r="AG163" i="7"/>
  <c r="AF163" i="7"/>
  <c r="AE163" i="7"/>
  <c r="N163" i="7"/>
  <c r="L163" i="7"/>
  <c r="K163" i="7"/>
  <c r="J163" i="7"/>
  <c r="I163" i="7"/>
  <c r="BA162" i="7"/>
  <c r="AJ162" i="7"/>
  <c r="AH162" i="7"/>
  <c r="AG162" i="7"/>
  <c r="AF162" i="7"/>
  <c r="AE162" i="7"/>
  <c r="N162" i="7"/>
  <c r="L162" i="7"/>
  <c r="K162" i="7"/>
  <c r="J162" i="7"/>
  <c r="I162" i="7"/>
  <c r="BA161" i="7"/>
  <c r="AJ161" i="7"/>
  <c r="AH161" i="7"/>
  <c r="AG161" i="7"/>
  <c r="AF161" i="7"/>
  <c r="AE161" i="7"/>
  <c r="N161" i="7"/>
  <c r="L161" i="7"/>
  <c r="K161" i="7"/>
  <c r="J161" i="7"/>
  <c r="I161" i="7"/>
  <c r="BB160" i="7" a="1"/>
  <c r="BB160" i="7" s="1"/>
  <c r="BA160" i="7"/>
  <c r="AJ160" i="7"/>
  <c r="AH160" i="7"/>
  <c r="AG160" i="7"/>
  <c r="AF160" i="7"/>
  <c r="AE160" i="7"/>
  <c r="N160" i="7"/>
  <c r="L160" i="7"/>
  <c r="K160" i="7"/>
  <c r="J160" i="7"/>
  <c r="I160" i="7"/>
  <c r="BA159" i="7"/>
  <c r="AJ159" i="7"/>
  <c r="AH159" i="7"/>
  <c r="AG159" i="7"/>
  <c r="AF159" i="7"/>
  <c r="AE159" i="7"/>
  <c r="N159" i="7"/>
  <c r="L159" i="7"/>
  <c r="K159" i="7"/>
  <c r="J159" i="7"/>
  <c r="I159" i="7"/>
  <c r="BA158" i="7"/>
  <c r="AJ158" i="7"/>
  <c r="AH158" i="7"/>
  <c r="AG158" i="7"/>
  <c r="AF158" i="7"/>
  <c r="AE158" i="7"/>
  <c r="N158" i="7"/>
  <c r="L158" i="7"/>
  <c r="K158" i="7"/>
  <c r="J158" i="7"/>
  <c r="I158" i="7"/>
  <c r="BA157" i="7"/>
  <c r="AJ157" i="7"/>
  <c r="AH157" i="7"/>
  <c r="AG157" i="7"/>
  <c r="AF157" i="7"/>
  <c r="AE157" i="7"/>
  <c r="N157" i="7"/>
  <c r="L157" i="7"/>
  <c r="K157" i="7"/>
  <c r="J157" i="7"/>
  <c r="I157" i="7"/>
  <c r="BA156" i="7"/>
  <c r="AJ156" i="7"/>
  <c r="AH156" i="7"/>
  <c r="AG156" i="7"/>
  <c r="AF156" i="7"/>
  <c r="AE156" i="7"/>
  <c r="N156" i="7"/>
  <c r="L156" i="7"/>
  <c r="K156" i="7"/>
  <c r="J156" i="7"/>
  <c r="I156" i="7"/>
  <c r="BB155" i="7" a="1"/>
  <c r="BB155" i="7"/>
  <c r="BA155" i="7"/>
  <c r="AJ155" i="7"/>
  <c r="AH155" i="7"/>
  <c r="AG155" i="7"/>
  <c r="AF155" i="7"/>
  <c r="AE155" i="7"/>
  <c r="N155" i="7"/>
  <c r="L155" i="7"/>
  <c r="K155" i="7"/>
  <c r="J155" i="7"/>
  <c r="I155" i="7"/>
  <c r="BA154" i="7"/>
  <c r="AJ154" i="7"/>
  <c r="AH154" i="7"/>
  <c r="AG154" i="7"/>
  <c r="AF154" i="7"/>
  <c r="AE154" i="7"/>
  <c r="N154" i="7"/>
  <c r="L154" i="7"/>
  <c r="K154" i="7"/>
  <c r="J154" i="7"/>
  <c r="I154" i="7"/>
  <c r="BA153" i="7"/>
  <c r="AJ153" i="7"/>
  <c r="AH153" i="7"/>
  <c r="AG153" i="7"/>
  <c r="AF153" i="7"/>
  <c r="AE153" i="7"/>
  <c r="N153" i="7"/>
  <c r="L153" i="7"/>
  <c r="K153" i="7"/>
  <c r="J153" i="7"/>
  <c r="I153" i="7"/>
  <c r="BA152" i="7"/>
  <c r="AJ152" i="7"/>
  <c r="AH152" i="7"/>
  <c r="AG152" i="7"/>
  <c r="AF152" i="7"/>
  <c r="AE152" i="7"/>
  <c r="N152" i="7"/>
  <c r="L152" i="7"/>
  <c r="K152" i="7"/>
  <c r="J152" i="7"/>
  <c r="I152" i="7"/>
  <c r="BA151" i="7"/>
  <c r="AJ151" i="7"/>
  <c r="AH151" i="7"/>
  <c r="AG151" i="7"/>
  <c r="AF151" i="7"/>
  <c r="AE151" i="7"/>
  <c r="N151" i="7"/>
  <c r="L151" i="7"/>
  <c r="K151" i="7"/>
  <c r="J151" i="7"/>
  <c r="I151" i="7"/>
  <c r="BB150" i="7" a="1"/>
  <c r="BB150" i="7" s="1"/>
  <c r="BA150" i="7"/>
  <c r="AJ150" i="7"/>
  <c r="AH150" i="7"/>
  <c r="AG150" i="7"/>
  <c r="AF150" i="7"/>
  <c r="AE150" i="7"/>
  <c r="N150" i="7"/>
  <c r="L150" i="7"/>
  <c r="K150" i="7"/>
  <c r="J150" i="7"/>
  <c r="I150" i="7"/>
  <c r="BA149" i="7"/>
  <c r="AJ149" i="7"/>
  <c r="AH149" i="7"/>
  <c r="AG149" i="7"/>
  <c r="AF149" i="7"/>
  <c r="AE149" i="7"/>
  <c r="N149" i="7"/>
  <c r="L149" i="7"/>
  <c r="K149" i="7"/>
  <c r="J149" i="7"/>
  <c r="I149" i="7"/>
  <c r="BA148" i="7"/>
  <c r="AJ148" i="7"/>
  <c r="AH148" i="7"/>
  <c r="AG148" i="7"/>
  <c r="AF148" i="7"/>
  <c r="AE148" i="7"/>
  <c r="N148" i="7"/>
  <c r="L148" i="7"/>
  <c r="K148" i="7"/>
  <c r="J148" i="7"/>
  <c r="I148" i="7"/>
  <c r="BA147" i="7"/>
  <c r="AJ147" i="7"/>
  <c r="AH147" i="7"/>
  <c r="AG147" i="7"/>
  <c r="AF147" i="7"/>
  <c r="AE147" i="7"/>
  <c r="N147" i="7"/>
  <c r="L147" i="7"/>
  <c r="K147" i="7"/>
  <c r="J147" i="7"/>
  <c r="I147" i="7"/>
  <c r="BA146" i="7"/>
  <c r="AJ146" i="7"/>
  <c r="AH146" i="7"/>
  <c r="AG146" i="7"/>
  <c r="AF146" i="7"/>
  <c r="AE146" i="7"/>
  <c r="N146" i="7"/>
  <c r="L146" i="7"/>
  <c r="K146" i="7"/>
  <c r="J146" i="7"/>
  <c r="I146" i="7"/>
  <c r="BB145" i="7" a="1"/>
  <c r="BB145" i="7" s="1"/>
  <c r="BA145" i="7"/>
  <c r="AJ145" i="7"/>
  <c r="AH145" i="7"/>
  <c r="AG145" i="7"/>
  <c r="AF145" i="7"/>
  <c r="AE145" i="7"/>
  <c r="N145" i="7"/>
  <c r="L145" i="7"/>
  <c r="K145" i="7"/>
  <c r="J145" i="7"/>
  <c r="I145" i="7"/>
  <c r="BA144" i="7"/>
  <c r="AJ144" i="7"/>
  <c r="AH144" i="7"/>
  <c r="AG144" i="7"/>
  <c r="AF144" i="7"/>
  <c r="AE144" i="7"/>
  <c r="N144" i="7"/>
  <c r="L144" i="7"/>
  <c r="K144" i="7"/>
  <c r="J144" i="7"/>
  <c r="I144" i="7"/>
  <c r="BA143" i="7"/>
  <c r="AJ143" i="7"/>
  <c r="AH143" i="7"/>
  <c r="AG143" i="7"/>
  <c r="AF143" i="7"/>
  <c r="AE143" i="7"/>
  <c r="N143" i="7"/>
  <c r="L143" i="7"/>
  <c r="K143" i="7"/>
  <c r="J143" i="7"/>
  <c r="I143" i="7"/>
  <c r="BA142" i="7"/>
  <c r="AJ142" i="7"/>
  <c r="AH142" i="7"/>
  <c r="AG142" i="7"/>
  <c r="AF142" i="7"/>
  <c r="AE142" i="7"/>
  <c r="N142" i="7"/>
  <c r="L142" i="7"/>
  <c r="K142" i="7"/>
  <c r="J142" i="7"/>
  <c r="I142" i="7"/>
  <c r="BA141" i="7"/>
  <c r="AJ141" i="7"/>
  <c r="AH141" i="7"/>
  <c r="AG141" i="7"/>
  <c r="AF141" i="7"/>
  <c r="AE141" i="7"/>
  <c r="N141" i="7"/>
  <c r="L141" i="7"/>
  <c r="K141" i="7"/>
  <c r="J141" i="7"/>
  <c r="I141" i="7"/>
  <c r="BB140" i="7" a="1"/>
  <c r="BB140" i="7" s="1"/>
  <c r="BA140" i="7"/>
  <c r="AJ140" i="7"/>
  <c r="AH140" i="7"/>
  <c r="AG140" i="7"/>
  <c r="AF140" i="7"/>
  <c r="AE140" i="7"/>
  <c r="N140" i="7"/>
  <c r="L140" i="7"/>
  <c r="K140" i="7"/>
  <c r="J140" i="7"/>
  <c r="I140" i="7"/>
  <c r="BA139" i="7"/>
  <c r="AJ139" i="7"/>
  <c r="AH139" i="7"/>
  <c r="AG139" i="7"/>
  <c r="AF139" i="7"/>
  <c r="AE139" i="7"/>
  <c r="N139" i="7"/>
  <c r="L139" i="7"/>
  <c r="K139" i="7"/>
  <c r="J139" i="7"/>
  <c r="I139" i="7"/>
  <c r="BA138" i="7"/>
  <c r="AJ138" i="7"/>
  <c r="AH138" i="7"/>
  <c r="AG138" i="7"/>
  <c r="AF138" i="7"/>
  <c r="AE138" i="7"/>
  <c r="N138" i="7"/>
  <c r="L138" i="7"/>
  <c r="K138" i="7"/>
  <c r="J138" i="7"/>
  <c r="I138" i="7"/>
  <c r="BA137" i="7"/>
  <c r="AJ137" i="7"/>
  <c r="AH137" i="7"/>
  <c r="AG137" i="7"/>
  <c r="AF137" i="7"/>
  <c r="AE137" i="7"/>
  <c r="N137" i="7"/>
  <c r="L137" i="7"/>
  <c r="K137" i="7"/>
  <c r="J137" i="7"/>
  <c r="I137" i="7"/>
  <c r="BA136" i="7"/>
  <c r="AJ136" i="7"/>
  <c r="AH136" i="7"/>
  <c r="AG136" i="7"/>
  <c r="AF136" i="7"/>
  <c r="AE136" i="7"/>
  <c r="N136" i="7"/>
  <c r="L136" i="7"/>
  <c r="K136" i="7"/>
  <c r="J136" i="7"/>
  <c r="I136" i="7"/>
  <c r="BB135" i="7" a="1"/>
  <c r="BB135" i="7"/>
  <c r="BA135" i="7"/>
  <c r="AJ135" i="7"/>
  <c r="AH135" i="7"/>
  <c r="AG135" i="7"/>
  <c r="AF135" i="7"/>
  <c r="AE135" i="7"/>
  <c r="N135" i="7"/>
  <c r="L135" i="7"/>
  <c r="K135" i="7"/>
  <c r="J135" i="7"/>
  <c r="I135" i="7"/>
  <c r="BA134" i="7"/>
  <c r="AJ134" i="7"/>
  <c r="AH134" i="7"/>
  <c r="AG134" i="7"/>
  <c r="AF134" i="7"/>
  <c r="AE134" i="7"/>
  <c r="N134" i="7"/>
  <c r="L134" i="7"/>
  <c r="K134" i="7"/>
  <c r="J134" i="7"/>
  <c r="I134" i="7"/>
  <c r="BA133" i="7"/>
  <c r="AJ133" i="7"/>
  <c r="AH133" i="7"/>
  <c r="AG133" i="7"/>
  <c r="AF133" i="7"/>
  <c r="AE133" i="7"/>
  <c r="N133" i="7"/>
  <c r="L133" i="7"/>
  <c r="K133" i="7"/>
  <c r="J133" i="7"/>
  <c r="I133" i="7"/>
  <c r="BA132" i="7"/>
  <c r="AJ132" i="7"/>
  <c r="AH132" i="7"/>
  <c r="AG132" i="7"/>
  <c r="AF132" i="7"/>
  <c r="AE132" i="7"/>
  <c r="N132" i="7"/>
  <c r="L132" i="7"/>
  <c r="K132" i="7"/>
  <c r="J132" i="7"/>
  <c r="I132" i="7"/>
  <c r="BA131" i="7"/>
  <c r="AJ131" i="7"/>
  <c r="AH131" i="7"/>
  <c r="AG131" i="7"/>
  <c r="AF131" i="7"/>
  <c r="AE131" i="7"/>
  <c r="N131" i="7"/>
  <c r="L131" i="7"/>
  <c r="K131" i="7"/>
  <c r="J131" i="7"/>
  <c r="I131" i="7"/>
  <c r="BB130" i="7" a="1"/>
  <c r="BB130" i="7" s="1"/>
  <c r="BA130" i="7"/>
  <c r="AJ130" i="7"/>
  <c r="AH130" i="7"/>
  <c r="AG130" i="7"/>
  <c r="AF130" i="7"/>
  <c r="AE130" i="7"/>
  <c r="N130" i="7"/>
  <c r="L130" i="7"/>
  <c r="K130" i="7"/>
  <c r="J130" i="7"/>
  <c r="I130" i="7"/>
  <c r="BA129" i="7"/>
  <c r="AJ129" i="7"/>
  <c r="AH129" i="7"/>
  <c r="AG129" i="7"/>
  <c r="AF129" i="7"/>
  <c r="AE129" i="7"/>
  <c r="N129" i="7"/>
  <c r="L129" i="7"/>
  <c r="K129" i="7"/>
  <c r="J129" i="7"/>
  <c r="I129" i="7"/>
  <c r="BA128" i="7"/>
  <c r="AJ128" i="7"/>
  <c r="AH128" i="7"/>
  <c r="AG128" i="7"/>
  <c r="AF128" i="7"/>
  <c r="AE128" i="7"/>
  <c r="N128" i="7"/>
  <c r="L128" i="7"/>
  <c r="K128" i="7"/>
  <c r="J128" i="7"/>
  <c r="I128" i="7"/>
  <c r="BA127" i="7"/>
  <c r="AJ127" i="7"/>
  <c r="AH127" i="7"/>
  <c r="AG127" i="7"/>
  <c r="AF127" i="7"/>
  <c r="AE127" i="7"/>
  <c r="N127" i="7"/>
  <c r="L127" i="7"/>
  <c r="K127" i="7"/>
  <c r="J127" i="7"/>
  <c r="I127" i="7"/>
  <c r="BA126" i="7"/>
  <c r="AJ126" i="7"/>
  <c r="AH126" i="7"/>
  <c r="AG126" i="7"/>
  <c r="AF126" i="7"/>
  <c r="AE126" i="7"/>
  <c r="N126" i="7"/>
  <c r="L126" i="7"/>
  <c r="K126" i="7"/>
  <c r="J126" i="7"/>
  <c r="I126" i="7"/>
  <c r="BB125" i="7" a="1"/>
  <c r="BB125" i="7" s="1"/>
  <c r="BA125" i="7"/>
  <c r="AJ125" i="7"/>
  <c r="AH125" i="7"/>
  <c r="AG125" i="7"/>
  <c r="AF125" i="7"/>
  <c r="AE125" i="7"/>
  <c r="N125" i="7"/>
  <c r="L125" i="7"/>
  <c r="K125" i="7"/>
  <c r="J125" i="7"/>
  <c r="I125" i="7"/>
  <c r="BA124" i="7"/>
  <c r="AJ124" i="7"/>
  <c r="AH124" i="7"/>
  <c r="AG124" i="7"/>
  <c r="AF124" i="7"/>
  <c r="AE124" i="7"/>
  <c r="N124" i="7"/>
  <c r="L124" i="7"/>
  <c r="K124" i="7"/>
  <c r="J124" i="7"/>
  <c r="I124" i="7"/>
  <c r="BA123" i="7"/>
  <c r="AJ123" i="7"/>
  <c r="AH123" i="7"/>
  <c r="AG123" i="7"/>
  <c r="AF123" i="7"/>
  <c r="AE123" i="7"/>
  <c r="N123" i="7"/>
  <c r="L123" i="7"/>
  <c r="K123" i="7"/>
  <c r="J123" i="7"/>
  <c r="I123" i="7"/>
  <c r="BA122" i="7"/>
  <c r="AJ122" i="7"/>
  <c r="AH122" i="7"/>
  <c r="AG122" i="7"/>
  <c r="AF122" i="7"/>
  <c r="AE122" i="7"/>
  <c r="N122" i="7"/>
  <c r="L122" i="7"/>
  <c r="K122" i="7"/>
  <c r="J122" i="7"/>
  <c r="I122" i="7"/>
  <c r="BA121" i="7"/>
  <c r="AJ121" i="7"/>
  <c r="AH121" i="7"/>
  <c r="AG121" i="7"/>
  <c r="AF121" i="7"/>
  <c r="AE121" i="7"/>
  <c r="N121" i="7"/>
  <c r="L121" i="7"/>
  <c r="K121" i="7"/>
  <c r="J121" i="7"/>
  <c r="I121" i="7"/>
  <c r="BB120" i="7" a="1"/>
  <c r="BB120" i="7" s="1"/>
  <c r="BA120" i="7"/>
  <c r="AJ120" i="7"/>
  <c r="AH120" i="7"/>
  <c r="AG120" i="7"/>
  <c r="AF120" i="7"/>
  <c r="AE120" i="7"/>
  <c r="N120" i="7"/>
  <c r="L120" i="7"/>
  <c r="K120" i="7"/>
  <c r="J120" i="7"/>
  <c r="I120" i="7"/>
  <c r="BA119" i="7"/>
  <c r="AJ119" i="7"/>
  <c r="AH119" i="7"/>
  <c r="AG119" i="7"/>
  <c r="AF119" i="7"/>
  <c r="AE119" i="7"/>
  <c r="N119" i="7"/>
  <c r="L119" i="7"/>
  <c r="K119" i="7"/>
  <c r="J119" i="7"/>
  <c r="I119" i="7"/>
  <c r="BA118" i="7"/>
  <c r="AJ118" i="7"/>
  <c r="AH118" i="7"/>
  <c r="AG118" i="7"/>
  <c r="AF118" i="7"/>
  <c r="AE118" i="7"/>
  <c r="N118" i="7"/>
  <c r="L118" i="7"/>
  <c r="K118" i="7"/>
  <c r="J118" i="7"/>
  <c r="I118" i="7"/>
  <c r="BA117" i="7"/>
  <c r="AJ117" i="7"/>
  <c r="AH117" i="7"/>
  <c r="AG117" i="7"/>
  <c r="AF117" i="7"/>
  <c r="AE117" i="7"/>
  <c r="N117" i="7"/>
  <c r="L117" i="7"/>
  <c r="K117" i="7"/>
  <c r="J117" i="7"/>
  <c r="I117" i="7"/>
  <c r="BA116" i="7"/>
  <c r="AJ116" i="7"/>
  <c r="AH116" i="7"/>
  <c r="AG116" i="7"/>
  <c r="AF116" i="7"/>
  <c r="AE116" i="7"/>
  <c r="N116" i="7"/>
  <c r="L116" i="7"/>
  <c r="K116" i="7"/>
  <c r="J116" i="7"/>
  <c r="I116" i="7"/>
  <c r="BB115" i="7" a="1"/>
  <c r="BB115" i="7"/>
  <c r="BA115" i="7"/>
  <c r="AJ115" i="7"/>
  <c r="AH115" i="7"/>
  <c r="AG115" i="7"/>
  <c r="AF115" i="7"/>
  <c r="AE115" i="7"/>
  <c r="N115" i="7"/>
  <c r="L115" i="7"/>
  <c r="K115" i="7"/>
  <c r="J115" i="7"/>
  <c r="I115" i="7"/>
  <c r="BA114" i="7"/>
  <c r="AJ114" i="7"/>
  <c r="AH114" i="7"/>
  <c r="AG114" i="7"/>
  <c r="AF114" i="7"/>
  <c r="AE114" i="7"/>
  <c r="N114" i="7"/>
  <c r="L114" i="7"/>
  <c r="K114" i="7"/>
  <c r="J114" i="7"/>
  <c r="I114" i="7"/>
  <c r="BA113" i="7"/>
  <c r="AJ113" i="7"/>
  <c r="AH113" i="7"/>
  <c r="AG113" i="7"/>
  <c r="AF113" i="7"/>
  <c r="AE113" i="7"/>
  <c r="N113" i="7"/>
  <c r="L113" i="7"/>
  <c r="K113" i="7"/>
  <c r="J113" i="7"/>
  <c r="I113" i="7"/>
  <c r="BA112" i="7"/>
  <c r="AJ112" i="7"/>
  <c r="AH112" i="7"/>
  <c r="AG112" i="7"/>
  <c r="AF112" i="7"/>
  <c r="AE112" i="7"/>
  <c r="N112" i="7"/>
  <c r="L112" i="7"/>
  <c r="K112" i="7"/>
  <c r="J112" i="7"/>
  <c r="I112" i="7"/>
  <c r="BA111" i="7"/>
  <c r="AJ111" i="7"/>
  <c r="AH111" i="7"/>
  <c r="AG111" i="7"/>
  <c r="AF111" i="7"/>
  <c r="AE111" i="7"/>
  <c r="N111" i="7"/>
  <c r="L111" i="7"/>
  <c r="K111" i="7"/>
  <c r="J111" i="7"/>
  <c r="I111" i="7"/>
  <c r="BB110" i="7" a="1"/>
  <c r="BB110" i="7" s="1"/>
  <c r="BA110" i="7"/>
  <c r="AJ110" i="7"/>
  <c r="AH110" i="7"/>
  <c r="AG110" i="7"/>
  <c r="AF110" i="7"/>
  <c r="AE110" i="7"/>
  <c r="N110" i="7"/>
  <c r="L110" i="7"/>
  <c r="K110" i="7"/>
  <c r="J110" i="7"/>
  <c r="I110" i="7"/>
  <c r="BA109" i="7"/>
  <c r="AJ109" i="7"/>
  <c r="AH109" i="7"/>
  <c r="AG109" i="7"/>
  <c r="AF109" i="7"/>
  <c r="AE109" i="7"/>
  <c r="N109" i="7"/>
  <c r="L109" i="7"/>
  <c r="K109" i="7"/>
  <c r="J109" i="7"/>
  <c r="I109" i="7"/>
  <c r="BA108" i="7"/>
  <c r="AJ108" i="7"/>
  <c r="AH108" i="7"/>
  <c r="AG108" i="7"/>
  <c r="AF108" i="7"/>
  <c r="AE108" i="7"/>
  <c r="N108" i="7"/>
  <c r="L108" i="7"/>
  <c r="K108" i="7"/>
  <c r="J108" i="7"/>
  <c r="I108" i="7"/>
  <c r="BA107" i="7"/>
  <c r="AJ107" i="7"/>
  <c r="AH107" i="7"/>
  <c r="AG107" i="7"/>
  <c r="AF107" i="7"/>
  <c r="AE107" i="7"/>
  <c r="N107" i="7"/>
  <c r="L107" i="7"/>
  <c r="K107" i="7"/>
  <c r="J107" i="7"/>
  <c r="I107" i="7"/>
  <c r="BA106" i="7"/>
  <c r="AJ106" i="7"/>
  <c r="AH106" i="7"/>
  <c r="AG106" i="7"/>
  <c r="AF106" i="7"/>
  <c r="AE106" i="7"/>
  <c r="N106" i="7"/>
  <c r="L106" i="7"/>
  <c r="K106" i="7"/>
  <c r="J106" i="7"/>
  <c r="I106" i="7"/>
  <c r="BB105" i="7" a="1"/>
  <c r="BB105" i="7" s="1"/>
  <c r="BA105" i="7"/>
  <c r="AJ105" i="7"/>
  <c r="AH105" i="7"/>
  <c r="AG105" i="7"/>
  <c r="AF105" i="7"/>
  <c r="AE105" i="7"/>
  <c r="N105" i="7"/>
  <c r="L105" i="7"/>
  <c r="K105" i="7"/>
  <c r="J105" i="7"/>
  <c r="I105" i="7"/>
  <c r="BA104" i="7"/>
  <c r="AJ104" i="7"/>
  <c r="AH104" i="7"/>
  <c r="AG104" i="7"/>
  <c r="AF104" i="7"/>
  <c r="AE104" i="7"/>
  <c r="N104" i="7"/>
  <c r="L104" i="7"/>
  <c r="K104" i="7"/>
  <c r="J104" i="7"/>
  <c r="I104" i="7"/>
  <c r="BA103" i="7"/>
  <c r="AJ103" i="7"/>
  <c r="AH103" i="7"/>
  <c r="AG103" i="7"/>
  <c r="AF103" i="7"/>
  <c r="AE103" i="7"/>
  <c r="N103" i="7"/>
  <c r="L103" i="7"/>
  <c r="K103" i="7"/>
  <c r="J103" i="7"/>
  <c r="I103" i="7"/>
  <c r="BA102" i="7"/>
  <c r="AJ102" i="7"/>
  <c r="AH102" i="7"/>
  <c r="AG102" i="7"/>
  <c r="AF102" i="7"/>
  <c r="AE102" i="7"/>
  <c r="N102" i="7"/>
  <c r="L102" i="7"/>
  <c r="K102" i="7"/>
  <c r="J102" i="7"/>
  <c r="I102" i="7"/>
  <c r="BA101" i="7"/>
  <c r="AJ101" i="7"/>
  <c r="AH101" i="7"/>
  <c r="AG101" i="7"/>
  <c r="AF101" i="7"/>
  <c r="AE101" i="7"/>
  <c r="N101" i="7"/>
  <c r="L101" i="7"/>
  <c r="K101" i="7"/>
  <c r="J101" i="7"/>
  <c r="I101" i="7"/>
  <c r="BB100" i="7" a="1"/>
  <c r="BB100" i="7" s="1"/>
  <c r="BA100" i="7"/>
  <c r="AJ100" i="7"/>
  <c r="AH100" i="7"/>
  <c r="AG100" i="7"/>
  <c r="AF100" i="7"/>
  <c r="AE100" i="7"/>
  <c r="N100" i="7"/>
  <c r="L100" i="7"/>
  <c r="K100" i="7"/>
  <c r="J100" i="7"/>
  <c r="I100" i="7"/>
  <c r="BA99" i="7"/>
  <c r="AJ99" i="7"/>
  <c r="AH99" i="7"/>
  <c r="AG99" i="7"/>
  <c r="AF99" i="7"/>
  <c r="AE99" i="7"/>
  <c r="N99" i="7"/>
  <c r="L99" i="7"/>
  <c r="K99" i="7"/>
  <c r="J99" i="7"/>
  <c r="I99" i="7"/>
  <c r="BA98" i="7"/>
  <c r="AJ98" i="7"/>
  <c r="AH98" i="7"/>
  <c r="AG98" i="7"/>
  <c r="AF98" i="7"/>
  <c r="AE98" i="7"/>
  <c r="N98" i="7"/>
  <c r="L98" i="7"/>
  <c r="K98" i="7"/>
  <c r="J98" i="7"/>
  <c r="I98" i="7"/>
  <c r="BA97" i="7"/>
  <c r="AJ97" i="7"/>
  <c r="AH97" i="7"/>
  <c r="AG97" i="7"/>
  <c r="AF97" i="7"/>
  <c r="AE97" i="7"/>
  <c r="N97" i="7"/>
  <c r="L97" i="7"/>
  <c r="K97" i="7"/>
  <c r="J97" i="7"/>
  <c r="I97" i="7"/>
  <c r="BA96" i="7"/>
  <c r="AJ96" i="7"/>
  <c r="AH96" i="7"/>
  <c r="AG96" i="7"/>
  <c r="AF96" i="7"/>
  <c r="AE96" i="7"/>
  <c r="N96" i="7"/>
  <c r="L96" i="7"/>
  <c r="K96" i="7"/>
  <c r="J96" i="7"/>
  <c r="I96" i="7"/>
  <c r="BB95" i="7" a="1"/>
  <c r="BB95" i="7"/>
  <c r="BA95" i="7"/>
  <c r="AJ95" i="7"/>
  <c r="AH95" i="7"/>
  <c r="AG95" i="7"/>
  <c r="AF95" i="7"/>
  <c r="AE95" i="7"/>
  <c r="N95" i="7"/>
  <c r="L95" i="7"/>
  <c r="K95" i="7"/>
  <c r="J95" i="7"/>
  <c r="I95" i="7"/>
  <c r="BA94" i="7"/>
  <c r="AJ94" i="7"/>
  <c r="AH94" i="7"/>
  <c r="AG94" i="7"/>
  <c r="AF94" i="7"/>
  <c r="AE94" i="7"/>
  <c r="N94" i="7"/>
  <c r="L94" i="7"/>
  <c r="K94" i="7"/>
  <c r="J94" i="7"/>
  <c r="I94" i="7"/>
  <c r="BA93" i="7"/>
  <c r="AJ93" i="7"/>
  <c r="AH93" i="7"/>
  <c r="AG93" i="7"/>
  <c r="AF93" i="7"/>
  <c r="AE93" i="7"/>
  <c r="N93" i="7"/>
  <c r="L93" i="7"/>
  <c r="K93" i="7"/>
  <c r="J93" i="7"/>
  <c r="I93" i="7"/>
  <c r="BA92" i="7"/>
  <c r="AJ92" i="7"/>
  <c r="AH92" i="7"/>
  <c r="AG92" i="7"/>
  <c r="AF92" i="7"/>
  <c r="AE92" i="7"/>
  <c r="N92" i="7"/>
  <c r="L92" i="7"/>
  <c r="K92" i="7"/>
  <c r="J92" i="7"/>
  <c r="I92" i="7"/>
  <c r="BA91" i="7"/>
  <c r="AJ91" i="7"/>
  <c r="AH91" i="7"/>
  <c r="AG91" i="7"/>
  <c r="AF91" i="7"/>
  <c r="AE91" i="7"/>
  <c r="N91" i="7"/>
  <c r="L91" i="7"/>
  <c r="K91" i="7"/>
  <c r="J91" i="7"/>
  <c r="I91" i="7"/>
  <c r="BB90" i="7" a="1"/>
  <c r="BB90" i="7" s="1"/>
  <c r="BA90" i="7"/>
  <c r="AJ90" i="7"/>
  <c r="AH90" i="7"/>
  <c r="AG90" i="7"/>
  <c r="AF90" i="7"/>
  <c r="AE90" i="7"/>
  <c r="N90" i="7"/>
  <c r="L90" i="7"/>
  <c r="K90" i="7"/>
  <c r="J90" i="7"/>
  <c r="I90" i="7"/>
  <c r="BA89" i="7"/>
  <c r="AJ89" i="7"/>
  <c r="AH89" i="7"/>
  <c r="AG89" i="7"/>
  <c r="AF89" i="7"/>
  <c r="AE89" i="7"/>
  <c r="N89" i="7"/>
  <c r="L89" i="7"/>
  <c r="K89" i="7"/>
  <c r="J89" i="7"/>
  <c r="I89" i="7"/>
  <c r="BA88" i="7"/>
  <c r="AJ88" i="7"/>
  <c r="AH88" i="7"/>
  <c r="AG88" i="7"/>
  <c r="AF88" i="7"/>
  <c r="AE88" i="7"/>
  <c r="N88" i="7"/>
  <c r="L88" i="7"/>
  <c r="K88" i="7"/>
  <c r="J88" i="7"/>
  <c r="I88" i="7"/>
  <c r="BA87" i="7"/>
  <c r="AJ87" i="7"/>
  <c r="AH87" i="7"/>
  <c r="AG87" i="7"/>
  <c r="AF87" i="7"/>
  <c r="AE87" i="7"/>
  <c r="N87" i="7"/>
  <c r="L87" i="7"/>
  <c r="K87" i="7"/>
  <c r="J87" i="7"/>
  <c r="I87" i="7"/>
  <c r="BA86" i="7"/>
  <c r="AJ86" i="7"/>
  <c r="AH86" i="7"/>
  <c r="AG86" i="7"/>
  <c r="AF86" i="7"/>
  <c r="AE86" i="7"/>
  <c r="N86" i="7"/>
  <c r="L86" i="7"/>
  <c r="K86" i="7"/>
  <c r="J86" i="7"/>
  <c r="I86" i="7"/>
  <c r="BB85" i="7" a="1"/>
  <c r="BB85" i="7" s="1"/>
  <c r="BA85" i="7"/>
  <c r="AJ85" i="7"/>
  <c r="AH85" i="7"/>
  <c r="AG85" i="7"/>
  <c r="AF85" i="7"/>
  <c r="AE85" i="7"/>
  <c r="N85" i="7"/>
  <c r="L85" i="7"/>
  <c r="K85" i="7"/>
  <c r="J85" i="7"/>
  <c r="I85" i="7"/>
  <c r="BA84" i="7"/>
  <c r="AJ84" i="7"/>
  <c r="AH84" i="7"/>
  <c r="AG84" i="7"/>
  <c r="AF84" i="7"/>
  <c r="AE84" i="7"/>
  <c r="N84" i="7"/>
  <c r="L84" i="7"/>
  <c r="K84" i="7"/>
  <c r="J84" i="7"/>
  <c r="I84" i="7"/>
  <c r="BA83" i="7"/>
  <c r="AJ83" i="7"/>
  <c r="AH83" i="7"/>
  <c r="AG83" i="7"/>
  <c r="AF83" i="7"/>
  <c r="AE83" i="7"/>
  <c r="N83" i="7"/>
  <c r="L83" i="7"/>
  <c r="K83" i="7"/>
  <c r="J83" i="7"/>
  <c r="I83" i="7"/>
  <c r="BA82" i="7"/>
  <c r="AJ82" i="7"/>
  <c r="AH82" i="7"/>
  <c r="AG82" i="7"/>
  <c r="AF82" i="7"/>
  <c r="AE82" i="7"/>
  <c r="N82" i="7"/>
  <c r="L82" i="7"/>
  <c r="K82" i="7"/>
  <c r="J82" i="7"/>
  <c r="I82" i="7"/>
  <c r="BA81" i="7"/>
  <c r="AJ81" i="7"/>
  <c r="AH81" i="7"/>
  <c r="AG81" i="7"/>
  <c r="AF81" i="7"/>
  <c r="AE81" i="7"/>
  <c r="N81" i="7"/>
  <c r="L81" i="7"/>
  <c r="K81" i="7"/>
  <c r="J81" i="7"/>
  <c r="I81" i="7"/>
  <c r="BB80" i="7" a="1"/>
  <c r="BB80" i="7" s="1"/>
  <c r="BA80" i="7"/>
  <c r="AJ80" i="7"/>
  <c r="AH80" i="7"/>
  <c r="AG80" i="7"/>
  <c r="AF80" i="7"/>
  <c r="AE80" i="7"/>
  <c r="N80" i="7"/>
  <c r="L80" i="7"/>
  <c r="K80" i="7"/>
  <c r="J80" i="7"/>
  <c r="I80" i="7"/>
  <c r="BA79" i="7"/>
  <c r="AJ79" i="7"/>
  <c r="AH79" i="7"/>
  <c r="AG79" i="7"/>
  <c r="AF79" i="7"/>
  <c r="AE79" i="7"/>
  <c r="N79" i="7"/>
  <c r="L79" i="7"/>
  <c r="K79" i="7"/>
  <c r="J79" i="7"/>
  <c r="I79" i="7"/>
  <c r="BA78" i="7"/>
  <c r="AJ78" i="7"/>
  <c r="AH78" i="7"/>
  <c r="AG78" i="7"/>
  <c r="AF78" i="7"/>
  <c r="AE78" i="7"/>
  <c r="N78" i="7"/>
  <c r="L78" i="7"/>
  <c r="K78" i="7"/>
  <c r="J78" i="7"/>
  <c r="I78" i="7"/>
  <c r="BA77" i="7"/>
  <c r="AJ77" i="7"/>
  <c r="AH77" i="7"/>
  <c r="AG77" i="7"/>
  <c r="AF77" i="7"/>
  <c r="AE77" i="7"/>
  <c r="N77" i="7"/>
  <c r="L77" i="7"/>
  <c r="K77" i="7"/>
  <c r="J77" i="7"/>
  <c r="I77" i="7"/>
  <c r="BA76" i="7"/>
  <c r="AJ76" i="7"/>
  <c r="AH76" i="7"/>
  <c r="AG76" i="7"/>
  <c r="AF76" i="7"/>
  <c r="AE76" i="7"/>
  <c r="N76" i="7"/>
  <c r="L76" i="7"/>
  <c r="K76" i="7"/>
  <c r="J76" i="7"/>
  <c r="I76" i="7"/>
  <c r="BB75" i="7" a="1"/>
  <c r="BB75" i="7"/>
  <c r="BA75" i="7"/>
  <c r="AJ75" i="7"/>
  <c r="AH75" i="7"/>
  <c r="AG75" i="7"/>
  <c r="AF75" i="7"/>
  <c r="AE75" i="7"/>
  <c r="N75" i="7"/>
  <c r="L75" i="7"/>
  <c r="K75" i="7"/>
  <c r="J75" i="7"/>
  <c r="I75" i="7"/>
  <c r="BA74" i="7"/>
  <c r="AJ74" i="7"/>
  <c r="AH74" i="7"/>
  <c r="AG74" i="7"/>
  <c r="AF74" i="7"/>
  <c r="AE74" i="7"/>
  <c r="N74" i="7"/>
  <c r="L74" i="7"/>
  <c r="K74" i="7"/>
  <c r="J74" i="7"/>
  <c r="I74" i="7"/>
  <c r="BA73" i="7"/>
  <c r="AJ73" i="7"/>
  <c r="AH73" i="7"/>
  <c r="AG73" i="7"/>
  <c r="AF73" i="7"/>
  <c r="AE73" i="7"/>
  <c r="N73" i="7"/>
  <c r="L73" i="7"/>
  <c r="K73" i="7"/>
  <c r="J73" i="7"/>
  <c r="I73" i="7"/>
  <c r="BA72" i="7"/>
  <c r="AJ72" i="7"/>
  <c r="AH72" i="7"/>
  <c r="AG72" i="7"/>
  <c r="AF72" i="7"/>
  <c r="AE72" i="7"/>
  <c r="N72" i="7"/>
  <c r="L72" i="7"/>
  <c r="K72" i="7"/>
  <c r="J72" i="7"/>
  <c r="I72" i="7"/>
  <c r="BA71" i="7"/>
  <c r="AJ71" i="7"/>
  <c r="AH71" i="7"/>
  <c r="AG71" i="7"/>
  <c r="AF71" i="7"/>
  <c r="AE71" i="7"/>
  <c r="N71" i="7"/>
  <c r="L71" i="7"/>
  <c r="K71" i="7"/>
  <c r="J71" i="7"/>
  <c r="I71" i="7"/>
  <c r="BB70" i="7" a="1"/>
  <c r="BB70" i="7"/>
  <c r="BA70" i="7"/>
  <c r="AJ70" i="7"/>
  <c r="AH70" i="7"/>
  <c r="AG70" i="7"/>
  <c r="AF70" i="7"/>
  <c r="AE70" i="7"/>
  <c r="N70" i="7"/>
  <c r="L70" i="7"/>
  <c r="K70" i="7"/>
  <c r="J70" i="7"/>
  <c r="I70" i="7"/>
  <c r="BA69" i="7"/>
  <c r="AJ69" i="7"/>
  <c r="AH69" i="7"/>
  <c r="AG69" i="7"/>
  <c r="AF69" i="7"/>
  <c r="AE69" i="7"/>
  <c r="N69" i="7"/>
  <c r="L69" i="7"/>
  <c r="K69" i="7"/>
  <c r="J69" i="7"/>
  <c r="I69" i="7"/>
  <c r="BA68" i="7"/>
  <c r="AJ68" i="7"/>
  <c r="AH68" i="7"/>
  <c r="AG68" i="7"/>
  <c r="AF68" i="7"/>
  <c r="AE68" i="7"/>
  <c r="N68" i="7"/>
  <c r="L68" i="7"/>
  <c r="K68" i="7"/>
  <c r="J68" i="7"/>
  <c r="I68" i="7"/>
  <c r="BA67" i="7"/>
  <c r="AJ67" i="7"/>
  <c r="AH67" i="7"/>
  <c r="AG67" i="7"/>
  <c r="AF67" i="7"/>
  <c r="AE67" i="7"/>
  <c r="N67" i="7"/>
  <c r="L67" i="7"/>
  <c r="K67" i="7"/>
  <c r="J67" i="7"/>
  <c r="I67" i="7"/>
  <c r="BA66" i="7"/>
  <c r="AJ66" i="7"/>
  <c r="AH66" i="7"/>
  <c r="AG66" i="7"/>
  <c r="AF66" i="7"/>
  <c r="AE66" i="7"/>
  <c r="N66" i="7"/>
  <c r="L66" i="7"/>
  <c r="K66" i="7"/>
  <c r="J66" i="7"/>
  <c r="I66" i="7"/>
  <c r="BB65" i="7" a="1"/>
  <c r="BB65" i="7" s="1"/>
  <c r="BA65" i="7"/>
  <c r="AJ65" i="7"/>
  <c r="AH65" i="7"/>
  <c r="AG65" i="7"/>
  <c r="AF65" i="7"/>
  <c r="AE65" i="7"/>
  <c r="N65" i="7"/>
  <c r="L65" i="7"/>
  <c r="K65" i="7"/>
  <c r="J65" i="7"/>
  <c r="I65" i="7"/>
  <c r="BA64" i="7"/>
  <c r="AJ64" i="7"/>
  <c r="AH64" i="7"/>
  <c r="AG64" i="7"/>
  <c r="AF64" i="7"/>
  <c r="AE64" i="7"/>
  <c r="N64" i="7"/>
  <c r="L64" i="7"/>
  <c r="K64" i="7"/>
  <c r="J64" i="7"/>
  <c r="I64" i="7"/>
  <c r="BA63" i="7"/>
  <c r="AJ63" i="7"/>
  <c r="AH63" i="7"/>
  <c r="AG63" i="7"/>
  <c r="AF63" i="7"/>
  <c r="AE63" i="7"/>
  <c r="N63" i="7"/>
  <c r="L63" i="7"/>
  <c r="K63" i="7"/>
  <c r="J63" i="7"/>
  <c r="I63" i="7"/>
  <c r="BA62" i="7"/>
  <c r="AJ62" i="7"/>
  <c r="AH62" i="7"/>
  <c r="AG62" i="7"/>
  <c r="AF62" i="7"/>
  <c r="AE62" i="7"/>
  <c r="N62" i="7"/>
  <c r="L62" i="7"/>
  <c r="K62" i="7"/>
  <c r="J62" i="7"/>
  <c r="I62" i="7"/>
  <c r="BA61" i="7"/>
  <c r="AJ61" i="7"/>
  <c r="AH61" i="7"/>
  <c r="AG61" i="7"/>
  <c r="AF61" i="7"/>
  <c r="AE61" i="7"/>
  <c r="N61" i="7"/>
  <c r="L61" i="7"/>
  <c r="K61" i="7"/>
  <c r="J61" i="7"/>
  <c r="I61" i="7"/>
  <c r="BB60" i="7" a="1"/>
  <c r="BB60" i="7" s="1"/>
  <c r="BA60" i="7"/>
  <c r="AJ60" i="7"/>
  <c r="AH60" i="7"/>
  <c r="AG60" i="7"/>
  <c r="AF60" i="7"/>
  <c r="AE60" i="7"/>
  <c r="N60" i="7"/>
  <c r="L60" i="7"/>
  <c r="K60" i="7"/>
  <c r="J60" i="7"/>
  <c r="I60" i="7"/>
  <c r="BA59" i="7"/>
  <c r="AJ59" i="7"/>
  <c r="AH59" i="7"/>
  <c r="AG59" i="7"/>
  <c r="AF59" i="7"/>
  <c r="AE59" i="7"/>
  <c r="N59" i="7"/>
  <c r="L59" i="7"/>
  <c r="K59" i="7"/>
  <c r="J59" i="7"/>
  <c r="I59" i="7"/>
  <c r="BA58" i="7"/>
  <c r="AJ58" i="7"/>
  <c r="AH58" i="7"/>
  <c r="AG58" i="7"/>
  <c r="AF58" i="7"/>
  <c r="AE58" i="7"/>
  <c r="N58" i="7"/>
  <c r="L58" i="7"/>
  <c r="K58" i="7"/>
  <c r="J58" i="7"/>
  <c r="I58" i="7"/>
  <c r="BA57" i="7"/>
  <c r="AJ57" i="7"/>
  <c r="AH57" i="7"/>
  <c r="AG57" i="7"/>
  <c r="AF57" i="7"/>
  <c r="AE57" i="7"/>
  <c r="N57" i="7"/>
  <c r="L57" i="7"/>
  <c r="K57" i="7"/>
  <c r="J57" i="7"/>
  <c r="I57" i="7"/>
  <c r="BA56" i="7"/>
  <c r="AJ56" i="7"/>
  <c r="AH56" i="7"/>
  <c r="AG56" i="7"/>
  <c r="AF56" i="7"/>
  <c r="AE56" i="7"/>
  <c r="N56" i="7"/>
  <c r="L56" i="7"/>
  <c r="K56" i="7"/>
  <c r="J56" i="7"/>
  <c r="I56" i="7"/>
  <c r="BB55" i="7" a="1"/>
  <c r="BB55" i="7"/>
  <c r="BA55" i="7"/>
  <c r="AJ55" i="7"/>
  <c r="AH55" i="7"/>
  <c r="AG55" i="7"/>
  <c r="AF55" i="7"/>
  <c r="AE55" i="7"/>
  <c r="N55" i="7"/>
  <c r="L55" i="7"/>
  <c r="K55" i="7"/>
  <c r="J55" i="7"/>
  <c r="I55" i="7"/>
  <c r="BA54" i="7"/>
  <c r="AJ54" i="7"/>
  <c r="AH54" i="7"/>
  <c r="AG54" i="7"/>
  <c r="AF54" i="7"/>
  <c r="AE54" i="7"/>
  <c r="N54" i="7"/>
  <c r="L54" i="7"/>
  <c r="K54" i="7"/>
  <c r="J54" i="7"/>
  <c r="I54" i="7"/>
  <c r="BA53" i="7"/>
  <c r="AJ53" i="7"/>
  <c r="AH53" i="7"/>
  <c r="AG53" i="7"/>
  <c r="AF53" i="7"/>
  <c r="AE53" i="7"/>
  <c r="N53" i="7"/>
  <c r="L53" i="7"/>
  <c r="K53" i="7"/>
  <c r="J53" i="7"/>
  <c r="I53" i="7"/>
  <c r="BA52" i="7"/>
  <c r="AJ52" i="7"/>
  <c r="AH52" i="7"/>
  <c r="AG52" i="7"/>
  <c r="AF52" i="7"/>
  <c r="AE52" i="7"/>
  <c r="N52" i="7"/>
  <c r="L52" i="7"/>
  <c r="K52" i="7"/>
  <c r="J52" i="7"/>
  <c r="I52" i="7"/>
  <c r="BA51" i="7"/>
  <c r="AJ51" i="7"/>
  <c r="AH51" i="7"/>
  <c r="AG51" i="7"/>
  <c r="AF51" i="7"/>
  <c r="AE51" i="7"/>
  <c r="N51" i="7"/>
  <c r="L51" i="7"/>
  <c r="K51" i="7"/>
  <c r="J51" i="7"/>
  <c r="I51" i="7"/>
  <c r="BB50" i="7" a="1"/>
  <c r="BB50" i="7"/>
  <c r="BA50" i="7"/>
  <c r="AJ50" i="7"/>
  <c r="AH50" i="7"/>
  <c r="AG50" i="7"/>
  <c r="AF50" i="7"/>
  <c r="AE50" i="7"/>
  <c r="N50" i="7"/>
  <c r="L50" i="7"/>
  <c r="K50" i="7"/>
  <c r="J50" i="7"/>
  <c r="I50" i="7"/>
  <c r="BA49" i="7"/>
  <c r="AJ49" i="7"/>
  <c r="AH49" i="7"/>
  <c r="AG49" i="7"/>
  <c r="AF49" i="7"/>
  <c r="AE49" i="7"/>
  <c r="N49" i="7"/>
  <c r="L49" i="7"/>
  <c r="K49" i="7"/>
  <c r="J49" i="7"/>
  <c r="I49" i="7"/>
  <c r="BA48" i="7"/>
  <c r="AJ48" i="7"/>
  <c r="AH48" i="7"/>
  <c r="AG48" i="7"/>
  <c r="AF48" i="7"/>
  <c r="AE48" i="7"/>
  <c r="N48" i="7"/>
  <c r="L48" i="7"/>
  <c r="K48" i="7"/>
  <c r="J48" i="7"/>
  <c r="I48" i="7"/>
  <c r="BA47" i="7"/>
  <c r="AJ47" i="7"/>
  <c r="AH47" i="7"/>
  <c r="AG47" i="7"/>
  <c r="AF47" i="7"/>
  <c r="AE47" i="7"/>
  <c r="N47" i="7"/>
  <c r="L47" i="7"/>
  <c r="K47" i="7"/>
  <c r="J47" i="7"/>
  <c r="I47" i="7"/>
  <c r="BA46" i="7"/>
  <c r="AJ46" i="7"/>
  <c r="AH46" i="7"/>
  <c r="AG46" i="7"/>
  <c r="AF46" i="7"/>
  <c r="AE46" i="7"/>
  <c r="N46" i="7"/>
  <c r="L46" i="7"/>
  <c r="K46" i="7"/>
  <c r="J46" i="7"/>
  <c r="I46" i="7"/>
  <c r="BB45" i="7" a="1"/>
  <c r="BB45" i="7" s="1"/>
  <c r="BA45" i="7"/>
  <c r="AJ45" i="7"/>
  <c r="AH45" i="7"/>
  <c r="AG45" i="7"/>
  <c r="AF45" i="7"/>
  <c r="AE45" i="7"/>
  <c r="N45" i="7"/>
  <c r="L45" i="7"/>
  <c r="K45" i="7"/>
  <c r="J45" i="7"/>
  <c r="I45" i="7"/>
  <c r="BA44" i="7"/>
  <c r="AJ44" i="7"/>
  <c r="AH44" i="7"/>
  <c r="AG44" i="7"/>
  <c r="AF44" i="7"/>
  <c r="AE44" i="7"/>
  <c r="N44" i="7"/>
  <c r="L44" i="7"/>
  <c r="K44" i="7"/>
  <c r="J44" i="7"/>
  <c r="I44" i="7"/>
  <c r="BA43" i="7"/>
  <c r="AJ43" i="7"/>
  <c r="AH43" i="7"/>
  <c r="AG43" i="7"/>
  <c r="AF43" i="7"/>
  <c r="AE43" i="7"/>
  <c r="N43" i="7"/>
  <c r="L43" i="7"/>
  <c r="K43" i="7"/>
  <c r="J43" i="7"/>
  <c r="I43" i="7"/>
  <c r="BA42" i="7"/>
  <c r="AJ42" i="7"/>
  <c r="AH42" i="7"/>
  <c r="AG42" i="7"/>
  <c r="AF42" i="7"/>
  <c r="AE42" i="7"/>
  <c r="N42" i="7"/>
  <c r="L42" i="7"/>
  <c r="K42" i="7"/>
  <c r="J42" i="7"/>
  <c r="I42" i="7"/>
  <c r="BA41" i="7"/>
  <c r="AJ41" i="7"/>
  <c r="AH41" i="7"/>
  <c r="AG41" i="7"/>
  <c r="AF41" i="7"/>
  <c r="AE41" i="7"/>
  <c r="N41" i="7"/>
  <c r="L41" i="7"/>
  <c r="K41" i="7"/>
  <c r="J41" i="7"/>
  <c r="I41" i="7"/>
  <c r="BB40" i="7" a="1"/>
  <c r="BB40" i="7" s="1"/>
  <c r="BA40" i="7"/>
  <c r="AJ40" i="7"/>
  <c r="AH40" i="7"/>
  <c r="AG40" i="7"/>
  <c r="AF40" i="7"/>
  <c r="AE40" i="7"/>
  <c r="N40" i="7"/>
  <c r="L40" i="7"/>
  <c r="K40" i="7"/>
  <c r="J40" i="7"/>
  <c r="I40" i="7"/>
  <c r="BA39" i="7"/>
  <c r="AJ39" i="7"/>
  <c r="AH39" i="7"/>
  <c r="AG39" i="7"/>
  <c r="AF39" i="7"/>
  <c r="AE39" i="7"/>
  <c r="N39" i="7"/>
  <c r="L39" i="7"/>
  <c r="K39" i="7"/>
  <c r="J39" i="7"/>
  <c r="I39" i="7"/>
  <c r="BA38" i="7"/>
  <c r="AJ38" i="7"/>
  <c r="AH38" i="7"/>
  <c r="AG38" i="7"/>
  <c r="AF38" i="7"/>
  <c r="AE38" i="7"/>
  <c r="N38" i="7"/>
  <c r="L38" i="7"/>
  <c r="K38" i="7"/>
  <c r="J38" i="7"/>
  <c r="I38" i="7"/>
  <c r="BA37" i="7"/>
  <c r="AJ37" i="7"/>
  <c r="AH37" i="7"/>
  <c r="AG37" i="7"/>
  <c r="AF37" i="7"/>
  <c r="AE37" i="7"/>
  <c r="N37" i="7"/>
  <c r="L37" i="7"/>
  <c r="K37" i="7"/>
  <c r="J37" i="7"/>
  <c r="I37" i="7"/>
  <c r="BA36" i="7"/>
  <c r="AJ36" i="7"/>
  <c r="AH36" i="7"/>
  <c r="AG36" i="7"/>
  <c r="AF36" i="7"/>
  <c r="AE36" i="7"/>
  <c r="N36" i="7"/>
  <c r="L36" i="7"/>
  <c r="K36" i="7"/>
  <c r="J36" i="7"/>
  <c r="I36" i="7"/>
  <c r="BB35" i="7" a="1"/>
  <c r="BB35" i="7"/>
  <c r="BA35" i="7"/>
  <c r="AJ35" i="7"/>
  <c r="AH35" i="7"/>
  <c r="AG35" i="7"/>
  <c r="AF35" i="7"/>
  <c r="AE35" i="7"/>
  <c r="N35" i="7"/>
  <c r="L35" i="7"/>
  <c r="K35" i="7"/>
  <c r="J35" i="7"/>
  <c r="I35" i="7"/>
  <c r="BA34" i="7"/>
  <c r="AJ34" i="7"/>
  <c r="AH34" i="7"/>
  <c r="AG34" i="7"/>
  <c r="AF34" i="7"/>
  <c r="AE34" i="7"/>
  <c r="N34" i="7"/>
  <c r="L34" i="7"/>
  <c r="K34" i="7"/>
  <c r="J34" i="7"/>
  <c r="I34" i="7"/>
  <c r="BA33" i="7"/>
  <c r="AJ33" i="7"/>
  <c r="AH33" i="7"/>
  <c r="AG33" i="7"/>
  <c r="AF33" i="7"/>
  <c r="AE33" i="7"/>
  <c r="N33" i="7"/>
  <c r="L33" i="7"/>
  <c r="K33" i="7"/>
  <c r="J33" i="7"/>
  <c r="I33" i="7"/>
  <c r="BA32" i="7"/>
  <c r="AJ32" i="7"/>
  <c r="AH32" i="7"/>
  <c r="AG32" i="7"/>
  <c r="AF32" i="7"/>
  <c r="AE32" i="7"/>
  <c r="N32" i="7"/>
  <c r="L32" i="7"/>
  <c r="K32" i="7"/>
  <c r="J32" i="7"/>
  <c r="I32" i="7"/>
  <c r="BA31" i="7"/>
  <c r="AJ31" i="7"/>
  <c r="AH31" i="7"/>
  <c r="AG31" i="7"/>
  <c r="AF31" i="7"/>
  <c r="AE31" i="7"/>
  <c r="N31" i="7"/>
  <c r="L31" i="7"/>
  <c r="K31" i="7"/>
  <c r="J31" i="7"/>
  <c r="I31" i="7"/>
  <c r="BB30" i="7" a="1"/>
  <c r="BB30" i="7" s="1"/>
  <c r="BA30" i="7"/>
  <c r="AJ30" i="7"/>
  <c r="AH30" i="7"/>
  <c r="AG30" i="7"/>
  <c r="AF30" i="7"/>
  <c r="AE30" i="7"/>
  <c r="N30" i="7"/>
  <c r="L30" i="7"/>
  <c r="K30" i="7"/>
  <c r="J30" i="7"/>
  <c r="I30" i="7"/>
  <c r="BA29" i="7"/>
  <c r="AJ29" i="7"/>
  <c r="AH29" i="7"/>
  <c r="AG29" i="7"/>
  <c r="AF29" i="7"/>
  <c r="AE29" i="7"/>
  <c r="N29" i="7"/>
  <c r="L29" i="7"/>
  <c r="K29" i="7"/>
  <c r="J29" i="7"/>
  <c r="I29" i="7"/>
  <c r="BA28" i="7"/>
  <c r="AJ28" i="7"/>
  <c r="AH28" i="7"/>
  <c r="AG28" i="7"/>
  <c r="AF28" i="7"/>
  <c r="AE28" i="7"/>
  <c r="N28" i="7"/>
  <c r="L28" i="7"/>
  <c r="K28" i="7"/>
  <c r="J28" i="7"/>
  <c r="I28" i="7"/>
  <c r="BA27" i="7"/>
  <c r="AJ27" i="7"/>
  <c r="AH27" i="7"/>
  <c r="AG27" i="7"/>
  <c r="AF27" i="7"/>
  <c r="AE27" i="7"/>
  <c r="N27" i="7"/>
  <c r="L27" i="7"/>
  <c r="K27" i="7"/>
  <c r="J27" i="7"/>
  <c r="I27" i="7"/>
  <c r="BA26" i="7"/>
  <c r="AJ26" i="7"/>
  <c r="AH26" i="7"/>
  <c r="AG26" i="7"/>
  <c r="AF26" i="7"/>
  <c r="AE26" i="7"/>
  <c r="N26" i="7"/>
  <c r="L26" i="7"/>
  <c r="K26" i="7"/>
  <c r="J26" i="7"/>
  <c r="I26" i="7"/>
  <c r="BB25" i="7" a="1"/>
  <c r="BB25" i="7" s="1"/>
  <c r="BA25" i="7"/>
  <c r="AJ25" i="7"/>
  <c r="AH25" i="7"/>
  <c r="AG25" i="7"/>
  <c r="AF25" i="7"/>
  <c r="AE25" i="7"/>
  <c r="N25" i="7"/>
  <c r="L25" i="7"/>
  <c r="K25" i="7"/>
  <c r="J25" i="7"/>
  <c r="I25" i="7"/>
  <c r="BA24" i="7"/>
  <c r="AJ24" i="7"/>
  <c r="AH24" i="7"/>
  <c r="AG24" i="7"/>
  <c r="AF24" i="7"/>
  <c r="AE24" i="7"/>
  <c r="N24" i="7"/>
  <c r="L24" i="7"/>
  <c r="K24" i="7"/>
  <c r="J24" i="7"/>
  <c r="I24" i="7"/>
  <c r="BA23" i="7"/>
  <c r="AJ23" i="7"/>
  <c r="AH23" i="7"/>
  <c r="AG23" i="7"/>
  <c r="AF23" i="7"/>
  <c r="AE23" i="7"/>
  <c r="N23" i="7"/>
  <c r="L23" i="7"/>
  <c r="K23" i="7"/>
  <c r="J23" i="7"/>
  <c r="I23" i="7"/>
  <c r="BA22" i="7"/>
  <c r="AJ22" i="7"/>
  <c r="AH22" i="7"/>
  <c r="AG22" i="7"/>
  <c r="AF22" i="7"/>
  <c r="AE22" i="7"/>
  <c r="N22" i="7"/>
  <c r="L22" i="7"/>
  <c r="K22" i="7"/>
  <c r="J22" i="7"/>
  <c r="I22" i="7"/>
  <c r="BA21" i="7"/>
  <c r="AJ21" i="7"/>
  <c r="AH21" i="7"/>
  <c r="AG21" i="7"/>
  <c r="AF21" i="7"/>
  <c r="AE21" i="7"/>
  <c r="N21" i="7"/>
  <c r="L21" i="7"/>
  <c r="K21" i="7"/>
  <c r="J21" i="7"/>
  <c r="I21" i="7"/>
  <c r="BB20" i="7" a="1"/>
  <c r="BB20" i="7" s="1"/>
  <c r="BA20" i="7"/>
  <c r="AJ20" i="7"/>
  <c r="AH20" i="7"/>
  <c r="AG20" i="7"/>
  <c r="AF20" i="7"/>
  <c r="AE20" i="7"/>
  <c r="N20" i="7"/>
  <c r="L20" i="7"/>
  <c r="K20" i="7"/>
  <c r="J20" i="7"/>
  <c r="I20" i="7"/>
  <c r="BA19" i="7"/>
  <c r="AJ19" i="7"/>
  <c r="AH19" i="7"/>
  <c r="AG19" i="7"/>
  <c r="AF19" i="7"/>
  <c r="AE19" i="7"/>
  <c r="N19" i="7"/>
  <c r="L19" i="7"/>
  <c r="K19" i="7"/>
  <c r="J19" i="7"/>
  <c r="I19" i="7"/>
  <c r="BA18" i="7"/>
  <c r="AJ18" i="7"/>
  <c r="AH18" i="7"/>
  <c r="AG18" i="7"/>
  <c r="AF18" i="7"/>
  <c r="AE18" i="7"/>
  <c r="N18" i="7"/>
  <c r="L18" i="7"/>
  <c r="K18" i="7"/>
  <c r="J18" i="7"/>
  <c r="I18" i="7"/>
  <c r="BA17" i="7"/>
  <c r="AJ17" i="7"/>
  <c r="AH17" i="7"/>
  <c r="AG17" i="7"/>
  <c r="AF17" i="7"/>
  <c r="AE17" i="7"/>
  <c r="N17" i="7"/>
  <c r="L17" i="7"/>
  <c r="K17" i="7"/>
  <c r="J17" i="7"/>
  <c r="I17" i="7"/>
  <c r="BA16" i="7"/>
  <c r="AJ16" i="7"/>
  <c r="AH16" i="7"/>
  <c r="AG16" i="7"/>
  <c r="AF16" i="7"/>
  <c r="AE16" i="7"/>
  <c r="N16" i="7"/>
  <c r="L16" i="7"/>
  <c r="K16" i="7"/>
  <c r="J16" i="7"/>
  <c r="I16" i="7"/>
  <c r="BB15" i="7" a="1"/>
  <c r="BB15" i="7"/>
  <c r="BA15" i="7"/>
  <c r="AJ15" i="7"/>
  <c r="AH15" i="7"/>
  <c r="AG15" i="7"/>
  <c r="AF15" i="7"/>
  <c r="AE15" i="7"/>
  <c r="N15" i="7"/>
  <c r="L15" i="7"/>
  <c r="K15" i="7"/>
  <c r="J15" i="7"/>
  <c r="I15" i="7"/>
  <c r="BA14" i="7"/>
  <c r="AJ14" i="7"/>
  <c r="AH14" i="7"/>
  <c r="AG14" i="7"/>
  <c r="AF14" i="7"/>
  <c r="AE14" i="7"/>
  <c r="N14" i="7"/>
  <c r="L14" i="7"/>
  <c r="K14" i="7"/>
  <c r="J14" i="7"/>
  <c r="I14" i="7"/>
  <c r="BA13" i="7"/>
  <c r="AJ13" i="7"/>
  <c r="AH13" i="7"/>
  <c r="AG13" i="7"/>
  <c r="AF13" i="7"/>
  <c r="AE13" i="7"/>
  <c r="N13" i="7"/>
  <c r="L13" i="7"/>
  <c r="K13" i="7"/>
  <c r="J13" i="7"/>
  <c r="I13" i="7"/>
  <c r="BA12" i="7"/>
  <c r="AJ12" i="7"/>
  <c r="AH12" i="7"/>
  <c r="AG12" i="7"/>
  <c r="AF12" i="7"/>
  <c r="AE12" i="7"/>
  <c r="N12" i="7"/>
  <c r="L12" i="7"/>
  <c r="K12" i="7"/>
  <c r="J12" i="7"/>
  <c r="I12" i="7"/>
  <c r="BA11" i="7"/>
  <c r="AJ11" i="7"/>
  <c r="AH11" i="7"/>
  <c r="AG11" i="7"/>
  <c r="AF11" i="7"/>
  <c r="AE11" i="7"/>
  <c r="N11" i="7"/>
  <c r="L11" i="7"/>
  <c r="K11" i="7"/>
  <c r="J11" i="7"/>
  <c r="I11" i="7"/>
  <c r="BB10" i="7" a="1"/>
  <c r="BB10" i="7" s="1"/>
  <c r="BA10" i="7"/>
  <c r="AJ10" i="7"/>
  <c r="AH10" i="7"/>
  <c r="AG10" i="7"/>
  <c r="AF10" i="7"/>
  <c r="AE10" i="7"/>
  <c r="N10" i="7"/>
  <c r="L10" i="7"/>
  <c r="K10" i="7"/>
  <c r="J10" i="7"/>
  <c r="I10" i="7"/>
  <c r="BA9" i="7"/>
  <c r="AJ9" i="7"/>
  <c r="AH9" i="7"/>
  <c r="AG9" i="7"/>
  <c r="AF9" i="7"/>
  <c r="AE9" i="7"/>
  <c r="N9" i="7"/>
  <c r="L9" i="7"/>
  <c r="K9" i="7"/>
  <c r="J9" i="7"/>
  <c r="I9" i="7"/>
  <c r="BA8" i="7"/>
  <c r="AJ8" i="7"/>
  <c r="AH8" i="7"/>
  <c r="AG8" i="7"/>
  <c r="AF8" i="7"/>
  <c r="AE8" i="7"/>
  <c r="N8" i="7"/>
  <c r="L8" i="7"/>
  <c r="K8" i="7"/>
  <c r="J8" i="7"/>
  <c r="I8" i="7"/>
  <c r="BA7" i="7"/>
  <c r="AJ7" i="7"/>
  <c r="AH7" i="7"/>
  <c r="AG7" i="7"/>
  <c r="AF7" i="7"/>
  <c r="AE7" i="7"/>
  <c r="N7" i="7"/>
  <c r="L7" i="7"/>
  <c r="K7" i="7"/>
  <c r="J7" i="7"/>
  <c r="I7" i="7"/>
  <c r="BA6" i="7"/>
  <c r="AJ6" i="7"/>
  <c r="AH6" i="7"/>
  <c r="AG6" i="7"/>
  <c r="AF6" i="7"/>
  <c r="AE6" i="7"/>
  <c r="N6" i="7"/>
  <c r="L6" i="7"/>
  <c r="K6" i="7"/>
  <c r="J6" i="7"/>
  <c r="I6" i="7"/>
  <c r="BB5" i="7" a="1"/>
  <c r="BB5" i="7" s="1"/>
  <c r="BA5" i="7"/>
  <c r="AJ5" i="7"/>
  <c r="AH5" i="7"/>
  <c r="AG5" i="7"/>
  <c r="AF5" i="7"/>
  <c r="AE5" i="7"/>
  <c r="N5" i="7"/>
  <c r="L5" i="7"/>
  <c r="K5" i="7"/>
  <c r="K285" i="7" s="1"/>
  <c r="J5" i="7"/>
  <c r="I5" i="7"/>
  <c r="AJ68" i="6"/>
  <c r="AJ69" i="6" s="1"/>
  <c r="AI68" i="6"/>
  <c r="AI69" i="6" s="1"/>
  <c r="U68" i="6"/>
  <c r="T68" i="6"/>
  <c r="AJ66" i="6"/>
  <c r="AI66" i="6"/>
  <c r="AI67" i="6" s="1"/>
  <c r="U66" i="6"/>
  <c r="T66" i="6"/>
  <c r="L65" i="6"/>
  <c r="K63" i="6"/>
  <c r="J63" i="6"/>
  <c r="K62" i="6"/>
  <c r="K61" i="6"/>
  <c r="AQ60" i="6" a="1"/>
  <c r="AQ60" i="6" s="1"/>
  <c r="AP60" i="6"/>
  <c r="AC60" i="6"/>
  <c r="AB60" i="6"/>
  <c r="AO60" i="6" s="1"/>
  <c r="Z60" i="6"/>
  <c r="AM60" i="6" s="1"/>
  <c r="Y60" i="6"/>
  <c r="AL60" i="6" s="1"/>
  <c r="X60" i="6"/>
  <c r="W60" i="6"/>
  <c r="N60" i="6"/>
  <c r="M60" i="6"/>
  <c r="K60" i="6"/>
  <c r="J60" i="6"/>
  <c r="I60" i="6"/>
  <c r="H60" i="6"/>
  <c r="AQ59" i="6" a="1"/>
  <c r="AQ59" i="6" s="1"/>
  <c r="AP59" i="6"/>
  <c r="AC59" i="6"/>
  <c r="AB59" i="6"/>
  <c r="AO59" i="6" s="1"/>
  <c r="Z59" i="6"/>
  <c r="AM59" i="6" s="1"/>
  <c r="Y59" i="6"/>
  <c r="AL59" i="6" s="1"/>
  <c r="X59" i="6"/>
  <c r="W59" i="6"/>
  <c r="N59" i="6"/>
  <c r="M59" i="6"/>
  <c r="K59" i="6"/>
  <c r="J59" i="6"/>
  <c r="I59" i="6"/>
  <c r="H59" i="6"/>
  <c r="AQ58" i="6" a="1"/>
  <c r="AQ58" i="6" s="1"/>
  <c r="AP58" i="6"/>
  <c r="AC58" i="6"/>
  <c r="AB58" i="6"/>
  <c r="AO58" i="6" s="1"/>
  <c r="Z58" i="6"/>
  <c r="Y58" i="6"/>
  <c r="X58" i="6"/>
  <c r="W58" i="6"/>
  <c r="N58" i="6"/>
  <c r="M58" i="6"/>
  <c r="K58" i="6"/>
  <c r="J58" i="6"/>
  <c r="I58" i="6"/>
  <c r="H58" i="6"/>
  <c r="AQ57" i="6" a="1"/>
  <c r="AQ57" i="6" s="1"/>
  <c r="AP57" i="6"/>
  <c r="AC57" i="6"/>
  <c r="AB57" i="6"/>
  <c r="AO57" i="6" s="1"/>
  <c r="Z57" i="6"/>
  <c r="AM57" i="6" s="1"/>
  <c r="Y57" i="6"/>
  <c r="AL57" i="6" s="1"/>
  <c r="X57" i="6"/>
  <c r="W57" i="6"/>
  <c r="N57" i="6"/>
  <c r="M57" i="6"/>
  <c r="K57" i="6"/>
  <c r="J57" i="6"/>
  <c r="I57" i="6"/>
  <c r="H57" i="6"/>
  <c r="AQ56" i="6" a="1"/>
  <c r="AQ56" i="6" s="1"/>
  <c r="AP56" i="6"/>
  <c r="AC56" i="6"/>
  <c r="AB56" i="6"/>
  <c r="AO56" i="6" s="1"/>
  <c r="Z56" i="6"/>
  <c r="AM56" i="6" s="1"/>
  <c r="Y56" i="6"/>
  <c r="AL56" i="6" s="1"/>
  <c r="X56" i="6"/>
  <c r="W56" i="6"/>
  <c r="N56" i="6"/>
  <c r="M56" i="6"/>
  <c r="K56" i="6"/>
  <c r="J56" i="6"/>
  <c r="I56" i="6"/>
  <c r="H56" i="6"/>
  <c r="AQ55" i="6" a="1"/>
  <c r="AQ55" i="6" s="1"/>
  <c r="AP55" i="6"/>
  <c r="AC55" i="6"/>
  <c r="AB55" i="6"/>
  <c r="AO55" i="6" s="1"/>
  <c r="Z55" i="6"/>
  <c r="AM55" i="6" s="1"/>
  <c r="Y55" i="6"/>
  <c r="AL55" i="6" s="1"/>
  <c r="X55" i="6"/>
  <c r="W55" i="6"/>
  <c r="N55" i="6"/>
  <c r="M55" i="6"/>
  <c r="M64" i="6" s="1"/>
  <c r="K55" i="6"/>
  <c r="J55" i="6"/>
  <c r="I55" i="6"/>
  <c r="H55" i="6"/>
  <c r="AQ54" i="6" a="1"/>
  <c r="AQ54" i="6" s="1"/>
  <c r="AP54" i="6"/>
  <c r="AC54" i="6"/>
  <c r="AB54" i="6"/>
  <c r="Z54" i="6"/>
  <c r="Y54" i="6"/>
  <c r="X54" i="6"/>
  <c r="W54" i="6"/>
  <c r="N54" i="6"/>
  <c r="M54" i="6"/>
  <c r="K54" i="6"/>
  <c r="K64" i="6" s="1"/>
  <c r="J54" i="6"/>
  <c r="J64" i="6" s="1"/>
  <c r="I54" i="6"/>
  <c r="H54" i="6"/>
  <c r="AQ53" i="6" a="1"/>
  <c r="AQ53" i="6" s="1"/>
  <c r="AP53" i="6"/>
  <c r="AC53" i="6"/>
  <c r="AB53" i="6"/>
  <c r="AO53" i="6" s="1"/>
  <c r="AA53" i="6"/>
  <c r="AN53" i="6" s="1"/>
  <c r="Z53" i="6"/>
  <c r="Y53" i="6"/>
  <c r="X53" i="6"/>
  <c r="W53" i="6"/>
  <c r="N53" i="6"/>
  <c r="M53" i="6"/>
  <c r="L53" i="6"/>
  <c r="K53" i="6"/>
  <c r="AM53" i="6" s="1"/>
  <c r="J53" i="6"/>
  <c r="AL53" i="6" s="1"/>
  <c r="I53" i="6"/>
  <c r="H53" i="6"/>
  <c r="AQ52" i="6" a="1"/>
  <c r="AQ52" i="6" s="1"/>
  <c r="AP52" i="6"/>
  <c r="AC52" i="6"/>
  <c r="AB52" i="6"/>
  <c r="AA52" i="6"/>
  <c r="Z52" i="6"/>
  <c r="Y52" i="6"/>
  <c r="AL52" i="6" s="1"/>
  <c r="X52" i="6"/>
  <c r="W52" i="6"/>
  <c r="N52" i="6"/>
  <c r="M52" i="6"/>
  <c r="AO52" i="6" s="1"/>
  <c r="L52" i="6"/>
  <c r="AN52" i="6" s="1"/>
  <c r="K52" i="6"/>
  <c r="J52" i="6"/>
  <c r="I52" i="6"/>
  <c r="H52" i="6"/>
  <c r="AQ51" i="6" a="1"/>
  <c r="AQ51" i="6" s="1"/>
  <c r="AP51" i="6"/>
  <c r="AC51" i="6"/>
  <c r="AB51" i="6"/>
  <c r="AA51" i="6"/>
  <c r="AN51" i="6" s="1"/>
  <c r="Z51" i="6"/>
  <c r="AM51" i="6" s="1"/>
  <c r="Y51" i="6"/>
  <c r="X51" i="6"/>
  <c r="W51" i="6"/>
  <c r="N51" i="6"/>
  <c r="M51" i="6"/>
  <c r="L51" i="6"/>
  <c r="K51" i="6"/>
  <c r="J51" i="6"/>
  <c r="AL51" i="6" s="1"/>
  <c r="I51" i="6"/>
  <c r="H51" i="6"/>
  <c r="AQ50" i="6" a="1"/>
  <c r="AQ50" i="6"/>
  <c r="AP50" i="6"/>
  <c r="AC50" i="6"/>
  <c r="AA50" i="6"/>
  <c r="Z50" i="6"/>
  <c r="AM50" i="6" s="1"/>
  <c r="Y50" i="6"/>
  <c r="AL50" i="6" s="1"/>
  <c r="X50" i="6"/>
  <c r="W50" i="6"/>
  <c r="N50" i="6"/>
  <c r="L50" i="6"/>
  <c r="AN50" i="6" s="1"/>
  <c r="K50" i="6"/>
  <c r="J50" i="6"/>
  <c r="I50" i="6"/>
  <c r="H50" i="6"/>
  <c r="AQ49" i="6" a="1"/>
  <c r="AQ49" i="6" s="1"/>
  <c r="AP49" i="6"/>
  <c r="AC49" i="6"/>
  <c r="AA49" i="6"/>
  <c r="AN49" i="6" s="1"/>
  <c r="Z49" i="6"/>
  <c r="AM49" i="6" s="1"/>
  <c r="Y49" i="6"/>
  <c r="AL49" i="6" s="1"/>
  <c r="X49" i="6"/>
  <c r="W49" i="6"/>
  <c r="N49" i="6"/>
  <c r="L49" i="6"/>
  <c r="K49" i="6"/>
  <c r="J49" i="6"/>
  <c r="I49" i="6"/>
  <c r="H49" i="6"/>
  <c r="AQ48" i="6" a="1"/>
  <c r="AQ48" i="6"/>
  <c r="AP48" i="6"/>
  <c r="AC48" i="6"/>
  <c r="AA48" i="6"/>
  <c r="Z48" i="6"/>
  <c r="AM48" i="6" s="1"/>
  <c r="Y48" i="6"/>
  <c r="AL48" i="6" s="1"/>
  <c r="X48" i="6"/>
  <c r="W48" i="6"/>
  <c r="N48" i="6"/>
  <c r="L48" i="6"/>
  <c r="AN48" i="6" s="1"/>
  <c r="K48" i="6"/>
  <c r="J48" i="6"/>
  <c r="I48" i="6"/>
  <c r="H48" i="6"/>
  <c r="AQ47" i="6" a="1"/>
  <c r="AQ47" i="6" s="1"/>
  <c r="AP47" i="6"/>
  <c r="AC47" i="6"/>
  <c r="AA47" i="6"/>
  <c r="AN47" i="6" s="1"/>
  <c r="Z47" i="6"/>
  <c r="AM47" i="6" s="1"/>
  <c r="Y47" i="6"/>
  <c r="AL47" i="6" s="1"/>
  <c r="X47" i="6"/>
  <c r="W47" i="6"/>
  <c r="N47" i="6"/>
  <c r="L47" i="6"/>
  <c r="K47" i="6"/>
  <c r="J47" i="6"/>
  <c r="I47" i="6"/>
  <c r="H47" i="6"/>
  <c r="AQ46" i="6" a="1"/>
  <c r="AQ46" i="6"/>
  <c r="AP46" i="6"/>
  <c r="AC46" i="6"/>
  <c r="AA46" i="6"/>
  <c r="Z46" i="6"/>
  <c r="AM46" i="6" s="1"/>
  <c r="Y46" i="6"/>
  <c r="AL46" i="6" s="1"/>
  <c r="X46" i="6"/>
  <c r="W46" i="6"/>
  <c r="N46" i="6"/>
  <c r="L46" i="6"/>
  <c r="AN46" i="6" s="1"/>
  <c r="K46" i="6"/>
  <c r="J46" i="6"/>
  <c r="I46" i="6"/>
  <c r="H46" i="6"/>
  <c r="AQ45" i="6" a="1"/>
  <c r="AQ45" i="6" s="1"/>
  <c r="AP45" i="6"/>
  <c r="AC45" i="6"/>
  <c r="AA45" i="6"/>
  <c r="AN45" i="6" s="1"/>
  <c r="Z45" i="6"/>
  <c r="AM45" i="6" s="1"/>
  <c r="Y45" i="6"/>
  <c r="AL45" i="6" s="1"/>
  <c r="X45" i="6"/>
  <c r="W45" i="6"/>
  <c r="N45" i="6"/>
  <c r="L45" i="6"/>
  <c r="K45" i="6"/>
  <c r="J45" i="6"/>
  <c r="I45" i="6"/>
  <c r="H45" i="6"/>
  <c r="AQ44" i="6" a="1"/>
  <c r="AQ44" i="6"/>
  <c r="AP44" i="6"/>
  <c r="AC44" i="6"/>
  <c r="AA44" i="6"/>
  <c r="Z44" i="6"/>
  <c r="AM44" i="6" s="1"/>
  <c r="Y44" i="6"/>
  <c r="AL44" i="6" s="1"/>
  <c r="X44" i="6"/>
  <c r="W44" i="6"/>
  <c r="N44" i="6"/>
  <c r="L44" i="6"/>
  <c r="AN44" i="6" s="1"/>
  <c r="K44" i="6"/>
  <c r="J44" i="6"/>
  <c r="I44" i="6"/>
  <c r="H44" i="6"/>
  <c r="AQ43" i="6" a="1"/>
  <c r="AQ43" i="6" s="1"/>
  <c r="AP43" i="6"/>
  <c r="AC43" i="6"/>
  <c r="AA43" i="6"/>
  <c r="AN43" i="6" s="1"/>
  <c r="Z43" i="6"/>
  <c r="AM43" i="6" s="1"/>
  <c r="Y43" i="6"/>
  <c r="AL43" i="6" s="1"/>
  <c r="X43" i="6"/>
  <c r="W43" i="6"/>
  <c r="N43" i="6"/>
  <c r="L43" i="6"/>
  <c r="K43" i="6"/>
  <c r="J43" i="6"/>
  <c r="I43" i="6"/>
  <c r="H43" i="6"/>
  <c r="AQ42" i="6" a="1"/>
  <c r="AQ42" i="6"/>
  <c r="AP42" i="6"/>
  <c r="AC42" i="6"/>
  <c r="AA42" i="6"/>
  <c r="Z42" i="6"/>
  <c r="AM42" i="6" s="1"/>
  <c r="Y42" i="6"/>
  <c r="AL42" i="6" s="1"/>
  <c r="X42" i="6"/>
  <c r="W42" i="6"/>
  <c r="N42" i="6"/>
  <c r="L42" i="6"/>
  <c r="AN42" i="6" s="1"/>
  <c r="K42" i="6"/>
  <c r="J42" i="6"/>
  <c r="I42" i="6"/>
  <c r="H42" i="6"/>
  <c r="AQ41" i="6" a="1"/>
  <c r="AQ41" i="6" s="1"/>
  <c r="AP41" i="6"/>
  <c r="AC41" i="6"/>
  <c r="AA41" i="6"/>
  <c r="AN41" i="6" s="1"/>
  <c r="Z41" i="6"/>
  <c r="AM41" i="6" s="1"/>
  <c r="Y41" i="6"/>
  <c r="AL41" i="6" s="1"/>
  <c r="X41" i="6"/>
  <c r="W41" i="6"/>
  <c r="N41" i="6"/>
  <c r="L41" i="6"/>
  <c r="K41" i="6"/>
  <c r="J41" i="6"/>
  <c r="I41" i="6"/>
  <c r="H41" i="6"/>
  <c r="AQ40" i="6" a="1"/>
  <c r="AQ40" i="6"/>
  <c r="AP40" i="6"/>
  <c r="AC40" i="6"/>
  <c r="AA40" i="6"/>
  <c r="Z40" i="6"/>
  <c r="AM40" i="6" s="1"/>
  <c r="Y40" i="6"/>
  <c r="AL40" i="6" s="1"/>
  <c r="X40" i="6"/>
  <c r="W40" i="6"/>
  <c r="N40" i="6"/>
  <c r="L40" i="6"/>
  <c r="K40" i="6"/>
  <c r="J40" i="6"/>
  <c r="I40" i="6"/>
  <c r="H40" i="6"/>
  <c r="AQ39" i="6" a="1"/>
  <c r="AQ39" i="6" s="1"/>
  <c r="AP39" i="6"/>
  <c r="AC39" i="6"/>
  <c r="AA39" i="6"/>
  <c r="AN39" i="6" s="1"/>
  <c r="Z39" i="6"/>
  <c r="AM39" i="6" s="1"/>
  <c r="Y39" i="6"/>
  <c r="AL39" i="6" s="1"/>
  <c r="X39" i="6"/>
  <c r="W39" i="6"/>
  <c r="N39" i="6"/>
  <c r="L39" i="6"/>
  <c r="K39" i="6"/>
  <c r="J39" i="6"/>
  <c r="I39" i="6"/>
  <c r="H39" i="6"/>
  <c r="AQ38" i="6" a="1"/>
  <c r="AQ38" i="6"/>
  <c r="AP38" i="6"/>
  <c r="AC38" i="6"/>
  <c r="AA38" i="6"/>
  <c r="Z38" i="6"/>
  <c r="AM38" i="6" s="1"/>
  <c r="Y38" i="6"/>
  <c r="AL38" i="6" s="1"/>
  <c r="X38" i="6"/>
  <c r="W38" i="6"/>
  <c r="N38" i="6"/>
  <c r="L38" i="6"/>
  <c r="K38" i="6"/>
  <c r="J38" i="6"/>
  <c r="I38" i="6"/>
  <c r="H38" i="6"/>
  <c r="AQ37" i="6" a="1"/>
  <c r="AQ37" i="6" s="1"/>
  <c r="AP37" i="6"/>
  <c r="AC37" i="6"/>
  <c r="AA37" i="6"/>
  <c r="AN37" i="6" s="1"/>
  <c r="Z37" i="6"/>
  <c r="AM37" i="6" s="1"/>
  <c r="Y37" i="6"/>
  <c r="AL37" i="6" s="1"/>
  <c r="X37" i="6"/>
  <c r="W37" i="6"/>
  <c r="N37" i="6"/>
  <c r="L37" i="6"/>
  <c r="K37" i="6"/>
  <c r="J37" i="6"/>
  <c r="I37" i="6"/>
  <c r="H37" i="6"/>
  <c r="AQ36" i="6" a="1"/>
  <c r="AQ36" i="6"/>
  <c r="AP36" i="6"/>
  <c r="AC36" i="6"/>
  <c r="AA36" i="6"/>
  <c r="Z36" i="6"/>
  <c r="AM36" i="6" s="1"/>
  <c r="Y36" i="6"/>
  <c r="AL36" i="6" s="1"/>
  <c r="X36" i="6"/>
  <c r="W36" i="6"/>
  <c r="N36" i="6"/>
  <c r="L36" i="6"/>
  <c r="K36" i="6"/>
  <c r="J36" i="6"/>
  <c r="I36" i="6"/>
  <c r="H36" i="6"/>
  <c r="AQ35" i="6" a="1"/>
  <c r="AQ35" i="6" s="1"/>
  <c r="AP35" i="6"/>
  <c r="AC35" i="6"/>
  <c r="AA35" i="6"/>
  <c r="AN35" i="6" s="1"/>
  <c r="Z35" i="6"/>
  <c r="AM35" i="6" s="1"/>
  <c r="Y35" i="6"/>
  <c r="AL35" i="6" s="1"/>
  <c r="X35" i="6"/>
  <c r="W35" i="6"/>
  <c r="N35" i="6"/>
  <c r="L35" i="6"/>
  <c r="K35" i="6"/>
  <c r="J35" i="6"/>
  <c r="I35" i="6"/>
  <c r="H35" i="6"/>
  <c r="AQ34" i="6" a="1"/>
  <c r="AQ34" i="6"/>
  <c r="AP34" i="6"/>
  <c r="AL34" i="6"/>
  <c r="AC34" i="6"/>
  <c r="AA34" i="6"/>
  <c r="Z34" i="6"/>
  <c r="AM34" i="6" s="1"/>
  <c r="Y34" i="6"/>
  <c r="X34" i="6"/>
  <c r="W34" i="6"/>
  <c r="N34" i="6"/>
  <c r="L34" i="6"/>
  <c r="K34" i="6"/>
  <c r="J34" i="6"/>
  <c r="I34" i="6"/>
  <c r="H34" i="6"/>
  <c r="AQ33" i="6" a="1"/>
  <c r="AQ33" i="6" s="1"/>
  <c r="AP33" i="6"/>
  <c r="AC33" i="6"/>
  <c r="AA33" i="6"/>
  <c r="AN33" i="6" s="1"/>
  <c r="Z33" i="6"/>
  <c r="AM33" i="6" s="1"/>
  <c r="Y33" i="6"/>
  <c r="AL33" i="6" s="1"/>
  <c r="X33" i="6"/>
  <c r="W33" i="6"/>
  <c r="N33" i="6"/>
  <c r="L33" i="6"/>
  <c r="K33" i="6"/>
  <c r="J33" i="6"/>
  <c r="I33" i="6"/>
  <c r="H33" i="6"/>
  <c r="AQ32" i="6" a="1"/>
  <c r="AQ32" i="6"/>
  <c r="AP32" i="6"/>
  <c r="AM32" i="6"/>
  <c r="AL32" i="6"/>
  <c r="AC32" i="6"/>
  <c r="AA32" i="6"/>
  <c r="Z32" i="6"/>
  <c r="Y32" i="6"/>
  <c r="X32" i="6"/>
  <c r="W32" i="6"/>
  <c r="N32" i="6"/>
  <c r="L32" i="6"/>
  <c r="K32" i="6"/>
  <c r="J32" i="6"/>
  <c r="I32" i="6"/>
  <c r="H32" i="6"/>
  <c r="AQ31" i="6" a="1"/>
  <c r="AQ31" i="6" s="1"/>
  <c r="AP31" i="6"/>
  <c r="AC31" i="6"/>
  <c r="AA31" i="6"/>
  <c r="AN31" i="6" s="1"/>
  <c r="Z31" i="6"/>
  <c r="AM31" i="6" s="1"/>
  <c r="Y31" i="6"/>
  <c r="AL31" i="6" s="1"/>
  <c r="X31" i="6"/>
  <c r="W31" i="6"/>
  <c r="N31" i="6"/>
  <c r="L31" i="6"/>
  <c r="K31" i="6"/>
  <c r="J31" i="6"/>
  <c r="I31" i="6"/>
  <c r="H31" i="6"/>
  <c r="AQ30" i="6" a="1"/>
  <c r="AQ30" i="6"/>
  <c r="AP30" i="6"/>
  <c r="AM30" i="6"/>
  <c r="AL30" i="6"/>
  <c r="AC30" i="6"/>
  <c r="AA30" i="6"/>
  <c r="Z30" i="6"/>
  <c r="Y30" i="6"/>
  <c r="X30" i="6"/>
  <c r="W30" i="6"/>
  <c r="N30" i="6"/>
  <c r="L30" i="6"/>
  <c r="K30" i="6"/>
  <c r="J30" i="6"/>
  <c r="I30" i="6"/>
  <c r="H30" i="6"/>
  <c r="AQ29" i="6" a="1"/>
  <c r="AQ29" i="6" s="1"/>
  <c r="AP29" i="6"/>
  <c r="AC29" i="6"/>
  <c r="AA29" i="6"/>
  <c r="AN29" i="6" s="1"/>
  <c r="Z29" i="6"/>
  <c r="AM29" i="6" s="1"/>
  <c r="Y29" i="6"/>
  <c r="AL29" i="6" s="1"/>
  <c r="X29" i="6"/>
  <c r="W29" i="6"/>
  <c r="N29" i="6"/>
  <c r="L29" i="6"/>
  <c r="K29" i="6"/>
  <c r="J29" i="6"/>
  <c r="I29" i="6"/>
  <c r="H29" i="6"/>
  <c r="AQ28" i="6" a="1"/>
  <c r="AQ28" i="6"/>
  <c r="AP28" i="6"/>
  <c r="AC28" i="6"/>
  <c r="AA28" i="6"/>
  <c r="Z28" i="6"/>
  <c r="AM28" i="6" s="1"/>
  <c r="Y28" i="6"/>
  <c r="AL28" i="6" s="1"/>
  <c r="X28" i="6"/>
  <c r="W28" i="6"/>
  <c r="N28" i="6"/>
  <c r="L28" i="6"/>
  <c r="K28" i="6"/>
  <c r="J28" i="6"/>
  <c r="I28" i="6"/>
  <c r="H28" i="6"/>
  <c r="AQ27" i="6" a="1"/>
  <c r="AQ27" i="6" s="1"/>
  <c r="AP27" i="6"/>
  <c r="AC27" i="6"/>
  <c r="AA27" i="6"/>
  <c r="AN27" i="6" s="1"/>
  <c r="Z27" i="6"/>
  <c r="AM27" i="6" s="1"/>
  <c r="Y27" i="6"/>
  <c r="AL27" i="6" s="1"/>
  <c r="X27" i="6"/>
  <c r="W27" i="6"/>
  <c r="N27" i="6"/>
  <c r="L27" i="6"/>
  <c r="L62" i="6" s="1"/>
  <c r="K27" i="6"/>
  <c r="J27" i="6"/>
  <c r="J62" i="6" s="1"/>
  <c r="I27" i="6"/>
  <c r="H27" i="6"/>
  <c r="AQ26" i="6" a="1"/>
  <c r="AQ26" i="6"/>
  <c r="AP26" i="6"/>
  <c r="AC26" i="6"/>
  <c r="AA26" i="6"/>
  <c r="Z26" i="6"/>
  <c r="AM26" i="6" s="1"/>
  <c r="Y26" i="6"/>
  <c r="AL26" i="6" s="1"/>
  <c r="X26" i="6"/>
  <c r="W26" i="6"/>
  <c r="N26" i="6"/>
  <c r="L26" i="6"/>
  <c r="K26" i="6"/>
  <c r="J26" i="6"/>
  <c r="I26" i="6"/>
  <c r="H26" i="6"/>
  <c r="AQ25" i="6" a="1"/>
  <c r="AQ25" i="6" s="1"/>
  <c r="AP25" i="6"/>
  <c r="AC25" i="6"/>
  <c r="AA25" i="6"/>
  <c r="AN25" i="6" s="1"/>
  <c r="Z25" i="6"/>
  <c r="AM25" i="6" s="1"/>
  <c r="Y25" i="6"/>
  <c r="AL25" i="6" s="1"/>
  <c r="X25" i="6"/>
  <c r="W25" i="6"/>
  <c r="N25" i="6"/>
  <c r="L25" i="6"/>
  <c r="K25" i="6"/>
  <c r="J25" i="6"/>
  <c r="I25" i="6"/>
  <c r="H25" i="6"/>
  <c r="AQ24" i="6" a="1"/>
  <c r="AQ24" i="6"/>
  <c r="AP24" i="6"/>
  <c r="AC24" i="6"/>
  <c r="AA24" i="6"/>
  <c r="Z24" i="6"/>
  <c r="AM24" i="6" s="1"/>
  <c r="Y24" i="6"/>
  <c r="AL24" i="6" s="1"/>
  <c r="X24" i="6"/>
  <c r="W24" i="6"/>
  <c r="N24" i="6"/>
  <c r="L24" i="6"/>
  <c r="AN24" i="6" s="1"/>
  <c r="K24" i="6"/>
  <c r="J24" i="6"/>
  <c r="I24" i="6"/>
  <c r="H24" i="6"/>
  <c r="AQ23" i="6" a="1"/>
  <c r="AQ23" i="6" s="1"/>
  <c r="AP23" i="6"/>
  <c r="AC23" i="6"/>
  <c r="AA23" i="6"/>
  <c r="AN23" i="6" s="1"/>
  <c r="Z23" i="6"/>
  <c r="AM23" i="6" s="1"/>
  <c r="Y23" i="6"/>
  <c r="AL23" i="6" s="1"/>
  <c r="X23" i="6"/>
  <c r="W23" i="6"/>
  <c r="N23" i="6"/>
  <c r="L23" i="6"/>
  <c r="K23" i="6"/>
  <c r="J23" i="6"/>
  <c r="I23" i="6"/>
  <c r="H23" i="6"/>
  <c r="AQ22" i="6" a="1"/>
  <c r="AQ22" i="6"/>
  <c r="AP22" i="6"/>
  <c r="AC22" i="6"/>
  <c r="AA22" i="6"/>
  <c r="Z22" i="6"/>
  <c r="AM22" i="6" s="1"/>
  <c r="Y22" i="6"/>
  <c r="AL22" i="6" s="1"/>
  <c r="X22" i="6"/>
  <c r="W22" i="6"/>
  <c r="N22" i="6"/>
  <c r="L22" i="6"/>
  <c r="AN22" i="6" s="1"/>
  <c r="K22" i="6"/>
  <c r="J22" i="6"/>
  <c r="I22" i="6"/>
  <c r="H22" i="6"/>
  <c r="AQ21" i="6" a="1"/>
  <c r="AQ21" i="6" s="1"/>
  <c r="AP21" i="6"/>
  <c r="AC21" i="6"/>
  <c r="AA21" i="6"/>
  <c r="AN21" i="6" s="1"/>
  <c r="Z21" i="6"/>
  <c r="AM21" i="6" s="1"/>
  <c r="Y21" i="6"/>
  <c r="AL21" i="6" s="1"/>
  <c r="X21" i="6"/>
  <c r="W21" i="6"/>
  <c r="N21" i="6"/>
  <c r="L21" i="6"/>
  <c r="K21" i="6"/>
  <c r="J21" i="6"/>
  <c r="I21" i="6"/>
  <c r="H21" i="6"/>
  <c r="AQ20" i="6" a="1"/>
  <c r="AQ20" i="6"/>
  <c r="AP20" i="6"/>
  <c r="AC20" i="6"/>
  <c r="AA20" i="6"/>
  <c r="Z20" i="6"/>
  <c r="AM20" i="6" s="1"/>
  <c r="Y20" i="6"/>
  <c r="AL20" i="6" s="1"/>
  <c r="X20" i="6"/>
  <c r="W20" i="6"/>
  <c r="N20" i="6"/>
  <c r="L20" i="6"/>
  <c r="AN20" i="6" s="1"/>
  <c r="K20" i="6"/>
  <c r="J20" i="6"/>
  <c r="I20" i="6"/>
  <c r="H20" i="6"/>
  <c r="AQ19" i="6" a="1"/>
  <c r="AQ19" i="6" s="1"/>
  <c r="AP19" i="6"/>
  <c r="AC19" i="6"/>
  <c r="AA19" i="6"/>
  <c r="AN19" i="6" s="1"/>
  <c r="Z19" i="6"/>
  <c r="AM19" i="6" s="1"/>
  <c r="Y19" i="6"/>
  <c r="AL19" i="6" s="1"/>
  <c r="X19" i="6"/>
  <c r="W19" i="6"/>
  <c r="N19" i="6"/>
  <c r="L19" i="6"/>
  <c r="K19" i="6"/>
  <c r="J19" i="6"/>
  <c r="I19" i="6"/>
  <c r="H19" i="6"/>
  <c r="AQ18" i="6" a="1"/>
  <c r="AQ18" i="6"/>
  <c r="AP18" i="6"/>
  <c r="AC18" i="6"/>
  <c r="AA18" i="6"/>
  <c r="Z18" i="6"/>
  <c r="AM18" i="6" s="1"/>
  <c r="Y18" i="6"/>
  <c r="AL18" i="6" s="1"/>
  <c r="X18" i="6"/>
  <c r="W18" i="6"/>
  <c r="N18" i="6"/>
  <c r="L18" i="6"/>
  <c r="AN18" i="6" s="1"/>
  <c r="K18" i="6"/>
  <c r="J18" i="6"/>
  <c r="I18" i="6"/>
  <c r="H18" i="6"/>
  <c r="AQ17" i="6" a="1"/>
  <c r="AQ17" i="6" s="1"/>
  <c r="AP17" i="6"/>
  <c r="AC17" i="6"/>
  <c r="AA17" i="6"/>
  <c r="AN17" i="6" s="1"/>
  <c r="Z17" i="6"/>
  <c r="AM17" i="6" s="1"/>
  <c r="Y17" i="6"/>
  <c r="AL17" i="6" s="1"/>
  <c r="X17" i="6"/>
  <c r="W17" i="6"/>
  <c r="N17" i="6"/>
  <c r="L17" i="6"/>
  <c r="K17" i="6"/>
  <c r="J17" i="6"/>
  <c r="I17" i="6"/>
  <c r="H17" i="6"/>
  <c r="AQ16" i="6" a="1"/>
  <c r="AQ16" i="6"/>
  <c r="AP16" i="6"/>
  <c r="AC16" i="6"/>
  <c r="AA16" i="6"/>
  <c r="Z16" i="6"/>
  <c r="AM16" i="6" s="1"/>
  <c r="Y16" i="6"/>
  <c r="AL16" i="6" s="1"/>
  <c r="X16" i="6"/>
  <c r="W16" i="6"/>
  <c r="N16" i="6"/>
  <c r="L16" i="6"/>
  <c r="K16" i="6"/>
  <c r="J16" i="6"/>
  <c r="I16" i="6"/>
  <c r="H16" i="6"/>
  <c r="AQ15" i="6" a="1"/>
  <c r="AQ15" i="6" s="1"/>
  <c r="AP15" i="6"/>
  <c r="AC15" i="6"/>
  <c r="AA15" i="6"/>
  <c r="AN15" i="6" s="1"/>
  <c r="Z15" i="6"/>
  <c r="AM15" i="6" s="1"/>
  <c r="Y15" i="6"/>
  <c r="AL15" i="6" s="1"/>
  <c r="X15" i="6"/>
  <c r="W15" i="6"/>
  <c r="N15" i="6"/>
  <c r="L15" i="6"/>
  <c r="K15" i="6"/>
  <c r="J15" i="6"/>
  <c r="I15" i="6"/>
  <c r="H15" i="6"/>
  <c r="AQ14" i="6" a="1"/>
  <c r="AQ14" i="6"/>
  <c r="AP14" i="6"/>
  <c r="AC14" i="6"/>
  <c r="AA14" i="6"/>
  <c r="Z14" i="6"/>
  <c r="AM14" i="6" s="1"/>
  <c r="Y14" i="6"/>
  <c r="AL14" i="6" s="1"/>
  <c r="X14" i="6"/>
  <c r="W14" i="6"/>
  <c r="N14" i="6"/>
  <c r="L14" i="6"/>
  <c r="K14" i="6"/>
  <c r="J14" i="6"/>
  <c r="I14" i="6"/>
  <c r="H14" i="6"/>
  <c r="AQ13" i="6" a="1"/>
  <c r="AQ13" i="6" s="1"/>
  <c r="AP13" i="6"/>
  <c r="AC13" i="6"/>
  <c r="AA13" i="6"/>
  <c r="AN13" i="6" s="1"/>
  <c r="Z13" i="6"/>
  <c r="AM13" i="6" s="1"/>
  <c r="Y13" i="6"/>
  <c r="AL13" i="6" s="1"/>
  <c r="X13" i="6"/>
  <c r="W13" i="6"/>
  <c r="N13" i="6"/>
  <c r="L13" i="6"/>
  <c r="K13" i="6"/>
  <c r="J13" i="6"/>
  <c r="I13" i="6"/>
  <c r="H13" i="6"/>
  <c r="AQ12" i="6" a="1"/>
  <c r="AQ12" i="6"/>
  <c r="AP12" i="6"/>
  <c r="AC12" i="6"/>
  <c r="AA12" i="6"/>
  <c r="Z12" i="6"/>
  <c r="AM12" i="6" s="1"/>
  <c r="Y12" i="6"/>
  <c r="AL12" i="6" s="1"/>
  <c r="X12" i="6"/>
  <c r="W12" i="6"/>
  <c r="N12" i="6"/>
  <c r="L12" i="6"/>
  <c r="AN12" i="6" s="1"/>
  <c r="K12" i="6"/>
  <c r="J12" i="6"/>
  <c r="I12" i="6"/>
  <c r="H12" i="6"/>
  <c r="AQ11" i="6" a="1"/>
  <c r="AQ11" i="6" s="1"/>
  <c r="AP11" i="6"/>
  <c r="AC11" i="6"/>
  <c r="AA11" i="6"/>
  <c r="AN11" i="6" s="1"/>
  <c r="Z11" i="6"/>
  <c r="AM11" i="6" s="1"/>
  <c r="Y11" i="6"/>
  <c r="AL11" i="6" s="1"/>
  <c r="X11" i="6"/>
  <c r="W11" i="6"/>
  <c r="N11" i="6"/>
  <c r="L11" i="6"/>
  <c r="K11" i="6"/>
  <c r="J11" i="6"/>
  <c r="I11" i="6"/>
  <c r="H11" i="6"/>
  <c r="AQ10" i="6" a="1"/>
  <c r="AQ10" i="6"/>
  <c r="AP10" i="6"/>
  <c r="AC10" i="6"/>
  <c r="AA10" i="6"/>
  <c r="Z10" i="6"/>
  <c r="AM10" i="6" s="1"/>
  <c r="Y10" i="6"/>
  <c r="AL10" i="6" s="1"/>
  <c r="X10" i="6"/>
  <c r="W10" i="6"/>
  <c r="N10" i="6"/>
  <c r="L10" i="6"/>
  <c r="AN10" i="6" s="1"/>
  <c r="K10" i="6"/>
  <c r="J10" i="6"/>
  <c r="I10" i="6"/>
  <c r="H10" i="6"/>
  <c r="AQ9" i="6" a="1"/>
  <c r="AQ9" i="6" s="1"/>
  <c r="AP9" i="6"/>
  <c r="AC9" i="6"/>
  <c r="AA9" i="6"/>
  <c r="AN9" i="6" s="1"/>
  <c r="Z9" i="6"/>
  <c r="AM9" i="6" s="1"/>
  <c r="Y9" i="6"/>
  <c r="AL9" i="6" s="1"/>
  <c r="X9" i="6"/>
  <c r="W9" i="6"/>
  <c r="N9" i="6"/>
  <c r="L9" i="6"/>
  <c r="K9" i="6"/>
  <c r="J9" i="6"/>
  <c r="I9" i="6"/>
  <c r="H9" i="6"/>
  <c r="AQ8" i="6" a="1"/>
  <c r="AQ8" i="6"/>
  <c r="AP8" i="6"/>
  <c r="AC8" i="6"/>
  <c r="AA8" i="6"/>
  <c r="Z8" i="6"/>
  <c r="AM8" i="6" s="1"/>
  <c r="Y8" i="6"/>
  <c r="AL8" i="6" s="1"/>
  <c r="X8" i="6"/>
  <c r="W8" i="6"/>
  <c r="N8" i="6"/>
  <c r="L8" i="6"/>
  <c r="K8" i="6"/>
  <c r="J8" i="6"/>
  <c r="I8" i="6"/>
  <c r="H8" i="6"/>
  <c r="AQ7" i="6" a="1"/>
  <c r="AQ7" i="6" s="1"/>
  <c r="AP7" i="6"/>
  <c r="AC7" i="6"/>
  <c r="AA7" i="6"/>
  <c r="AN7" i="6" s="1"/>
  <c r="Z7" i="6"/>
  <c r="AM7" i="6" s="1"/>
  <c r="Y7" i="6"/>
  <c r="AL7" i="6" s="1"/>
  <c r="X7" i="6"/>
  <c r="W7" i="6"/>
  <c r="N7" i="6"/>
  <c r="L7" i="6"/>
  <c r="K7" i="6"/>
  <c r="J7" i="6"/>
  <c r="I7" i="6"/>
  <c r="H7" i="6"/>
  <c r="AQ6" i="6" a="1"/>
  <c r="AQ6" i="6"/>
  <c r="AP6" i="6"/>
  <c r="AC6" i="6"/>
  <c r="AA6" i="6"/>
  <c r="Z6" i="6"/>
  <c r="AM6" i="6" s="1"/>
  <c r="Y6" i="6"/>
  <c r="AL6" i="6" s="1"/>
  <c r="X6" i="6"/>
  <c r="W6" i="6"/>
  <c r="N6" i="6"/>
  <c r="L6" i="6"/>
  <c r="L61" i="6" s="1"/>
  <c r="K6" i="6"/>
  <c r="J6" i="6"/>
  <c r="I6" i="6"/>
  <c r="H6" i="6"/>
  <c r="AQ5" i="6" a="1"/>
  <c r="AQ5" i="6" s="1"/>
  <c r="AP5" i="6"/>
  <c r="AC5" i="6"/>
  <c r="AA5" i="6"/>
  <c r="Z5" i="6"/>
  <c r="AM5" i="6" s="1"/>
  <c r="Y5" i="6"/>
  <c r="X5" i="6"/>
  <c r="W5" i="6"/>
  <c r="N5" i="6"/>
  <c r="L5" i="6"/>
  <c r="K5" i="6"/>
  <c r="J5" i="6"/>
  <c r="J65" i="6" s="1"/>
  <c r="I5" i="6"/>
  <c r="H5" i="6"/>
  <c r="AU348" i="5"/>
  <c r="AT348" i="5"/>
  <c r="AA348" i="5"/>
  <c r="AU349" i="5" s="1"/>
  <c r="Z348" i="5"/>
  <c r="AT349" i="5" s="1"/>
  <c r="AU346" i="5"/>
  <c r="AT346" i="5"/>
  <c r="AA346" i="5"/>
  <c r="AU347" i="5" s="1"/>
  <c r="Z346" i="5"/>
  <c r="AW340" i="5"/>
  <c r="AH340" i="5"/>
  <c r="AG340" i="5"/>
  <c r="AE340" i="5"/>
  <c r="AD340" i="5"/>
  <c r="AC340" i="5"/>
  <c r="N340" i="5"/>
  <c r="M340" i="5"/>
  <c r="K340" i="5"/>
  <c r="J340" i="5"/>
  <c r="I340" i="5"/>
  <c r="AW339" i="5"/>
  <c r="AH339" i="5"/>
  <c r="AG339" i="5"/>
  <c r="AE339" i="5"/>
  <c r="AD339" i="5"/>
  <c r="AC339" i="5"/>
  <c r="N339" i="5"/>
  <c r="M339" i="5"/>
  <c r="K339" i="5"/>
  <c r="J339" i="5"/>
  <c r="I339" i="5"/>
  <c r="AW338" i="5"/>
  <c r="AH338" i="5"/>
  <c r="AG338" i="5"/>
  <c r="AE338" i="5"/>
  <c r="AD338" i="5"/>
  <c r="AC338" i="5"/>
  <c r="N338" i="5"/>
  <c r="M338" i="5"/>
  <c r="K338" i="5"/>
  <c r="J338" i="5"/>
  <c r="I338" i="5"/>
  <c r="AW337" i="5"/>
  <c r="AH337" i="5"/>
  <c r="AG337" i="5"/>
  <c r="AE337" i="5"/>
  <c r="AD337" i="5"/>
  <c r="AC337" i="5"/>
  <c r="N337" i="5"/>
  <c r="M337" i="5"/>
  <c r="K337" i="5"/>
  <c r="J337" i="5"/>
  <c r="I337" i="5"/>
  <c r="AW336" i="5"/>
  <c r="AH336" i="5"/>
  <c r="AG336" i="5"/>
  <c r="AE336" i="5"/>
  <c r="AD336" i="5"/>
  <c r="AC336" i="5"/>
  <c r="N336" i="5"/>
  <c r="M336" i="5"/>
  <c r="K336" i="5"/>
  <c r="J336" i="5"/>
  <c r="I336" i="5"/>
  <c r="AX335" i="5" a="1"/>
  <c r="AX335" i="5" s="1"/>
  <c r="AW335" i="5"/>
  <c r="AH335" i="5"/>
  <c r="AG335" i="5"/>
  <c r="AE335" i="5"/>
  <c r="AD335" i="5"/>
  <c r="AC335" i="5"/>
  <c r="N335" i="5"/>
  <c r="M335" i="5"/>
  <c r="K335" i="5"/>
  <c r="J335" i="5"/>
  <c r="I335" i="5"/>
  <c r="AW334" i="5"/>
  <c r="AH334" i="5"/>
  <c r="AG334" i="5"/>
  <c r="AE334" i="5"/>
  <c r="AD334" i="5"/>
  <c r="AC334" i="5"/>
  <c r="N334" i="5"/>
  <c r="M334" i="5"/>
  <c r="K334" i="5"/>
  <c r="J334" i="5"/>
  <c r="I334" i="5"/>
  <c r="AW333" i="5"/>
  <c r="AH333" i="5"/>
  <c r="AG333" i="5"/>
  <c r="AE333" i="5"/>
  <c r="AD333" i="5"/>
  <c r="AC333" i="5"/>
  <c r="N333" i="5"/>
  <c r="M333" i="5"/>
  <c r="K333" i="5"/>
  <c r="J333" i="5"/>
  <c r="I333" i="5"/>
  <c r="AW332" i="5"/>
  <c r="AH332" i="5"/>
  <c r="AG332" i="5"/>
  <c r="AE332" i="5"/>
  <c r="AD332" i="5"/>
  <c r="AC332" i="5"/>
  <c r="N332" i="5"/>
  <c r="M332" i="5"/>
  <c r="K332" i="5"/>
  <c r="J332" i="5"/>
  <c r="I332" i="5"/>
  <c r="AW331" i="5"/>
  <c r="AH331" i="5"/>
  <c r="AG331" i="5"/>
  <c r="AE331" i="5"/>
  <c r="AD331" i="5"/>
  <c r="AC331" i="5"/>
  <c r="N331" i="5"/>
  <c r="M331" i="5"/>
  <c r="K331" i="5"/>
  <c r="J331" i="5"/>
  <c r="I331" i="5"/>
  <c r="AW330" i="5"/>
  <c r="AH330" i="5"/>
  <c r="AG330" i="5"/>
  <c r="AE330" i="5"/>
  <c r="AD330" i="5"/>
  <c r="AC330" i="5"/>
  <c r="N330" i="5"/>
  <c r="M330" i="5"/>
  <c r="K330" i="5"/>
  <c r="J330" i="5"/>
  <c r="I330" i="5"/>
  <c r="AX329" i="5" a="1"/>
  <c r="AX329" i="5"/>
  <c r="AW329" i="5"/>
  <c r="AH329" i="5"/>
  <c r="AG329" i="5"/>
  <c r="AE329" i="5"/>
  <c r="AD329" i="5"/>
  <c r="AC329" i="5"/>
  <c r="N329" i="5"/>
  <c r="M329" i="5"/>
  <c r="K329" i="5"/>
  <c r="J329" i="5"/>
  <c r="I329" i="5"/>
  <c r="AW328" i="5"/>
  <c r="AH328" i="5"/>
  <c r="AG328" i="5"/>
  <c r="AE328" i="5"/>
  <c r="AD328" i="5"/>
  <c r="AC328" i="5"/>
  <c r="N328" i="5"/>
  <c r="M328" i="5"/>
  <c r="K328" i="5"/>
  <c r="J328" i="5"/>
  <c r="I328" i="5"/>
  <c r="AW327" i="5"/>
  <c r="AH327" i="5"/>
  <c r="AG327" i="5"/>
  <c r="AE327" i="5"/>
  <c r="AD327" i="5"/>
  <c r="AC327" i="5"/>
  <c r="N327" i="5"/>
  <c r="M327" i="5"/>
  <c r="K327" i="5"/>
  <c r="J327" i="5"/>
  <c r="I327" i="5"/>
  <c r="AW326" i="5"/>
  <c r="AH326" i="5"/>
  <c r="AG326" i="5"/>
  <c r="AE326" i="5"/>
  <c r="AD326" i="5"/>
  <c r="AC326" i="5"/>
  <c r="N326" i="5"/>
  <c r="M326" i="5"/>
  <c r="K326" i="5"/>
  <c r="J326" i="5"/>
  <c r="I326" i="5"/>
  <c r="AW325" i="5"/>
  <c r="AH325" i="5"/>
  <c r="AG325" i="5"/>
  <c r="AE325" i="5"/>
  <c r="AD325" i="5"/>
  <c r="AC325" i="5"/>
  <c r="N325" i="5"/>
  <c r="M325" i="5"/>
  <c r="K325" i="5"/>
  <c r="J325" i="5"/>
  <c r="I325" i="5"/>
  <c r="AW324" i="5"/>
  <c r="AH324" i="5"/>
  <c r="AG324" i="5"/>
  <c r="AE324" i="5"/>
  <c r="AD324" i="5"/>
  <c r="AC324" i="5"/>
  <c r="N324" i="5"/>
  <c r="M324" i="5"/>
  <c r="K324" i="5"/>
  <c r="J324" i="5"/>
  <c r="I324" i="5"/>
  <c r="AX323" i="5" a="1"/>
  <c r="AX323" i="5"/>
  <c r="AW323" i="5"/>
  <c r="AH323" i="5"/>
  <c r="AG323" i="5"/>
  <c r="AE323" i="5"/>
  <c r="AD323" i="5"/>
  <c r="AC323" i="5"/>
  <c r="N323" i="5"/>
  <c r="M323" i="5"/>
  <c r="K323" i="5"/>
  <c r="J323" i="5"/>
  <c r="I323" i="5"/>
  <c r="AW322" i="5"/>
  <c r="AH322" i="5"/>
  <c r="AG322" i="5"/>
  <c r="AE322" i="5"/>
  <c r="AD322" i="5"/>
  <c r="AC322" i="5"/>
  <c r="N322" i="5"/>
  <c r="M322" i="5"/>
  <c r="K322" i="5"/>
  <c r="J322" i="5"/>
  <c r="I322" i="5"/>
  <c r="AW321" i="5"/>
  <c r="AH321" i="5"/>
  <c r="AG321" i="5"/>
  <c r="AE321" i="5"/>
  <c r="AD321" i="5"/>
  <c r="AC321" i="5"/>
  <c r="N321" i="5"/>
  <c r="M321" i="5"/>
  <c r="K321" i="5"/>
  <c r="J321" i="5"/>
  <c r="I321" i="5"/>
  <c r="AW320" i="5"/>
  <c r="AH320" i="5"/>
  <c r="AG320" i="5"/>
  <c r="AE320" i="5"/>
  <c r="AD320" i="5"/>
  <c r="AC320" i="5"/>
  <c r="N320" i="5"/>
  <c r="M320" i="5"/>
  <c r="K320" i="5"/>
  <c r="J320" i="5"/>
  <c r="I320" i="5"/>
  <c r="AW319" i="5"/>
  <c r="AH319" i="5"/>
  <c r="AG319" i="5"/>
  <c r="AE319" i="5"/>
  <c r="AD319" i="5"/>
  <c r="AC319" i="5"/>
  <c r="N319" i="5"/>
  <c r="M319" i="5"/>
  <c r="K319" i="5"/>
  <c r="J319" i="5"/>
  <c r="I319" i="5"/>
  <c r="AW318" i="5"/>
  <c r="AH318" i="5"/>
  <c r="AG318" i="5"/>
  <c r="AE318" i="5"/>
  <c r="AD318" i="5"/>
  <c r="AD344" i="5" s="1"/>
  <c r="AC318" i="5"/>
  <c r="N318" i="5"/>
  <c r="M318" i="5"/>
  <c r="K318" i="5"/>
  <c r="J318" i="5"/>
  <c r="I318" i="5"/>
  <c r="AX317" i="5" a="1"/>
  <c r="AX317" i="5"/>
  <c r="AW317" i="5"/>
  <c r="AH317" i="5"/>
  <c r="AG317" i="5"/>
  <c r="AE317" i="5"/>
  <c r="AD317" i="5"/>
  <c r="AC317" i="5"/>
  <c r="N317" i="5"/>
  <c r="M317" i="5"/>
  <c r="K317" i="5"/>
  <c r="J317" i="5"/>
  <c r="I317" i="5"/>
  <c r="AW316" i="5"/>
  <c r="AH316" i="5"/>
  <c r="AG316" i="5"/>
  <c r="AE316" i="5"/>
  <c r="AD316" i="5"/>
  <c r="AC316" i="5"/>
  <c r="N316" i="5"/>
  <c r="M316" i="5"/>
  <c r="K316" i="5"/>
  <c r="J316" i="5"/>
  <c r="I316" i="5"/>
  <c r="AW315" i="5"/>
  <c r="AH315" i="5"/>
  <c r="AG315" i="5"/>
  <c r="AE315" i="5"/>
  <c r="AD315" i="5"/>
  <c r="AC315" i="5"/>
  <c r="N315" i="5"/>
  <c r="M315" i="5"/>
  <c r="K315" i="5"/>
  <c r="J315" i="5"/>
  <c r="I315" i="5"/>
  <c r="AW314" i="5"/>
  <c r="AH314" i="5"/>
  <c r="AG314" i="5"/>
  <c r="AE314" i="5"/>
  <c r="AD314" i="5"/>
  <c r="AC314" i="5"/>
  <c r="N314" i="5"/>
  <c r="M314" i="5"/>
  <c r="K314" i="5"/>
  <c r="J314" i="5"/>
  <c r="I314" i="5"/>
  <c r="AW313" i="5"/>
  <c r="AH313" i="5"/>
  <c r="AG313" i="5"/>
  <c r="AE313" i="5"/>
  <c r="AE344" i="5" s="1"/>
  <c r="AD313" i="5"/>
  <c r="AC313" i="5"/>
  <c r="N313" i="5"/>
  <c r="M313" i="5"/>
  <c r="K313" i="5"/>
  <c r="J313" i="5"/>
  <c r="I313" i="5"/>
  <c r="AW312" i="5"/>
  <c r="AH312" i="5"/>
  <c r="AG312" i="5"/>
  <c r="AE312" i="5"/>
  <c r="AD312" i="5"/>
  <c r="AC312" i="5"/>
  <c r="N312" i="5"/>
  <c r="M312" i="5"/>
  <c r="K312" i="5"/>
  <c r="J312" i="5"/>
  <c r="I312" i="5"/>
  <c r="AX311" i="5" a="1"/>
  <c r="AX311" i="5" s="1"/>
  <c r="AW311" i="5"/>
  <c r="AH311" i="5"/>
  <c r="AG311" i="5"/>
  <c r="AE311" i="5"/>
  <c r="AD311" i="5"/>
  <c r="AC311" i="5"/>
  <c r="N311" i="5"/>
  <c r="M311" i="5"/>
  <c r="K311" i="5"/>
  <c r="J311" i="5"/>
  <c r="I311" i="5"/>
  <c r="AW310" i="5"/>
  <c r="AH310" i="5"/>
  <c r="AG310" i="5"/>
  <c r="AE310" i="5"/>
  <c r="AD310" i="5"/>
  <c r="AC310" i="5"/>
  <c r="N310" i="5"/>
  <c r="M310" i="5"/>
  <c r="K310" i="5"/>
  <c r="J310" i="5"/>
  <c r="I310" i="5"/>
  <c r="AW309" i="5"/>
  <c r="AH309" i="5"/>
  <c r="AG309" i="5"/>
  <c r="AE309" i="5"/>
  <c r="AD309" i="5"/>
  <c r="AC309" i="5"/>
  <c r="N309" i="5"/>
  <c r="M309" i="5"/>
  <c r="K309" i="5"/>
  <c r="J309" i="5"/>
  <c r="I309" i="5"/>
  <c r="AW308" i="5"/>
  <c r="AH308" i="5"/>
  <c r="AG308" i="5"/>
  <c r="AE308" i="5"/>
  <c r="AD308" i="5"/>
  <c r="AC308" i="5"/>
  <c r="N308" i="5"/>
  <c r="M308" i="5"/>
  <c r="K308" i="5"/>
  <c r="J308" i="5"/>
  <c r="I308" i="5"/>
  <c r="AW307" i="5"/>
  <c r="AH307" i="5"/>
  <c r="AG307" i="5"/>
  <c r="AE307" i="5"/>
  <c r="AD307" i="5"/>
  <c r="AC307" i="5"/>
  <c r="N307" i="5"/>
  <c r="M307" i="5"/>
  <c r="K307" i="5"/>
  <c r="J307" i="5"/>
  <c r="I307" i="5"/>
  <c r="AW306" i="5"/>
  <c r="AH306" i="5"/>
  <c r="AG306" i="5"/>
  <c r="AE306" i="5"/>
  <c r="AD306" i="5"/>
  <c r="AC306" i="5"/>
  <c r="N306" i="5"/>
  <c r="M306" i="5"/>
  <c r="K306" i="5"/>
  <c r="J306" i="5"/>
  <c r="I306" i="5"/>
  <c r="AX305" i="5" a="1"/>
  <c r="AX305" i="5" s="1"/>
  <c r="AW305" i="5"/>
  <c r="AH305" i="5"/>
  <c r="AG305" i="5"/>
  <c r="AE305" i="5"/>
  <c r="AD305" i="5"/>
  <c r="AC305" i="5"/>
  <c r="N305" i="5"/>
  <c r="M305" i="5"/>
  <c r="K305" i="5"/>
  <c r="J305" i="5"/>
  <c r="I305" i="5"/>
  <c r="AW304" i="5"/>
  <c r="AH304" i="5"/>
  <c r="AG304" i="5"/>
  <c r="AE304" i="5"/>
  <c r="AD304" i="5"/>
  <c r="AC304" i="5"/>
  <c r="N304" i="5"/>
  <c r="M304" i="5"/>
  <c r="K304" i="5"/>
  <c r="J304" i="5"/>
  <c r="I304" i="5"/>
  <c r="AW303" i="5"/>
  <c r="AH303" i="5"/>
  <c r="AG303" i="5"/>
  <c r="AE303" i="5"/>
  <c r="AD303" i="5"/>
  <c r="AC303" i="5"/>
  <c r="N303" i="5"/>
  <c r="M303" i="5"/>
  <c r="K303" i="5"/>
  <c r="J303" i="5"/>
  <c r="I303" i="5"/>
  <c r="AW302" i="5"/>
  <c r="AH302" i="5"/>
  <c r="AG302" i="5"/>
  <c r="AE302" i="5"/>
  <c r="AD302" i="5"/>
  <c r="AC302" i="5"/>
  <c r="N302" i="5"/>
  <c r="M302" i="5"/>
  <c r="K302" i="5"/>
  <c r="J302" i="5"/>
  <c r="I302" i="5"/>
  <c r="AW301" i="5"/>
  <c r="AH301" i="5"/>
  <c r="AG301" i="5"/>
  <c r="AE301" i="5"/>
  <c r="AD301" i="5"/>
  <c r="AC301" i="5"/>
  <c r="N301" i="5"/>
  <c r="M301" i="5"/>
  <c r="K301" i="5"/>
  <c r="J301" i="5"/>
  <c r="I301" i="5"/>
  <c r="AW300" i="5"/>
  <c r="AH300" i="5"/>
  <c r="AG300" i="5"/>
  <c r="AE300" i="5"/>
  <c r="AD300" i="5"/>
  <c r="AC300" i="5"/>
  <c r="N300" i="5"/>
  <c r="M300" i="5"/>
  <c r="K300" i="5"/>
  <c r="J300" i="5"/>
  <c r="I300" i="5"/>
  <c r="AX299" i="5" a="1"/>
  <c r="AX299" i="5" s="1"/>
  <c r="AW299" i="5"/>
  <c r="AH299" i="5"/>
  <c r="AG299" i="5"/>
  <c r="AG344" i="5" s="1"/>
  <c r="AE299" i="5"/>
  <c r="AD299" i="5"/>
  <c r="AC299" i="5"/>
  <c r="N299" i="5"/>
  <c r="M299" i="5"/>
  <c r="K299" i="5"/>
  <c r="J299" i="5"/>
  <c r="I299" i="5"/>
  <c r="AW298" i="5"/>
  <c r="AH298" i="5"/>
  <c r="AG298" i="5"/>
  <c r="AF298" i="5"/>
  <c r="AE298" i="5"/>
  <c r="AD298" i="5"/>
  <c r="AC298" i="5"/>
  <c r="N298" i="5"/>
  <c r="M298" i="5"/>
  <c r="L298" i="5"/>
  <c r="K298" i="5"/>
  <c r="J298" i="5"/>
  <c r="I298" i="5"/>
  <c r="AW297" i="5"/>
  <c r="AH297" i="5"/>
  <c r="AG297" i="5"/>
  <c r="AF297" i="5"/>
  <c r="AE297" i="5"/>
  <c r="AD297" i="5"/>
  <c r="AC297" i="5"/>
  <c r="N297" i="5"/>
  <c r="M297" i="5"/>
  <c r="L297" i="5"/>
  <c r="K297" i="5"/>
  <c r="J297" i="5"/>
  <c r="I297" i="5"/>
  <c r="AW296" i="5"/>
  <c r="AH296" i="5"/>
  <c r="AG296" i="5"/>
  <c r="AF296" i="5"/>
  <c r="AE296" i="5"/>
  <c r="AD296" i="5"/>
  <c r="AC296" i="5"/>
  <c r="N296" i="5"/>
  <c r="M296" i="5"/>
  <c r="L296" i="5"/>
  <c r="K296" i="5"/>
  <c r="J296" i="5"/>
  <c r="I296" i="5"/>
  <c r="AW295" i="5"/>
  <c r="AH295" i="5"/>
  <c r="AG295" i="5"/>
  <c r="AF295" i="5"/>
  <c r="AE295" i="5"/>
  <c r="AD295" i="5"/>
  <c r="AC295" i="5"/>
  <c r="N295" i="5"/>
  <c r="M295" i="5"/>
  <c r="L295" i="5"/>
  <c r="K295" i="5"/>
  <c r="J295" i="5"/>
  <c r="I295" i="5"/>
  <c r="AW294" i="5"/>
  <c r="AH294" i="5"/>
  <c r="AG294" i="5"/>
  <c r="AF294" i="5"/>
  <c r="AE294" i="5"/>
  <c r="AD294" i="5"/>
  <c r="AC294" i="5"/>
  <c r="N294" i="5"/>
  <c r="M294" i="5"/>
  <c r="L294" i="5"/>
  <c r="K294" i="5"/>
  <c r="J294" i="5"/>
  <c r="I294" i="5"/>
  <c r="AX293" i="5" a="1"/>
  <c r="AX293" i="5"/>
  <c r="AW293" i="5"/>
  <c r="AH293" i="5"/>
  <c r="AG293" i="5"/>
  <c r="AF293" i="5"/>
  <c r="AE293" i="5"/>
  <c r="AD293" i="5"/>
  <c r="AC293" i="5"/>
  <c r="N293" i="5"/>
  <c r="M293" i="5"/>
  <c r="L293" i="5"/>
  <c r="K293" i="5"/>
  <c r="J293" i="5"/>
  <c r="I293" i="5"/>
  <c r="AW292" i="5"/>
  <c r="AH292" i="5"/>
  <c r="AG292" i="5"/>
  <c r="AF292" i="5"/>
  <c r="AE292" i="5"/>
  <c r="AD292" i="5"/>
  <c r="AC292" i="5"/>
  <c r="N292" i="5"/>
  <c r="M292" i="5"/>
  <c r="L292" i="5"/>
  <c r="K292" i="5"/>
  <c r="J292" i="5"/>
  <c r="I292" i="5"/>
  <c r="AW291" i="5"/>
  <c r="AH291" i="5"/>
  <c r="AG291" i="5"/>
  <c r="AF291" i="5"/>
  <c r="AE291" i="5"/>
  <c r="AD291" i="5"/>
  <c r="AC291" i="5"/>
  <c r="N291" i="5"/>
  <c r="M291" i="5"/>
  <c r="L291" i="5"/>
  <c r="L343" i="5" s="1"/>
  <c r="K291" i="5"/>
  <c r="J291" i="5"/>
  <c r="I291" i="5"/>
  <c r="AW290" i="5"/>
  <c r="AH290" i="5"/>
  <c r="AG290" i="5"/>
  <c r="AF290" i="5"/>
  <c r="AE290" i="5"/>
  <c r="AD290" i="5"/>
  <c r="AC290" i="5"/>
  <c r="N290" i="5"/>
  <c r="M290" i="5"/>
  <c r="L290" i="5"/>
  <c r="K290" i="5"/>
  <c r="J290" i="5"/>
  <c r="I290" i="5"/>
  <c r="AW289" i="5"/>
  <c r="AH289" i="5"/>
  <c r="AG289" i="5"/>
  <c r="AF289" i="5"/>
  <c r="AE289" i="5"/>
  <c r="AD289" i="5"/>
  <c r="AC289" i="5"/>
  <c r="N289" i="5"/>
  <c r="M289" i="5"/>
  <c r="L289" i="5"/>
  <c r="K289" i="5"/>
  <c r="J289" i="5"/>
  <c r="I289" i="5"/>
  <c r="AW288" i="5"/>
  <c r="AH288" i="5"/>
  <c r="AG288" i="5"/>
  <c r="AF288" i="5"/>
  <c r="AE288" i="5"/>
  <c r="AD288" i="5"/>
  <c r="AC288" i="5"/>
  <c r="N288" i="5"/>
  <c r="M288" i="5"/>
  <c r="L288" i="5"/>
  <c r="K288" i="5"/>
  <c r="J288" i="5"/>
  <c r="I288" i="5"/>
  <c r="AX287" i="5" a="1"/>
  <c r="AX287" i="5"/>
  <c r="AW287" i="5"/>
  <c r="AH287" i="5"/>
  <c r="AG287" i="5"/>
  <c r="AF287" i="5"/>
  <c r="AE287" i="5"/>
  <c r="AD287" i="5"/>
  <c r="AC287" i="5"/>
  <c r="N287" i="5"/>
  <c r="M287" i="5"/>
  <c r="L287" i="5"/>
  <c r="K287" i="5"/>
  <c r="J287" i="5"/>
  <c r="I287" i="5"/>
  <c r="AW286" i="5"/>
  <c r="AH286" i="5"/>
  <c r="AG286" i="5"/>
  <c r="AF286" i="5"/>
  <c r="AE286" i="5"/>
  <c r="AD286" i="5"/>
  <c r="AC286" i="5"/>
  <c r="N286" i="5"/>
  <c r="M286" i="5"/>
  <c r="L286" i="5"/>
  <c r="K286" i="5"/>
  <c r="J286" i="5"/>
  <c r="I286" i="5"/>
  <c r="AW285" i="5"/>
  <c r="AH285" i="5"/>
  <c r="AG285" i="5"/>
  <c r="AF285" i="5"/>
  <c r="AE285" i="5"/>
  <c r="AD285" i="5"/>
  <c r="AC285" i="5"/>
  <c r="N285" i="5"/>
  <c r="M285" i="5"/>
  <c r="L285" i="5"/>
  <c r="K285" i="5"/>
  <c r="J285" i="5"/>
  <c r="I285" i="5"/>
  <c r="AW284" i="5"/>
  <c r="AH284" i="5"/>
  <c r="AG284" i="5"/>
  <c r="AF284" i="5"/>
  <c r="AE284" i="5"/>
  <c r="AD284" i="5"/>
  <c r="AC284" i="5"/>
  <c r="N284" i="5"/>
  <c r="M284" i="5"/>
  <c r="L284" i="5"/>
  <c r="K284" i="5"/>
  <c r="J284" i="5"/>
  <c r="I284" i="5"/>
  <c r="AW283" i="5"/>
  <c r="AH283" i="5"/>
  <c r="AG283" i="5"/>
  <c r="AF283" i="5"/>
  <c r="AE283" i="5"/>
  <c r="AD283" i="5"/>
  <c r="AC283" i="5"/>
  <c r="N283" i="5"/>
  <c r="M283" i="5"/>
  <c r="L283" i="5"/>
  <c r="K283" i="5"/>
  <c r="J283" i="5"/>
  <c r="J343" i="5" s="1"/>
  <c r="I283" i="5"/>
  <c r="AW282" i="5"/>
  <c r="AH282" i="5"/>
  <c r="AG282" i="5"/>
  <c r="AG343" i="5" s="1"/>
  <c r="AF282" i="5"/>
  <c r="AE282" i="5"/>
  <c r="AD282" i="5"/>
  <c r="AC282" i="5"/>
  <c r="N282" i="5"/>
  <c r="M282" i="5"/>
  <c r="M345" i="5" s="1"/>
  <c r="L282" i="5"/>
  <c r="K282" i="5"/>
  <c r="J282" i="5"/>
  <c r="I282" i="5"/>
  <c r="AX281" i="5" a="1"/>
  <c r="AX281" i="5" s="1"/>
  <c r="AX343" i="5" s="1"/>
  <c r="AW281" i="5"/>
  <c r="AH281" i="5"/>
  <c r="AG281" i="5"/>
  <c r="AF281" i="5"/>
  <c r="AE281" i="5"/>
  <c r="AD281" i="5"/>
  <c r="AC281" i="5"/>
  <c r="N281" i="5"/>
  <c r="M281" i="5"/>
  <c r="L281" i="5"/>
  <c r="K281" i="5"/>
  <c r="K343" i="5" s="1"/>
  <c r="J281" i="5"/>
  <c r="I281" i="5"/>
  <c r="AW280" i="5"/>
  <c r="AH280" i="5"/>
  <c r="AF280" i="5"/>
  <c r="AE280" i="5"/>
  <c r="AD280" i="5"/>
  <c r="AC280" i="5"/>
  <c r="N280" i="5"/>
  <c r="L280" i="5"/>
  <c r="K280" i="5"/>
  <c r="J280" i="5"/>
  <c r="I280" i="5"/>
  <c r="AW279" i="5"/>
  <c r="AH279" i="5"/>
  <c r="AF279" i="5"/>
  <c r="AE279" i="5"/>
  <c r="AD279" i="5"/>
  <c r="AC279" i="5"/>
  <c r="N279" i="5"/>
  <c r="L279" i="5"/>
  <c r="K279" i="5"/>
  <c r="J279" i="5"/>
  <c r="I279" i="5"/>
  <c r="AW278" i="5"/>
  <c r="AH278" i="5"/>
  <c r="AF278" i="5"/>
  <c r="AE278" i="5"/>
  <c r="AD278" i="5"/>
  <c r="AC278" i="5"/>
  <c r="N278" i="5"/>
  <c r="L278" i="5"/>
  <c r="K278" i="5"/>
  <c r="J278" i="5"/>
  <c r="I278" i="5"/>
  <c r="AW277" i="5"/>
  <c r="AH277" i="5"/>
  <c r="AF277" i="5"/>
  <c r="AE277" i="5"/>
  <c r="AD277" i="5"/>
  <c r="AC277" i="5"/>
  <c r="N277" i="5"/>
  <c r="L277" i="5"/>
  <c r="K277" i="5"/>
  <c r="J277" i="5"/>
  <c r="I277" i="5"/>
  <c r="AW276" i="5"/>
  <c r="AH276" i="5"/>
  <c r="AF276" i="5"/>
  <c r="AE276" i="5"/>
  <c r="AD276" i="5"/>
  <c r="AC276" i="5"/>
  <c r="N276" i="5"/>
  <c r="L276" i="5"/>
  <c r="K276" i="5"/>
  <c r="J276" i="5"/>
  <c r="I276" i="5"/>
  <c r="AX275" i="5" a="1"/>
  <c r="AX275" i="5"/>
  <c r="AW275" i="5"/>
  <c r="AH275" i="5"/>
  <c r="AF275" i="5"/>
  <c r="AE275" i="5"/>
  <c r="AD275" i="5"/>
  <c r="AC275" i="5"/>
  <c r="N275" i="5"/>
  <c r="L275" i="5"/>
  <c r="K275" i="5"/>
  <c r="J275" i="5"/>
  <c r="I275" i="5"/>
  <c r="AW274" i="5"/>
  <c r="AH274" i="5"/>
  <c r="AF274" i="5"/>
  <c r="AE274" i="5"/>
  <c r="AD274" i="5"/>
  <c r="AC274" i="5"/>
  <c r="N274" i="5"/>
  <c r="L274" i="5"/>
  <c r="K274" i="5"/>
  <c r="J274" i="5"/>
  <c r="I274" i="5"/>
  <c r="AW273" i="5"/>
  <c r="AH273" i="5"/>
  <c r="AF273" i="5"/>
  <c r="AE273" i="5"/>
  <c r="AD273" i="5"/>
  <c r="AC273" i="5"/>
  <c r="N273" i="5"/>
  <c r="L273" i="5"/>
  <c r="K273" i="5"/>
  <c r="J273" i="5"/>
  <c r="I273" i="5"/>
  <c r="AW272" i="5"/>
  <c r="AH272" i="5"/>
  <c r="AF272" i="5"/>
  <c r="AE272" i="5"/>
  <c r="AD272" i="5"/>
  <c r="AC272" i="5"/>
  <c r="N272" i="5"/>
  <c r="L272" i="5"/>
  <c r="K272" i="5"/>
  <c r="J272" i="5"/>
  <c r="I272" i="5"/>
  <c r="AW271" i="5"/>
  <c r="AH271" i="5"/>
  <c r="AF271" i="5"/>
  <c r="AE271" i="5"/>
  <c r="AD271" i="5"/>
  <c r="AC271" i="5"/>
  <c r="N271" i="5"/>
  <c r="L271" i="5"/>
  <c r="K271" i="5"/>
  <c r="J271" i="5"/>
  <c r="I271" i="5"/>
  <c r="AW270" i="5"/>
  <c r="AH270" i="5"/>
  <c r="AF270" i="5"/>
  <c r="AE270" i="5"/>
  <c r="AD270" i="5"/>
  <c r="AC270" i="5"/>
  <c r="N270" i="5"/>
  <c r="L270" i="5"/>
  <c r="K270" i="5"/>
  <c r="J270" i="5"/>
  <c r="I270" i="5"/>
  <c r="AX269" i="5" a="1"/>
  <c r="AX269" i="5" s="1"/>
  <c r="AW269" i="5"/>
  <c r="AH269" i="5"/>
  <c r="AF269" i="5"/>
  <c r="AE269" i="5"/>
  <c r="AD269" i="5"/>
  <c r="AC269" i="5"/>
  <c r="N269" i="5"/>
  <c r="L269" i="5"/>
  <c r="K269" i="5"/>
  <c r="J269" i="5"/>
  <c r="I269" i="5"/>
  <c r="AW268" i="5"/>
  <c r="AH268" i="5"/>
  <c r="AF268" i="5"/>
  <c r="AE268" i="5"/>
  <c r="AD268" i="5"/>
  <c r="AC268" i="5"/>
  <c r="N268" i="5"/>
  <c r="L268" i="5"/>
  <c r="K268" i="5"/>
  <c r="J268" i="5"/>
  <c r="I268" i="5"/>
  <c r="AW267" i="5"/>
  <c r="AH267" i="5"/>
  <c r="AF267" i="5"/>
  <c r="AE267" i="5"/>
  <c r="AD267" i="5"/>
  <c r="AC267" i="5"/>
  <c r="N267" i="5"/>
  <c r="L267" i="5"/>
  <c r="K267" i="5"/>
  <c r="J267" i="5"/>
  <c r="I267" i="5"/>
  <c r="AW266" i="5"/>
  <c r="AH266" i="5"/>
  <c r="AF266" i="5"/>
  <c r="AE266" i="5"/>
  <c r="AD266" i="5"/>
  <c r="AC266" i="5"/>
  <c r="N266" i="5"/>
  <c r="L266" i="5"/>
  <c r="K266" i="5"/>
  <c r="J266" i="5"/>
  <c r="I266" i="5"/>
  <c r="AW265" i="5"/>
  <c r="AH265" i="5"/>
  <c r="AF265" i="5"/>
  <c r="AE265" i="5"/>
  <c r="AD265" i="5"/>
  <c r="AC265" i="5"/>
  <c r="N265" i="5"/>
  <c r="L265" i="5"/>
  <c r="K265" i="5"/>
  <c r="J265" i="5"/>
  <c r="I265" i="5"/>
  <c r="AW264" i="5"/>
  <c r="AH264" i="5"/>
  <c r="AF264" i="5"/>
  <c r="AE264" i="5"/>
  <c r="AD264" i="5"/>
  <c r="AC264" i="5"/>
  <c r="N264" i="5"/>
  <c r="L264" i="5"/>
  <c r="K264" i="5"/>
  <c r="J264" i="5"/>
  <c r="I264" i="5"/>
  <c r="AX263" i="5" a="1"/>
  <c r="AX263" i="5"/>
  <c r="AW263" i="5"/>
  <c r="AH263" i="5"/>
  <c r="AF263" i="5"/>
  <c r="AE263" i="5"/>
  <c r="AD263" i="5"/>
  <c r="AC263" i="5"/>
  <c r="N263" i="5"/>
  <c r="L263" i="5"/>
  <c r="K263" i="5"/>
  <c r="J263" i="5"/>
  <c r="I263" i="5"/>
  <c r="AW262" i="5"/>
  <c r="AH262" i="5"/>
  <c r="AF262" i="5"/>
  <c r="AE262" i="5"/>
  <c r="AD262" i="5"/>
  <c r="AC262" i="5"/>
  <c r="N262" i="5"/>
  <c r="L262" i="5"/>
  <c r="K262" i="5"/>
  <c r="J262" i="5"/>
  <c r="I262" i="5"/>
  <c r="AW261" i="5"/>
  <c r="AH261" i="5"/>
  <c r="AF261" i="5"/>
  <c r="AE261" i="5"/>
  <c r="AD261" i="5"/>
  <c r="AC261" i="5"/>
  <c r="N261" i="5"/>
  <c r="L261" i="5"/>
  <c r="K261" i="5"/>
  <c r="J261" i="5"/>
  <c r="I261" i="5"/>
  <c r="AW260" i="5"/>
  <c r="AH260" i="5"/>
  <c r="AF260" i="5"/>
  <c r="AE260" i="5"/>
  <c r="AD260" i="5"/>
  <c r="AC260" i="5"/>
  <c r="N260" i="5"/>
  <c r="L260" i="5"/>
  <c r="K260" i="5"/>
  <c r="J260" i="5"/>
  <c r="I260" i="5"/>
  <c r="AW259" i="5"/>
  <c r="AH259" i="5"/>
  <c r="AF259" i="5"/>
  <c r="AE259" i="5"/>
  <c r="AD259" i="5"/>
  <c r="AC259" i="5"/>
  <c r="N259" i="5"/>
  <c r="L259" i="5"/>
  <c r="K259" i="5"/>
  <c r="J259" i="5"/>
  <c r="I259" i="5"/>
  <c r="AW258" i="5"/>
  <c r="AH258" i="5"/>
  <c r="AF258" i="5"/>
  <c r="AE258" i="5"/>
  <c r="AD258" i="5"/>
  <c r="AC258" i="5"/>
  <c r="N258" i="5"/>
  <c r="L258" i="5"/>
  <c r="K258" i="5"/>
  <c r="J258" i="5"/>
  <c r="I258" i="5"/>
  <c r="AX257" i="5" a="1"/>
  <c r="AX257" i="5" s="1"/>
  <c r="AW257" i="5"/>
  <c r="AH257" i="5"/>
  <c r="AF257" i="5"/>
  <c r="AE257" i="5"/>
  <c r="AD257" i="5"/>
  <c r="AC257" i="5"/>
  <c r="N257" i="5"/>
  <c r="L257" i="5"/>
  <c r="K257" i="5"/>
  <c r="J257" i="5"/>
  <c r="I257" i="5"/>
  <c r="AW256" i="5"/>
  <c r="AH256" i="5"/>
  <c r="AF256" i="5"/>
  <c r="AE256" i="5"/>
  <c r="AD256" i="5"/>
  <c r="AC256" i="5"/>
  <c r="N256" i="5"/>
  <c r="L256" i="5"/>
  <c r="K256" i="5"/>
  <c r="J256" i="5"/>
  <c r="I256" i="5"/>
  <c r="AW255" i="5"/>
  <c r="AH255" i="5"/>
  <c r="AF255" i="5"/>
  <c r="AE255" i="5"/>
  <c r="AD255" i="5"/>
  <c r="AC255" i="5"/>
  <c r="N255" i="5"/>
  <c r="L255" i="5"/>
  <c r="K255" i="5"/>
  <c r="J255" i="5"/>
  <c r="I255" i="5"/>
  <c r="AW254" i="5"/>
  <c r="AH254" i="5"/>
  <c r="AF254" i="5"/>
  <c r="AE254" i="5"/>
  <c r="AD254" i="5"/>
  <c r="AC254" i="5"/>
  <c r="N254" i="5"/>
  <c r="L254" i="5"/>
  <c r="K254" i="5"/>
  <c r="J254" i="5"/>
  <c r="I254" i="5"/>
  <c r="AW253" i="5"/>
  <c r="AH253" i="5"/>
  <c r="AF253" i="5"/>
  <c r="AE253" i="5"/>
  <c r="AD253" i="5"/>
  <c r="AC253" i="5"/>
  <c r="N253" i="5"/>
  <c r="L253" i="5"/>
  <c r="K253" i="5"/>
  <c r="J253" i="5"/>
  <c r="I253" i="5"/>
  <c r="AW252" i="5"/>
  <c r="AH252" i="5"/>
  <c r="AF252" i="5"/>
  <c r="AE252" i="5"/>
  <c r="AD252" i="5"/>
  <c r="AC252" i="5"/>
  <c r="N252" i="5"/>
  <c r="L252" i="5"/>
  <c r="K252" i="5"/>
  <c r="J252" i="5"/>
  <c r="I252" i="5"/>
  <c r="AX251" i="5" a="1"/>
  <c r="AX251" i="5" s="1"/>
  <c r="AW251" i="5"/>
  <c r="AH251" i="5"/>
  <c r="AF251" i="5"/>
  <c r="AE251" i="5"/>
  <c r="AD251" i="5"/>
  <c r="AC251" i="5"/>
  <c r="N251" i="5"/>
  <c r="L251" i="5"/>
  <c r="K251" i="5"/>
  <c r="J251" i="5"/>
  <c r="I251" i="5"/>
  <c r="AW250" i="5"/>
  <c r="AH250" i="5"/>
  <c r="AF250" i="5"/>
  <c r="AE250" i="5"/>
  <c r="AD250" i="5"/>
  <c r="AC250" i="5"/>
  <c r="N250" i="5"/>
  <c r="L250" i="5"/>
  <c r="K250" i="5"/>
  <c r="J250" i="5"/>
  <c r="I250" i="5"/>
  <c r="AW249" i="5"/>
  <c r="AH249" i="5"/>
  <c r="AF249" i="5"/>
  <c r="AE249" i="5"/>
  <c r="AD249" i="5"/>
  <c r="AC249" i="5"/>
  <c r="N249" i="5"/>
  <c r="L249" i="5"/>
  <c r="K249" i="5"/>
  <c r="J249" i="5"/>
  <c r="I249" i="5"/>
  <c r="AW248" i="5"/>
  <c r="AH248" i="5"/>
  <c r="AF248" i="5"/>
  <c r="AE248" i="5"/>
  <c r="AD248" i="5"/>
  <c r="AC248" i="5"/>
  <c r="N248" i="5"/>
  <c r="L248" i="5"/>
  <c r="K248" i="5"/>
  <c r="J248" i="5"/>
  <c r="I248" i="5"/>
  <c r="AW247" i="5"/>
  <c r="AH247" i="5"/>
  <c r="AF247" i="5"/>
  <c r="AE247" i="5"/>
  <c r="AD247" i="5"/>
  <c r="AC247" i="5"/>
  <c r="N247" i="5"/>
  <c r="L247" i="5"/>
  <c r="K247" i="5"/>
  <c r="J247" i="5"/>
  <c r="I247" i="5"/>
  <c r="AW246" i="5"/>
  <c r="AH246" i="5"/>
  <c r="AF246" i="5"/>
  <c r="AE246" i="5"/>
  <c r="AD246" i="5"/>
  <c r="AC246" i="5"/>
  <c r="N246" i="5"/>
  <c r="L246" i="5"/>
  <c r="K246" i="5"/>
  <c r="J246" i="5"/>
  <c r="I246" i="5"/>
  <c r="AX245" i="5" a="1"/>
  <c r="AX245" i="5" s="1"/>
  <c r="AW245" i="5"/>
  <c r="AH245" i="5"/>
  <c r="AF245" i="5"/>
  <c r="AE245" i="5"/>
  <c r="AD245" i="5"/>
  <c r="AC245" i="5"/>
  <c r="N245" i="5"/>
  <c r="L245" i="5"/>
  <c r="K245" i="5"/>
  <c r="J245" i="5"/>
  <c r="I245" i="5"/>
  <c r="AW244" i="5"/>
  <c r="AH244" i="5"/>
  <c r="AF244" i="5"/>
  <c r="AE244" i="5"/>
  <c r="AD244" i="5"/>
  <c r="AC244" i="5"/>
  <c r="N244" i="5"/>
  <c r="L244" i="5"/>
  <c r="K244" i="5"/>
  <c r="J244" i="5"/>
  <c r="I244" i="5"/>
  <c r="AW243" i="5"/>
  <c r="AH243" i="5"/>
  <c r="AF243" i="5"/>
  <c r="AE243" i="5"/>
  <c r="AD243" i="5"/>
  <c r="AC243" i="5"/>
  <c r="N243" i="5"/>
  <c r="L243" i="5"/>
  <c r="K243" i="5"/>
  <c r="J243" i="5"/>
  <c r="I243" i="5"/>
  <c r="AW242" i="5"/>
  <c r="AH242" i="5"/>
  <c r="AF242" i="5"/>
  <c r="AE242" i="5"/>
  <c r="AD242" i="5"/>
  <c r="AC242" i="5"/>
  <c r="N242" i="5"/>
  <c r="L242" i="5"/>
  <c r="K242" i="5"/>
  <c r="J242" i="5"/>
  <c r="I242" i="5"/>
  <c r="AW241" i="5"/>
  <c r="AH241" i="5"/>
  <c r="AF241" i="5"/>
  <c r="AE241" i="5"/>
  <c r="AD241" i="5"/>
  <c r="AC241" i="5"/>
  <c r="N241" i="5"/>
  <c r="L241" i="5"/>
  <c r="K241" i="5"/>
  <c r="J241" i="5"/>
  <c r="I241" i="5"/>
  <c r="AW240" i="5"/>
  <c r="AH240" i="5"/>
  <c r="AF240" i="5"/>
  <c r="AE240" i="5"/>
  <c r="AD240" i="5"/>
  <c r="AC240" i="5"/>
  <c r="N240" i="5"/>
  <c r="L240" i="5"/>
  <c r="K240" i="5"/>
  <c r="J240" i="5"/>
  <c r="I240" i="5"/>
  <c r="AX239" i="5" a="1"/>
  <c r="AX239" i="5"/>
  <c r="AW239" i="5"/>
  <c r="AH239" i="5"/>
  <c r="AF239" i="5"/>
  <c r="AE239" i="5"/>
  <c r="AD239" i="5"/>
  <c r="AC239" i="5"/>
  <c r="N239" i="5"/>
  <c r="L239" i="5"/>
  <c r="K239" i="5"/>
  <c r="J239" i="5"/>
  <c r="I239" i="5"/>
  <c r="AW238" i="5"/>
  <c r="AH238" i="5"/>
  <c r="AF238" i="5"/>
  <c r="AE238" i="5"/>
  <c r="AD238" i="5"/>
  <c r="AC238" i="5"/>
  <c r="N238" i="5"/>
  <c r="L238" i="5"/>
  <c r="K238" i="5"/>
  <c r="J238" i="5"/>
  <c r="I238" i="5"/>
  <c r="AW237" i="5"/>
  <c r="AH237" i="5"/>
  <c r="AF237" i="5"/>
  <c r="AE237" i="5"/>
  <c r="AD237" i="5"/>
  <c r="AC237" i="5"/>
  <c r="N237" i="5"/>
  <c r="L237" i="5"/>
  <c r="K237" i="5"/>
  <c r="J237" i="5"/>
  <c r="I237" i="5"/>
  <c r="AW236" i="5"/>
  <c r="AH236" i="5"/>
  <c r="AF236" i="5"/>
  <c r="AE236" i="5"/>
  <c r="AD236" i="5"/>
  <c r="AC236" i="5"/>
  <c r="N236" i="5"/>
  <c r="L236" i="5"/>
  <c r="K236" i="5"/>
  <c r="J236" i="5"/>
  <c r="I236" i="5"/>
  <c r="AW235" i="5"/>
  <c r="AH235" i="5"/>
  <c r="AF235" i="5"/>
  <c r="AE235" i="5"/>
  <c r="AD235" i="5"/>
  <c r="AC235" i="5"/>
  <c r="N235" i="5"/>
  <c r="L235" i="5"/>
  <c r="K235" i="5"/>
  <c r="J235" i="5"/>
  <c r="I235" i="5"/>
  <c r="AW234" i="5"/>
  <c r="AH234" i="5"/>
  <c r="AF234" i="5"/>
  <c r="AE234" i="5"/>
  <c r="AD234" i="5"/>
  <c r="AC234" i="5"/>
  <c r="N234" i="5"/>
  <c r="L234" i="5"/>
  <c r="K234" i="5"/>
  <c r="J234" i="5"/>
  <c r="I234" i="5"/>
  <c r="AX233" i="5" a="1"/>
  <c r="AX233" i="5" s="1"/>
  <c r="AW233" i="5"/>
  <c r="AH233" i="5"/>
  <c r="AF233" i="5"/>
  <c r="AE233" i="5"/>
  <c r="AD233" i="5"/>
  <c r="AC233" i="5"/>
  <c r="N233" i="5"/>
  <c r="L233" i="5"/>
  <c r="K233" i="5"/>
  <c r="J233" i="5"/>
  <c r="I233" i="5"/>
  <c r="AW232" i="5"/>
  <c r="AH232" i="5"/>
  <c r="AF232" i="5"/>
  <c r="AE232" i="5"/>
  <c r="AD232" i="5"/>
  <c r="AC232" i="5"/>
  <c r="N232" i="5"/>
  <c r="L232" i="5"/>
  <c r="K232" i="5"/>
  <c r="J232" i="5"/>
  <c r="I232" i="5"/>
  <c r="AW231" i="5"/>
  <c r="AH231" i="5"/>
  <c r="AF231" i="5"/>
  <c r="AE231" i="5"/>
  <c r="AD231" i="5"/>
  <c r="AC231" i="5"/>
  <c r="N231" i="5"/>
  <c r="L231" i="5"/>
  <c r="K231" i="5"/>
  <c r="J231" i="5"/>
  <c r="I231" i="5"/>
  <c r="AW230" i="5"/>
  <c r="AH230" i="5"/>
  <c r="AF230" i="5"/>
  <c r="AE230" i="5"/>
  <c r="AD230" i="5"/>
  <c r="AC230" i="5"/>
  <c r="N230" i="5"/>
  <c r="L230" i="5"/>
  <c r="K230" i="5"/>
  <c r="J230" i="5"/>
  <c r="I230" i="5"/>
  <c r="AW229" i="5"/>
  <c r="AH229" i="5"/>
  <c r="AF229" i="5"/>
  <c r="AE229" i="5"/>
  <c r="AD229" i="5"/>
  <c r="AC229" i="5"/>
  <c r="N229" i="5"/>
  <c r="L229" i="5"/>
  <c r="K229" i="5"/>
  <c r="J229" i="5"/>
  <c r="I229" i="5"/>
  <c r="AW228" i="5"/>
  <c r="AH228" i="5"/>
  <c r="AF228" i="5"/>
  <c r="AE228" i="5"/>
  <c r="AD228" i="5"/>
  <c r="AC228" i="5"/>
  <c r="N228" i="5"/>
  <c r="L228" i="5"/>
  <c r="K228" i="5"/>
  <c r="J228" i="5"/>
  <c r="I228" i="5"/>
  <c r="AX227" i="5" a="1"/>
  <c r="AX227" i="5" s="1"/>
  <c r="AW227" i="5"/>
  <c r="AH227" i="5"/>
  <c r="AF227" i="5"/>
  <c r="AE227" i="5"/>
  <c r="AD227" i="5"/>
  <c r="AC227" i="5"/>
  <c r="N227" i="5"/>
  <c r="L227" i="5"/>
  <c r="K227" i="5"/>
  <c r="J227" i="5"/>
  <c r="I227" i="5"/>
  <c r="AW226" i="5"/>
  <c r="AH226" i="5"/>
  <c r="AF226" i="5"/>
  <c r="AE226" i="5"/>
  <c r="AD226" i="5"/>
  <c r="AC226" i="5"/>
  <c r="N226" i="5"/>
  <c r="L226" i="5"/>
  <c r="K226" i="5"/>
  <c r="J226" i="5"/>
  <c r="I226" i="5"/>
  <c r="AW225" i="5"/>
  <c r="AH225" i="5"/>
  <c r="AF225" i="5"/>
  <c r="AE225" i="5"/>
  <c r="AD225" i="5"/>
  <c r="AC225" i="5"/>
  <c r="N225" i="5"/>
  <c r="L225" i="5"/>
  <c r="K225" i="5"/>
  <c r="J225" i="5"/>
  <c r="I225" i="5"/>
  <c r="AW224" i="5"/>
  <c r="AH224" i="5"/>
  <c r="AF224" i="5"/>
  <c r="AE224" i="5"/>
  <c r="AD224" i="5"/>
  <c r="AC224" i="5"/>
  <c r="N224" i="5"/>
  <c r="L224" i="5"/>
  <c r="K224" i="5"/>
  <c r="J224" i="5"/>
  <c r="I224" i="5"/>
  <c r="AW223" i="5"/>
  <c r="AH223" i="5"/>
  <c r="AF223" i="5"/>
  <c r="AE223" i="5"/>
  <c r="AD223" i="5"/>
  <c r="AC223" i="5"/>
  <c r="N223" i="5"/>
  <c r="L223" i="5"/>
  <c r="K223" i="5"/>
  <c r="J223" i="5"/>
  <c r="I223" i="5"/>
  <c r="AW222" i="5"/>
  <c r="AH222" i="5"/>
  <c r="AF222" i="5"/>
  <c r="AE222" i="5"/>
  <c r="AD222" i="5"/>
  <c r="AC222" i="5"/>
  <c r="N222" i="5"/>
  <c r="L222" i="5"/>
  <c r="K222" i="5"/>
  <c r="J222" i="5"/>
  <c r="I222" i="5"/>
  <c r="AX221" i="5" a="1"/>
  <c r="AX221" i="5" s="1"/>
  <c r="AW221" i="5"/>
  <c r="AH221" i="5"/>
  <c r="AF221" i="5"/>
  <c r="AE221" i="5"/>
  <c r="AD221" i="5"/>
  <c r="AC221" i="5"/>
  <c r="N221" i="5"/>
  <c r="L221" i="5"/>
  <c r="K221" i="5"/>
  <c r="J221" i="5"/>
  <c r="I221" i="5"/>
  <c r="AW220" i="5"/>
  <c r="AH220" i="5"/>
  <c r="AF220" i="5"/>
  <c r="AE220" i="5"/>
  <c r="AD220" i="5"/>
  <c r="AC220" i="5"/>
  <c r="N220" i="5"/>
  <c r="L220" i="5"/>
  <c r="K220" i="5"/>
  <c r="J220" i="5"/>
  <c r="I220" i="5"/>
  <c r="AW219" i="5"/>
  <c r="AH219" i="5"/>
  <c r="AF219" i="5"/>
  <c r="AE219" i="5"/>
  <c r="AD219" i="5"/>
  <c r="AC219" i="5"/>
  <c r="N219" i="5"/>
  <c r="L219" i="5"/>
  <c r="K219" i="5"/>
  <c r="J219" i="5"/>
  <c r="I219" i="5"/>
  <c r="AW218" i="5"/>
  <c r="AH218" i="5"/>
  <c r="AF218" i="5"/>
  <c r="AE218" i="5"/>
  <c r="AD218" i="5"/>
  <c r="AC218" i="5"/>
  <c r="N218" i="5"/>
  <c r="L218" i="5"/>
  <c r="K218" i="5"/>
  <c r="J218" i="5"/>
  <c r="I218" i="5"/>
  <c r="AW217" i="5"/>
  <c r="AH217" i="5"/>
  <c r="AF217" i="5"/>
  <c r="AE217" i="5"/>
  <c r="AD217" i="5"/>
  <c r="AC217" i="5"/>
  <c r="N217" i="5"/>
  <c r="L217" i="5"/>
  <c r="K217" i="5"/>
  <c r="J217" i="5"/>
  <c r="I217" i="5"/>
  <c r="AW216" i="5"/>
  <c r="AH216" i="5"/>
  <c r="AF216" i="5"/>
  <c r="AE216" i="5"/>
  <c r="AD216" i="5"/>
  <c r="AC216" i="5"/>
  <c r="N216" i="5"/>
  <c r="L216" i="5"/>
  <c r="K216" i="5"/>
  <c r="J216" i="5"/>
  <c r="I216" i="5"/>
  <c r="AX215" i="5" a="1"/>
  <c r="AX215" i="5" s="1"/>
  <c r="AW215" i="5"/>
  <c r="AH215" i="5"/>
  <c r="AF215" i="5"/>
  <c r="AE215" i="5"/>
  <c r="AD215" i="5"/>
  <c r="AC215" i="5"/>
  <c r="N215" i="5"/>
  <c r="L215" i="5"/>
  <c r="K215" i="5"/>
  <c r="J215" i="5"/>
  <c r="I215" i="5"/>
  <c r="AW214" i="5"/>
  <c r="AH214" i="5"/>
  <c r="AF214" i="5"/>
  <c r="AE214" i="5"/>
  <c r="AD214" i="5"/>
  <c r="AC214" i="5"/>
  <c r="N214" i="5"/>
  <c r="L214" i="5"/>
  <c r="K214" i="5"/>
  <c r="J214" i="5"/>
  <c r="I214" i="5"/>
  <c r="AW213" i="5"/>
  <c r="AH213" i="5"/>
  <c r="AF213" i="5"/>
  <c r="AE213" i="5"/>
  <c r="AD213" i="5"/>
  <c r="AC213" i="5"/>
  <c r="N213" i="5"/>
  <c r="L213" i="5"/>
  <c r="K213" i="5"/>
  <c r="J213" i="5"/>
  <c r="I213" i="5"/>
  <c r="AW212" i="5"/>
  <c r="AH212" i="5"/>
  <c r="AF212" i="5"/>
  <c r="AE212" i="5"/>
  <c r="AD212" i="5"/>
  <c r="AC212" i="5"/>
  <c r="N212" i="5"/>
  <c r="L212" i="5"/>
  <c r="K212" i="5"/>
  <c r="J212" i="5"/>
  <c r="I212" i="5"/>
  <c r="AW211" i="5"/>
  <c r="AH211" i="5"/>
  <c r="AF211" i="5"/>
  <c r="AE211" i="5"/>
  <c r="AD211" i="5"/>
  <c r="AC211" i="5"/>
  <c r="N211" i="5"/>
  <c r="L211" i="5"/>
  <c r="K211" i="5"/>
  <c r="J211" i="5"/>
  <c r="I211" i="5"/>
  <c r="AW210" i="5"/>
  <c r="AH210" i="5"/>
  <c r="AF210" i="5"/>
  <c r="AE210" i="5"/>
  <c r="AD210" i="5"/>
  <c r="AC210" i="5"/>
  <c r="N210" i="5"/>
  <c r="L210" i="5"/>
  <c r="K210" i="5"/>
  <c r="J210" i="5"/>
  <c r="I210" i="5"/>
  <c r="AX209" i="5" a="1"/>
  <c r="AX209" i="5" s="1"/>
  <c r="AW209" i="5"/>
  <c r="AH209" i="5"/>
  <c r="AF209" i="5"/>
  <c r="AE209" i="5"/>
  <c r="AD209" i="5"/>
  <c r="AC209" i="5"/>
  <c r="N209" i="5"/>
  <c r="L209" i="5"/>
  <c r="K209" i="5"/>
  <c r="J209" i="5"/>
  <c r="I209" i="5"/>
  <c r="AW208" i="5"/>
  <c r="AH208" i="5"/>
  <c r="AF208" i="5"/>
  <c r="AE208" i="5"/>
  <c r="AD208" i="5"/>
  <c r="AC208" i="5"/>
  <c r="N208" i="5"/>
  <c r="L208" i="5"/>
  <c r="K208" i="5"/>
  <c r="J208" i="5"/>
  <c r="I208" i="5"/>
  <c r="AW207" i="5"/>
  <c r="AH207" i="5"/>
  <c r="AF207" i="5"/>
  <c r="AE207" i="5"/>
  <c r="AD207" i="5"/>
  <c r="AC207" i="5"/>
  <c r="N207" i="5"/>
  <c r="L207" i="5"/>
  <c r="K207" i="5"/>
  <c r="J207" i="5"/>
  <c r="I207" i="5"/>
  <c r="AW206" i="5"/>
  <c r="AH206" i="5"/>
  <c r="AF206" i="5"/>
  <c r="AE206" i="5"/>
  <c r="AD206" i="5"/>
  <c r="AC206" i="5"/>
  <c r="N206" i="5"/>
  <c r="L206" i="5"/>
  <c r="K206" i="5"/>
  <c r="J206" i="5"/>
  <c r="I206" i="5"/>
  <c r="AW205" i="5"/>
  <c r="AH205" i="5"/>
  <c r="AF205" i="5"/>
  <c r="AE205" i="5"/>
  <c r="AD205" i="5"/>
  <c r="AC205" i="5"/>
  <c r="N205" i="5"/>
  <c r="L205" i="5"/>
  <c r="K205" i="5"/>
  <c r="J205" i="5"/>
  <c r="I205" i="5"/>
  <c r="AW204" i="5"/>
  <c r="AH204" i="5"/>
  <c r="AF204" i="5"/>
  <c r="AE204" i="5"/>
  <c r="AD204" i="5"/>
  <c r="AC204" i="5"/>
  <c r="N204" i="5"/>
  <c r="L204" i="5"/>
  <c r="K204" i="5"/>
  <c r="J204" i="5"/>
  <c r="I204" i="5"/>
  <c r="AX203" i="5" a="1"/>
  <c r="AX203" i="5"/>
  <c r="AW203" i="5"/>
  <c r="AH203" i="5"/>
  <c r="AF203" i="5"/>
  <c r="AE203" i="5"/>
  <c r="AD203" i="5"/>
  <c r="AC203" i="5"/>
  <c r="N203" i="5"/>
  <c r="L203" i="5"/>
  <c r="K203" i="5"/>
  <c r="J203" i="5"/>
  <c r="I203" i="5"/>
  <c r="AW202" i="5"/>
  <c r="AH202" i="5"/>
  <c r="AF202" i="5"/>
  <c r="AE202" i="5"/>
  <c r="AD202" i="5"/>
  <c r="AC202" i="5"/>
  <c r="N202" i="5"/>
  <c r="L202" i="5"/>
  <c r="K202" i="5"/>
  <c r="J202" i="5"/>
  <c r="I202" i="5"/>
  <c r="AW201" i="5"/>
  <c r="AH201" i="5"/>
  <c r="AF201" i="5"/>
  <c r="AE201" i="5"/>
  <c r="AD201" i="5"/>
  <c r="AC201" i="5"/>
  <c r="N201" i="5"/>
  <c r="L201" i="5"/>
  <c r="K201" i="5"/>
  <c r="J201" i="5"/>
  <c r="I201" i="5"/>
  <c r="AW200" i="5"/>
  <c r="AH200" i="5"/>
  <c r="AF200" i="5"/>
  <c r="AE200" i="5"/>
  <c r="AD200" i="5"/>
  <c r="AC200" i="5"/>
  <c r="N200" i="5"/>
  <c r="L200" i="5"/>
  <c r="K200" i="5"/>
  <c r="J200" i="5"/>
  <c r="I200" i="5"/>
  <c r="AW199" i="5"/>
  <c r="AH199" i="5"/>
  <c r="AF199" i="5"/>
  <c r="AE199" i="5"/>
  <c r="AD199" i="5"/>
  <c r="AC199" i="5"/>
  <c r="N199" i="5"/>
  <c r="L199" i="5"/>
  <c r="K199" i="5"/>
  <c r="J199" i="5"/>
  <c r="I199" i="5"/>
  <c r="AW198" i="5"/>
  <c r="AH198" i="5"/>
  <c r="AF198" i="5"/>
  <c r="AE198" i="5"/>
  <c r="AD198" i="5"/>
  <c r="AC198" i="5"/>
  <c r="N198" i="5"/>
  <c r="L198" i="5"/>
  <c r="K198" i="5"/>
  <c r="J198" i="5"/>
  <c r="I198" i="5"/>
  <c r="AX197" i="5" a="1"/>
  <c r="AX197" i="5" s="1"/>
  <c r="AW197" i="5"/>
  <c r="AH197" i="5"/>
  <c r="AF197" i="5"/>
  <c r="AE197" i="5"/>
  <c r="AD197" i="5"/>
  <c r="AC197" i="5"/>
  <c r="N197" i="5"/>
  <c r="L197" i="5"/>
  <c r="K197" i="5"/>
  <c r="J197" i="5"/>
  <c r="I197" i="5"/>
  <c r="AW196" i="5"/>
  <c r="AH196" i="5"/>
  <c r="AF196" i="5"/>
  <c r="AE196" i="5"/>
  <c r="AD196" i="5"/>
  <c r="AC196" i="5"/>
  <c r="N196" i="5"/>
  <c r="L196" i="5"/>
  <c r="K196" i="5"/>
  <c r="J196" i="5"/>
  <c r="I196" i="5"/>
  <c r="AW195" i="5"/>
  <c r="AH195" i="5"/>
  <c r="AF195" i="5"/>
  <c r="AE195" i="5"/>
  <c r="AD195" i="5"/>
  <c r="AC195" i="5"/>
  <c r="N195" i="5"/>
  <c r="L195" i="5"/>
  <c r="K195" i="5"/>
  <c r="J195" i="5"/>
  <c r="I195" i="5"/>
  <c r="AW194" i="5"/>
  <c r="AH194" i="5"/>
  <c r="AF194" i="5"/>
  <c r="AE194" i="5"/>
  <c r="AD194" i="5"/>
  <c r="AC194" i="5"/>
  <c r="N194" i="5"/>
  <c r="L194" i="5"/>
  <c r="K194" i="5"/>
  <c r="J194" i="5"/>
  <c r="I194" i="5"/>
  <c r="AW193" i="5"/>
  <c r="AH193" i="5"/>
  <c r="AF193" i="5"/>
  <c r="AE193" i="5"/>
  <c r="AD193" i="5"/>
  <c r="AC193" i="5"/>
  <c r="N193" i="5"/>
  <c r="L193" i="5"/>
  <c r="K193" i="5"/>
  <c r="J193" i="5"/>
  <c r="I193" i="5"/>
  <c r="AW192" i="5"/>
  <c r="AH192" i="5"/>
  <c r="AF192" i="5"/>
  <c r="AE192" i="5"/>
  <c r="AD192" i="5"/>
  <c r="AC192" i="5"/>
  <c r="N192" i="5"/>
  <c r="L192" i="5"/>
  <c r="K192" i="5"/>
  <c r="J192" i="5"/>
  <c r="I192" i="5"/>
  <c r="AX191" i="5" a="1"/>
  <c r="AX191" i="5" s="1"/>
  <c r="AW191" i="5"/>
  <c r="AH191" i="5"/>
  <c r="AF191" i="5"/>
  <c r="AE191" i="5"/>
  <c r="AD191" i="5"/>
  <c r="AC191" i="5"/>
  <c r="N191" i="5"/>
  <c r="L191" i="5"/>
  <c r="K191" i="5"/>
  <c r="J191" i="5"/>
  <c r="I191" i="5"/>
  <c r="AW190" i="5"/>
  <c r="AH190" i="5"/>
  <c r="AF190" i="5"/>
  <c r="AE190" i="5"/>
  <c r="AD190" i="5"/>
  <c r="AC190" i="5"/>
  <c r="N190" i="5"/>
  <c r="L190" i="5"/>
  <c r="K190" i="5"/>
  <c r="J190" i="5"/>
  <c r="I190" i="5"/>
  <c r="AW189" i="5"/>
  <c r="AH189" i="5"/>
  <c r="AF189" i="5"/>
  <c r="AE189" i="5"/>
  <c r="AD189" i="5"/>
  <c r="AC189" i="5"/>
  <c r="N189" i="5"/>
  <c r="L189" i="5"/>
  <c r="K189" i="5"/>
  <c r="J189" i="5"/>
  <c r="I189" i="5"/>
  <c r="AW188" i="5"/>
  <c r="AH188" i="5"/>
  <c r="AF188" i="5"/>
  <c r="AE188" i="5"/>
  <c r="AD188" i="5"/>
  <c r="AC188" i="5"/>
  <c r="N188" i="5"/>
  <c r="L188" i="5"/>
  <c r="K188" i="5"/>
  <c r="J188" i="5"/>
  <c r="I188" i="5"/>
  <c r="AW187" i="5"/>
  <c r="AH187" i="5"/>
  <c r="AF187" i="5"/>
  <c r="AE187" i="5"/>
  <c r="AD187" i="5"/>
  <c r="AC187" i="5"/>
  <c r="N187" i="5"/>
  <c r="L187" i="5"/>
  <c r="K187" i="5"/>
  <c r="J187" i="5"/>
  <c r="I187" i="5"/>
  <c r="AW186" i="5"/>
  <c r="AH186" i="5"/>
  <c r="AF186" i="5"/>
  <c r="AE186" i="5"/>
  <c r="AD186" i="5"/>
  <c r="AC186" i="5"/>
  <c r="N186" i="5"/>
  <c r="L186" i="5"/>
  <c r="K186" i="5"/>
  <c r="J186" i="5"/>
  <c r="I186" i="5"/>
  <c r="AX185" i="5" a="1"/>
  <c r="AX185" i="5" s="1"/>
  <c r="AW185" i="5"/>
  <c r="AH185" i="5"/>
  <c r="AF185" i="5"/>
  <c r="AE185" i="5"/>
  <c r="AD185" i="5"/>
  <c r="AC185" i="5"/>
  <c r="N185" i="5"/>
  <c r="L185" i="5"/>
  <c r="K185" i="5"/>
  <c r="J185" i="5"/>
  <c r="I185" i="5"/>
  <c r="AW184" i="5"/>
  <c r="AH184" i="5"/>
  <c r="AF184" i="5"/>
  <c r="AE184" i="5"/>
  <c r="AD184" i="5"/>
  <c r="AC184" i="5"/>
  <c r="N184" i="5"/>
  <c r="L184" i="5"/>
  <c r="K184" i="5"/>
  <c r="J184" i="5"/>
  <c r="I184" i="5"/>
  <c r="AW183" i="5"/>
  <c r="AH183" i="5"/>
  <c r="AF183" i="5"/>
  <c r="AE183" i="5"/>
  <c r="AD183" i="5"/>
  <c r="AC183" i="5"/>
  <c r="N183" i="5"/>
  <c r="L183" i="5"/>
  <c r="K183" i="5"/>
  <c r="J183" i="5"/>
  <c r="I183" i="5"/>
  <c r="AW182" i="5"/>
  <c r="AH182" i="5"/>
  <c r="AF182" i="5"/>
  <c r="AE182" i="5"/>
  <c r="AD182" i="5"/>
  <c r="AC182" i="5"/>
  <c r="N182" i="5"/>
  <c r="L182" i="5"/>
  <c r="K182" i="5"/>
  <c r="J182" i="5"/>
  <c r="I182" i="5"/>
  <c r="AW181" i="5"/>
  <c r="AH181" i="5"/>
  <c r="AF181" i="5"/>
  <c r="AE181" i="5"/>
  <c r="AD181" i="5"/>
  <c r="AC181" i="5"/>
  <c r="N181" i="5"/>
  <c r="L181" i="5"/>
  <c r="K181" i="5"/>
  <c r="J181" i="5"/>
  <c r="I181" i="5"/>
  <c r="AW180" i="5"/>
  <c r="AH180" i="5"/>
  <c r="AF180" i="5"/>
  <c r="AE180" i="5"/>
  <c r="AD180" i="5"/>
  <c r="AC180" i="5"/>
  <c r="N180" i="5"/>
  <c r="L180" i="5"/>
  <c r="K180" i="5"/>
  <c r="J180" i="5"/>
  <c r="I180" i="5"/>
  <c r="AX179" i="5" a="1"/>
  <c r="AX179" i="5"/>
  <c r="AW179" i="5"/>
  <c r="AH179" i="5"/>
  <c r="AF179" i="5"/>
  <c r="AE179" i="5"/>
  <c r="AD179" i="5"/>
  <c r="AC179" i="5"/>
  <c r="N179" i="5"/>
  <c r="L179" i="5"/>
  <c r="K179" i="5"/>
  <c r="J179" i="5"/>
  <c r="I179" i="5"/>
  <c r="AW178" i="5"/>
  <c r="AH178" i="5"/>
  <c r="AF178" i="5"/>
  <c r="AE178" i="5"/>
  <c r="AD178" i="5"/>
  <c r="AC178" i="5"/>
  <c r="N178" i="5"/>
  <c r="L178" i="5"/>
  <c r="K178" i="5"/>
  <c r="J178" i="5"/>
  <c r="I178" i="5"/>
  <c r="AW177" i="5"/>
  <c r="AH177" i="5"/>
  <c r="AF177" i="5"/>
  <c r="AE177" i="5"/>
  <c r="AD177" i="5"/>
  <c r="AC177" i="5"/>
  <c r="N177" i="5"/>
  <c r="L177" i="5"/>
  <c r="K177" i="5"/>
  <c r="J177" i="5"/>
  <c r="I177" i="5"/>
  <c r="AW176" i="5"/>
  <c r="AH176" i="5"/>
  <c r="AF176" i="5"/>
  <c r="AE176" i="5"/>
  <c r="AD176" i="5"/>
  <c r="AC176" i="5"/>
  <c r="N176" i="5"/>
  <c r="L176" i="5"/>
  <c r="K176" i="5"/>
  <c r="J176" i="5"/>
  <c r="I176" i="5"/>
  <c r="AW175" i="5"/>
  <c r="AH175" i="5"/>
  <c r="AF175" i="5"/>
  <c r="AE175" i="5"/>
  <c r="AD175" i="5"/>
  <c r="AC175" i="5"/>
  <c r="N175" i="5"/>
  <c r="L175" i="5"/>
  <c r="K175" i="5"/>
  <c r="J175" i="5"/>
  <c r="I175" i="5"/>
  <c r="AW174" i="5"/>
  <c r="AH174" i="5"/>
  <c r="AF174" i="5"/>
  <c r="AE174" i="5"/>
  <c r="AD174" i="5"/>
  <c r="AC174" i="5"/>
  <c r="N174" i="5"/>
  <c r="L174" i="5"/>
  <c r="K174" i="5"/>
  <c r="J174" i="5"/>
  <c r="I174" i="5"/>
  <c r="AX173" i="5" a="1"/>
  <c r="AX173" i="5" s="1"/>
  <c r="AW173" i="5"/>
  <c r="AH173" i="5"/>
  <c r="AF173" i="5"/>
  <c r="AE173" i="5"/>
  <c r="AD173" i="5"/>
  <c r="AC173" i="5"/>
  <c r="N173" i="5"/>
  <c r="L173" i="5"/>
  <c r="K173" i="5"/>
  <c r="J173" i="5"/>
  <c r="I173" i="5"/>
  <c r="AW172" i="5"/>
  <c r="AH172" i="5"/>
  <c r="AF172" i="5"/>
  <c r="AE172" i="5"/>
  <c r="AD172" i="5"/>
  <c r="AC172" i="5"/>
  <c r="N172" i="5"/>
  <c r="L172" i="5"/>
  <c r="K172" i="5"/>
  <c r="J172" i="5"/>
  <c r="I172" i="5"/>
  <c r="AW171" i="5"/>
  <c r="AH171" i="5"/>
  <c r="AF171" i="5"/>
  <c r="AE171" i="5"/>
  <c r="AD171" i="5"/>
  <c r="AC171" i="5"/>
  <c r="N171" i="5"/>
  <c r="L171" i="5"/>
  <c r="K171" i="5"/>
  <c r="J171" i="5"/>
  <c r="I171" i="5"/>
  <c r="AW170" i="5"/>
  <c r="AH170" i="5"/>
  <c r="AF170" i="5"/>
  <c r="AE170" i="5"/>
  <c r="AD170" i="5"/>
  <c r="AC170" i="5"/>
  <c r="N170" i="5"/>
  <c r="L170" i="5"/>
  <c r="K170" i="5"/>
  <c r="J170" i="5"/>
  <c r="I170" i="5"/>
  <c r="AW169" i="5"/>
  <c r="AH169" i="5"/>
  <c r="AF169" i="5"/>
  <c r="AE169" i="5"/>
  <c r="AD169" i="5"/>
  <c r="AC169" i="5"/>
  <c r="N169" i="5"/>
  <c r="L169" i="5"/>
  <c r="K169" i="5"/>
  <c r="J169" i="5"/>
  <c r="I169" i="5"/>
  <c r="AW168" i="5"/>
  <c r="AH168" i="5"/>
  <c r="AF168" i="5"/>
  <c r="AE168" i="5"/>
  <c r="AD168" i="5"/>
  <c r="AC168" i="5"/>
  <c r="N168" i="5"/>
  <c r="L168" i="5"/>
  <c r="K168" i="5"/>
  <c r="J168" i="5"/>
  <c r="I168" i="5"/>
  <c r="AX167" i="5" a="1"/>
  <c r="AX167" i="5"/>
  <c r="AW167" i="5"/>
  <c r="AH167" i="5"/>
  <c r="AF167" i="5"/>
  <c r="AE167" i="5"/>
  <c r="AD167" i="5"/>
  <c r="AC167" i="5"/>
  <c r="N167" i="5"/>
  <c r="L167" i="5"/>
  <c r="K167" i="5"/>
  <c r="J167" i="5"/>
  <c r="I167" i="5"/>
  <c r="AW166" i="5"/>
  <c r="AH166" i="5"/>
  <c r="AF166" i="5"/>
  <c r="AE166" i="5"/>
  <c r="AD166" i="5"/>
  <c r="AC166" i="5"/>
  <c r="N166" i="5"/>
  <c r="L166" i="5"/>
  <c r="K166" i="5"/>
  <c r="J166" i="5"/>
  <c r="I166" i="5"/>
  <c r="AW165" i="5"/>
  <c r="AH165" i="5"/>
  <c r="AF165" i="5"/>
  <c r="AE165" i="5"/>
  <c r="AD165" i="5"/>
  <c r="AC165" i="5"/>
  <c r="N165" i="5"/>
  <c r="L165" i="5"/>
  <c r="K165" i="5"/>
  <c r="J165" i="5"/>
  <c r="I165" i="5"/>
  <c r="AW164" i="5"/>
  <c r="AH164" i="5"/>
  <c r="AF164" i="5"/>
  <c r="AE164" i="5"/>
  <c r="AD164" i="5"/>
  <c r="AC164" i="5"/>
  <c r="N164" i="5"/>
  <c r="L164" i="5"/>
  <c r="K164" i="5"/>
  <c r="J164" i="5"/>
  <c r="I164" i="5"/>
  <c r="AW163" i="5"/>
  <c r="AH163" i="5"/>
  <c r="AF163" i="5"/>
  <c r="AE163" i="5"/>
  <c r="AD163" i="5"/>
  <c r="AC163" i="5"/>
  <c r="N163" i="5"/>
  <c r="L163" i="5"/>
  <c r="K163" i="5"/>
  <c r="J163" i="5"/>
  <c r="I163" i="5"/>
  <c r="AW162" i="5"/>
  <c r="AH162" i="5"/>
  <c r="AF162" i="5"/>
  <c r="AE162" i="5"/>
  <c r="AD162" i="5"/>
  <c r="AC162" i="5"/>
  <c r="N162" i="5"/>
  <c r="L162" i="5"/>
  <c r="K162" i="5"/>
  <c r="J162" i="5"/>
  <c r="I162" i="5"/>
  <c r="AX161" i="5" a="1"/>
  <c r="AX161" i="5" s="1"/>
  <c r="AW161" i="5"/>
  <c r="AH161" i="5"/>
  <c r="AF161" i="5"/>
  <c r="AE161" i="5"/>
  <c r="AD161" i="5"/>
  <c r="AC161" i="5"/>
  <c r="N161" i="5"/>
  <c r="L161" i="5"/>
  <c r="K161" i="5"/>
  <c r="J161" i="5"/>
  <c r="I161" i="5"/>
  <c r="AW160" i="5"/>
  <c r="AH160" i="5"/>
  <c r="AF160" i="5"/>
  <c r="AE160" i="5"/>
  <c r="AD160" i="5"/>
  <c r="AC160" i="5"/>
  <c r="N160" i="5"/>
  <c r="L160" i="5"/>
  <c r="K160" i="5"/>
  <c r="J160" i="5"/>
  <c r="I160" i="5"/>
  <c r="AW159" i="5"/>
  <c r="AH159" i="5"/>
  <c r="AF159" i="5"/>
  <c r="AE159" i="5"/>
  <c r="AD159" i="5"/>
  <c r="AC159" i="5"/>
  <c r="N159" i="5"/>
  <c r="L159" i="5"/>
  <c r="K159" i="5"/>
  <c r="J159" i="5"/>
  <c r="I159" i="5"/>
  <c r="AW158" i="5"/>
  <c r="AH158" i="5"/>
  <c r="AF158" i="5"/>
  <c r="AE158" i="5"/>
  <c r="AD158" i="5"/>
  <c r="AC158" i="5"/>
  <c r="N158" i="5"/>
  <c r="L158" i="5"/>
  <c r="K158" i="5"/>
  <c r="J158" i="5"/>
  <c r="I158" i="5"/>
  <c r="AW157" i="5"/>
  <c r="AH157" i="5"/>
  <c r="AF157" i="5"/>
  <c r="AE157" i="5"/>
  <c r="AD157" i="5"/>
  <c r="AC157" i="5"/>
  <c r="N157" i="5"/>
  <c r="L157" i="5"/>
  <c r="K157" i="5"/>
  <c r="J157" i="5"/>
  <c r="I157" i="5"/>
  <c r="AW156" i="5"/>
  <c r="AH156" i="5"/>
  <c r="AF156" i="5"/>
  <c r="AE156" i="5"/>
  <c r="AD156" i="5"/>
  <c r="AC156" i="5"/>
  <c r="N156" i="5"/>
  <c r="L156" i="5"/>
  <c r="K156" i="5"/>
  <c r="J156" i="5"/>
  <c r="I156" i="5"/>
  <c r="AX155" i="5" a="1"/>
  <c r="AX155" i="5"/>
  <c r="AW155" i="5"/>
  <c r="AH155" i="5"/>
  <c r="AF155" i="5"/>
  <c r="AE155" i="5"/>
  <c r="AD155" i="5"/>
  <c r="AC155" i="5"/>
  <c r="N155" i="5"/>
  <c r="L155" i="5"/>
  <c r="K155" i="5"/>
  <c r="J155" i="5"/>
  <c r="I155" i="5"/>
  <c r="AW154" i="5"/>
  <c r="AH154" i="5"/>
  <c r="AF154" i="5"/>
  <c r="AE154" i="5"/>
  <c r="AD154" i="5"/>
  <c r="AC154" i="5"/>
  <c r="N154" i="5"/>
  <c r="L154" i="5"/>
  <c r="K154" i="5"/>
  <c r="J154" i="5"/>
  <c r="I154" i="5"/>
  <c r="AW153" i="5"/>
  <c r="AH153" i="5"/>
  <c r="AF153" i="5"/>
  <c r="AE153" i="5"/>
  <c r="AD153" i="5"/>
  <c r="AC153" i="5"/>
  <c r="N153" i="5"/>
  <c r="L153" i="5"/>
  <c r="K153" i="5"/>
  <c r="J153" i="5"/>
  <c r="I153" i="5"/>
  <c r="AW152" i="5"/>
  <c r="AH152" i="5"/>
  <c r="AF152" i="5"/>
  <c r="AE152" i="5"/>
  <c r="AD152" i="5"/>
  <c r="AC152" i="5"/>
  <c r="N152" i="5"/>
  <c r="L152" i="5"/>
  <c r="K152" i="5"/>
  <c r="J152" i="5"/>
  <c r="I152" i="5"/>
  <c r="AW151" i="5"/>
  <c r="AH151" i="5"/>
  <c r="AF151" i="5"/>
  <c r="AE151" i="5"/>
  <c r="AD151" i="5"/>
  <c r="AC151" i="5"/>
  <c r="N151" i="5"/>
  <c r="L151" i="5"/>
  <c r="K151" i="5"/>
  <c r="J151" i="5"/>
  <c r="I151" i="5"/>
  <c r="AW150" i="5"/>
  <c r="AH150" i="5"/>
  <c r="AF150" i="5"/>
  <c r="AE150" i="5"/>
  <c r="AD150" i="5"/>
  <c r="AC150" i="5"/>
  <c r="N150" i="5"/>
  <c r="L150" i="5"/>
  <c r="K150" i="5"/>
  <c r="J150" i="5"/>
  <c r="I150" i="5"/>
  <c r="AX149" i="5" a="1"/>
  <c r="AX149" i="5" s="1"/>
  <c r="AW149" i="5"/>
  <c r="AH149" i="5"/>
  <c r="AF149" i="5"/>
  <c r="AE149" i="5"/>
  <c r="AD149" i="5"/>
  <c r="AC149" i="5"/>
  <c r="N149" i="5"/>
  <c r="L149" i="5"/>
  <c r="K149" i="5"/>
  <c r="J149" i="5"/>
  <c r="I149" i="5"/>
  <c r="AW148" i="5"/>
  <c r="AH148" i="5"/>
  <c r="AF148" i="5"/>
  <c r="AE148" i="5"/>
  <c r="AD148" i="5"/>
  <c r="AC148" i="5"/>
  <c r="N148" i="5"/>
  <c r="L148" i="5"/>
  <c r="K148" i="5"/>
  <c r="J148" i="5"/>
  <c r="I148" i="5"/>
  <c r="AW147" i="5"/>
  <c r="AH147" i="5"/>
  <c r="AF147" i="5"/>
  <c r="AE147" i="5"/>
  <c r="AD147" i="5"/>
  <c r="AC147" i="5"/>
  <c r="N147" i="5"/>
  <c r="L147" i="5"/>
  <c r="K147" i="5"/>
  <c r="J147" i="5"/>
  <c r="I147" i="5"/>
  <c r="AW146" i="5"/>
  <c r="AH146" i="5"/>
  <c r="AF146" i="5"/>
  <c r="AE146" i="5"/>
  <c r="AD146" i="5"/>
  <c r="AC146" i="5"/>
  <c r="N146" i="5"/>
  <c r="L146" i="5"/>
  <c r="K146" i="5"/>
  <c r="J146" i="5"/>
  <c r="I146" i="5"/>
  <c r="AW145" i="5"/>
  <c r="AH145" i="5"/>
  <c r="AF145" i="5"/>
  <c r="AE145" i="5"/>
  <c r="AD145" i="5"/>
  <c r="AC145" i="5"/>
  <c r="N145" i="5"/>
  <c r="L145" i="5"/>
  <c r="K145" i="5"/>
  <c r="J145" i="5"/>
  <c r="I145" i="5"/>
  <c r="AW144" i="5"/>
  <c r="AH144" i="5"/>
  <c r="AF144" i="5"/>
  <c r="AE144" i="5"/>
  <c r="AD144" i="5"/>
  <c r="AC144" i="5"/>
  <c r="N144" i="5"/>
  <c r="L144" i="5"/>
  <c r="K144" i="5"/>
  <c r="J144" i="5"/>
  <c r="I144" i="5"/>
  <c r="AX143" i="5" a="1"/>
  <c r="AX143" i="5" s="1"/>
  <c r="AW143" i="5"/>
  <c r="AH143" i="5"/>
  <c r="AF143" i="5"/>
  <c r="AE143" i="5"/>
  <c r="AD143" i="5"/>
  <c r="AC143" i="5"/>
  <c r="N143" i="5"/>
  <c r="L143" i="5"/>
  <c r="K143" i="5"/>
  <c r="J143" i="5"/>
  <c r="I143" i="5"/>
  <c r="AW142" i="5"/>
  <c r="AH142" i="5"/>
  <c r="AF142" i="5"/>
  <c r="AE142" i="5"/>
  <c r="AD142" i="5"/>
  <c r="AC142" i="5"/>
  <c r="N142" i="5"/>
  <c r="L142" i="5"/>
  <c r="K142" i="5"/>
  <c r="J142" i="5"/>
  <c r="I142" i="5"/>
  <c r="AW141" i="5"/>
  <c r="AH141" i="5"/>
  <c r="AF141" i="5"/>
  <c r="AE141" i="5"/>
  <c r="AD141" i="5"/>
  <c r="AC141" i="5"/>
  <c r="N141" i="5"/>
  <c r="L141" i="5"/>
  <c r="K141" i="5"/>
  <c r="J141" i="5"/>
  <c r="I141" i="5"/>
  <c r="AW140" i="5"/>
  <c r="AH140" i="5"/>
  <c r="AF140" i="5"/>
  <c r="AE140" i="5"/>
  <c r="AD140" i="5"/>
  <c r="AC140" i="5"/>
  <c r="N140" i="5"/>
  <c r="L140" i="5"/>
  <c r="K140" i="5"/>
  <c r="J140" i="5"/>
  <c r="I140" i="5"/>
  <c r="AW139" i="5"/>
  <c r="AH139" i="5"/>
  <c r="AF139" i="5"/>
  <c r="AE139" i="5"/>
  <c r="AD139" i="5"/>
  <c r="AC139" i="5"/>
  <c r="N139" i="5"/>
  <c r="L139" i="5"/>
  <c r="K139" i="5"/>
  <c r="J139" i="5"/>
  <c r="I139" i="5"/>
  <c r="AW138" i="5"/>
  <c r="AH138" i="5"/>
  <c r="AF138" i="5"/>
  <c r="AE138" i="5"/>
  <c r="AD138" i="5"/>
  <c r="AC138" i="5"/>
  <c r="N138" i="5"/>
  <c r="L138" i="5"/>
  <c r="K138" i="5"/>
  <c r="J138" i="5"/>
  <c r="I138" i="5"/>
  <c r="AX137" i="5" a="1"/>
  <c r="AX137" i="5" s="1"/>
  <c r="AX342" i="5" s="1"/>
  <c r="AW137" i="5"/>
  <c r="AH137" i="5"/>
  <c r="AF137" i="5"/>
  <c r="AF342" i="5" s="1"/>
  <c r="AE137" i="5"/>
  <c r="AD137" i="5"/>
  <c r="AC137" i="5"/>
  <c r="N137" i="5"/>
  <c r="L137" i="5"/>
  <c r="K137" i="5"/>
  <c r="K342" i="5" s="1"/>
  <c r="J137" i="5"/>
  <c r="J342" i="5" s="1"/>
  <c r="I137" i="5"/>
  <c r="AW136" i="5"/>
  <c r="AH136" i="5"/>
  <c r="AF136" i="5"/>
  <c r="AE136" i="5"/>
  <c r="AD136" i="5"/>
  <c r="AC136" i="5"/>
  <c r="N136" i="5"/>
  <c r="L136" i="5"/>
  <c r="K136" i="5"/>
  <c r="J136" i="5"/>
  <c r="I136" i="5"/>
  <c r="AW135" i="5"/>
  <c r="AH135" i="5"/>
  <c r="AF135" i="5"/>
  <c r="AE135" i="5"/>
  <c r="AD135" i="5"/>
  <c r="AC135" i="5"/>
  <c r="N135" i="5"/>
  <c r="L135" i="5"/>
  <c r="K135" i="5"/>
  <c r="J135" i="5"/>
  <c r="I135" i="5"/>
  <c r="AW134" i="5"/>
  <c r="AH134" i="5"/>
  <c r="AF134" i="5"/>
  <c r="AE134" i="5"/>
  <c r="AD134" i="5"/>
  <c r="AC134" i="5"/>
  <c r="N134" i="5"/>
  <c r="L134" i="5"/>
  <c r="K134" i="5"/>
  <c r="J134" i="5"/>
  <c r="I134" i="5"/>
  <c r="AW133" i="5"/>
  <c r="AH133" i="5"/>
  <c r="AF133" i="5"/>
  <c r="AE133" i="5"/>
  <c r="AD133" i="5"/>
  <c r="AC133" i="5"/>
  <c r="N133" i="5"/>
  <c r="L133" i="5"/>
  <c r="K133" i="5"/>
  <c r="J133" i="5"/>
  <c r="I133" i="5"/>
  <c r="AW132" i="5"/>
  <c r="AH132" i="5"/>
  <c r="AF132" i="5"/>
  <c r="AE132" i="5"/>
  <c r="AD132" i="5"/>
  <c r="AC132" i="5"/>
  <c r="N132" i="5"/>
  <c r="L132" i="5"/>
  <c r="K132" i="5"/>
  <c r="J132" i="5"/>
  <c r="I132" i="5"/>
  <c r="AX131" i="5" a="1"/>
  <c r="AX131" i="5"/>
  <c r="AW131" i="5"/>
  <c r="AH131" i="5"/>
  <c r="AF131" i="5"/>
  <c r="AE131" i="5"/>
  <c r="AD131" i="5"/>
  <c r="AC131" i="5"/>
  <c r="N131" i="5"/>
  <c r="L131" i="5"/>
  <c r="K131" i="5"/>
  <c r="J131" i="5"/>
  <c r="I131" i="5"/>
  <c r="AW130" i="5"/>
  <c r="AH130" i="5"/>
  <c r="AF130" i="5"/>
  <c r="AE130" i="5"/>
  <c r="AD130" i="5"/>
  <c r="AC130" i="5"/>
  <c r="N130" i="5"/>
  <c r="L130" i="5"/>
  <c r="K130" i="5"/>
  <c r="J130" i="5"/>
  <c r="I130" i="5"/>
  <c r="AW129" i="5"/>
  <c r="AH129" i="5"/>
  <c r="AF129" i="5"/>
  <c r="AE129" i="5"/>
  <c r="AD129" i="5"/>
  <c r="AC129" i="5"/>
  <c r="N129" i="5"/>
  <c r="L129" i="5"/>
  <c r="K129" i="5"/>
  <c r="J129" i="5"/>
  <c r="I129" i="5"/>
  <c r="AW128" i="5"/>
  <c r="AH128" i="5"/>
  <c r="AF128" i="5"/>
  <c r="AE128" i="5"/>
  <c r="AD128" i="5"/>
  <c r="AC128" i="5"/>
  <c r="N128" i="5"/>
  <c r="L128" i="5"/>
  <c r="K128" i="5"/>
  <c r="J128" i="5"/>
  <c r="I128" i="5"/>
  <c r="AW127" i="5"/>
  <c r="AH127" i="5"/>
  <c r="AF127" i="5"/>
  <c r="AE127" i="5"/>
  <c r="AD127" i="5"/>
  <c r="AC127" i="5"/>
  <c r="N127" i="5"/>
  <c r="L127" i="5"/>
  <c r="K127" i="5"/>
  <c r="J127" i="5"/>
  <c r="I127" i="5"/>
  <c r="AW126" i="5"/>
  <c r="AH126" i="5"/>
  <c r="AF126" i="5"/>
  <c r="AE126" i="5"/>
  <c r="AD126" i="5"/>
  <c r="AC126" i="5"/>
  <c r="N126" i="5"/>
  <c r="L126" i="5"/>
  <c r="K126" i="5"/>
  <c r="J126" i="5"/>
  <c r="I126" i="5"/>
  <c r="AX125" i="5" a="1"/>
  <c r="AX125" i="5" s="1"/>
  <c r="AW125" i="5"/>
  <c r="AH125" i="5"/>
  <c r="AF125" i="5"/>
  <c r="AE125" i="5"/>
  <c r="AD125" i="5"/>
  <c r="AC125" i="5"/>
  <c r="N125" i="5"/>
  <c r="L125" i="5"/>
  <c r="K125" i="5"/>
  <c r="J125" i="5"/>
  <c r="I125" i="5"/>
  <c r="AW124" i="5"/>
  <c r="AH124" i="5"/>
  <c r="AF124" i="5"/>
  <c r="AE124" i="5"/>
  <c r="AD124" i="5"/>
  <c r="AC124" i="5"/>
  <c r="N124" i="5"/>
  <c r="L124" i="5"/>
  <c r="K124" i="5"/>
  <c r="J124" i="5"/>
  <c r="I124" i="5"/>
  <c r="AW123" i="5"/>
  <c r="AH123" i="5"/>
  <c r="AF123" i="5"/>
  <c r="AE123" i="5"/>
  <c r="AD123" i="5"/>
  <c r="AC123" i="5"/>
  <c r="N123" i="5"/>
  <c r="L123" i="5"/>
  <c r="K123" i="5"/>
  <c r="J123" i="5"/>
  <c r="I123" i="5"/>
  <c r="AW122" i="5"/>
  <c r="AH122" i="5"/>
  <c r="AF122" i="5"/>
  <c r="AE122" i="5"/>
  <c r="AD122" i="5"/>
  <c r="AC122" i="5"/>
  <c r="N122" i="5"/>
  <c r="L122" i="5"/>
  <c r="K122" i="5"/>
  <c r="J122" i="5"/>
  <c r="I122" i="5"/>
  <c r="AW121" i="5"/>
  <c r="AH121" i="5"/>
  <c r="AF121" i="5"/>
  <c r="AE121" i="5"/>
  <c r="AD121" i="5"/>
  <c r="AC121" i="5"/>
  <c r="N121" i="5"/>
  <c r="L121" i="5"/>
  <c r="K121" i="5"/>
  <c r="J121" i="5"/>
  <c r="I121" i="5"/>
  <c r="AW120" i="5"/>
  <c r="AH120" i="5"/>
  <c r="AF120" i="5"/>
  <c r="AE120" i="5"/>
  <c r="AD120" i="5"/>
  <c r="AC120" i="5"/>
  <c r="N120" i="5"/>
  <c r="L120" i="5"/>
  <c r="K120" i="5"/>
  <c r="J120" i="5"/>
  <c r="I120" i="5"/>
  <c r="AX119" i="5" a="1"/>
  <c r="AX119" i="5"/>
  <c r="AW119" i="5"/>
  <c r="AH119" i="5"/>
  <c r="AF119" i="5"/>
  <c r="AE119" i="5"/>
  <c r="AD119" i="5"/>
  <c r="AC119" i="5"/>
  <c r="N119" i="5"/>
  <c r="L119" i="5"/>
  <c r="K119" i="5"/>
  <c r="J119" i="5"/>
  <c r="I119" i="5"/>
  <c r="AW118" i="5"/>
  <c r="AH118" i="5"/>
  <c r="AF118" i="5"/>
  <c r="AE118" i="5"/>
  <c r="AD118" i="5"/>
  <c r="AC118" i="5"/>
  <c r="N118" i="5"/>
  <c r="L118" i="5"/>
  <c r="K118" i="5"/>
  <c r="J118" i="5"/>
  <c r="I118" i="5"/>
  <c r="AW117" i="5"/>
  <c r="AH117" i="5"/>
  <c r="AF117" i="5"/>
  <c r="AE117" i="5"/>
  <c r="AD117" i="5"/>
  <c r="AC117" i="5"/>
  <c r="N117" i="5"/>
  <c r="L117" i="5"/>
  <c r="K117" i="5"/>
  <c r="J117" i="5"/>
  <c r="I117" i="5"/>
  <c r="AW116" i="5"/>
  <c r="AH116" i="5"/>
  <c r="AF116" i="5"/>
  <c r="AE116" i="5"/>
  <c r="AD116" i="5"/>
  <c r="AC116" i="5"/>
  <c r="N116" i="5"/>
  <c r="L116" i="5"/>
  <c r="K116" i="5"/>
  <c r="J116" i="5"/>
  <c r="I116" i="5"/>
  <c r="AW115" i="5"/>
  <c r="AH115" i="5"/>
  <c r="AF115" i="5"/>
  <c r="AE115" i="5"/>
  <c r="AD115" i="5"/>
  <c r="AC115" i="5"/>
  <c r="N115" i="5"/>
  <c r="L115" i="5"/>
  <c r="K115" i="5"/>
  <c r="J115" i="5"/>
  <c r="I115" i="5"/>
  <c r="AW114" i="5"/>
  <c r="AH114" i="5"/>
  <c r="AF114" i="5"/>
  <c r="AE114" i="5"/>
  <c r="AD114" i="5"/>
  <c r="AC114" i="5"/>
  <c r="N114" i="5"/>
  <c r="L114" i="5"/>
  <c r="K114" i="5"/>
  <c r="J114" i="5"/>
  <c r="I114" i="5"/>
  <c r="AX113" i="5" a="1"/>
  <c r="AX113" i="5" s="1"/>
  <c r="AW113" i="5"/>
  <c r="AH113" i="5"/>
  <c r="AF113" i="5"/>
  <c r="AE113" i="5"/>
  <c r="AD113" i="5"/>
  <c r="AC113" i="5"/>
  <c r="N113" i="5"/>
  <c r="L113" i="5"/>
  <c r="K113" i="5"/>
  <c r="J113" i="5"/>
  <c r="I113" i="5"/>
  <c r="AW112" i="5"/>
  <c r="AH112" i="5"/>
  <c r="AF112" i="5"/>
  <c r="AE112" i="5"/>
  <c r="AD112" i="5"/>
  <c r="AC112" i="5"/>
  <c r="N112" i="5"/>
  <c r="L112" i="5"/>
  <c r="K112" i="5"/>
  <c r="J112" i="5"/>
  <c r="I112" i="5"/>
  <c r="AW111" i="5"/>
  <c r="AH111" i="5"/>
  <c r="AF111" i="5"/>
  <c r="AE111" i="5"/>
  <c r="AD111" i="5"/>
  <c r="AC111" i="5"/>
  <c r="N111" i="5"/>
  <c r="L111" i="5"/>
  <c r="K111" i="5"/>
  <c r="J111" i="5"/>
  <c r="I111" i="5"/>
  <c r="AW110" i="5"/>
  <c r="AH110" i="5"/>
  <c r="AF110" i="5"/>
  <c r="AE110" i="5"/>
  <c r="AD110" i="5"/>
  <c r="AC110" i="5"/>
  <c r="N110" i="5"/>
  <c r="L110" i="5"/>
  <c r="K110" i="5"/>
  <c r="J110" i="5"/>
  <c r="I110" i="5"/>
  <c r="AW109" i="5"/>
  <c r="AH109" i="5"/>
  <c r="AF109" i="5"/>
  <c r="AE109" i="5"/>
  <c r="AD109" i="5"/>
  <c r="AC109" i="5"/>
  <c r="N109" i="5"/>
  <c r="L109" i="5"/>
  <c r="K109" i="5"/>
  <c r="J109" i="5"/>
  <c r="I109" i="5"/>
  <c r="AW108" i="5"/>
  <c r="AH108" i="5"/>
  <c r="AF108" i="5"/>
  <c r="AE108" i="5"/>
  <c r="AD108" i="5"/>
  <c r="AC108" i="5"/>
  <c r="N108" i="5"/>
  <c r="L108" i="5"/>
  <c r="K108" i="5"/>
  <c r="J108" i="5"/>
  <c r="I108" i="5"/>
  <c r="AX107" i="5" a="1"/>
  <c r="AX107" i="5" s="1"/>
  <c r="AW107" i="5"/>
  <c r="AH107" i="5"/>
  <c r="AF107" i="5"/>
  <c r="AE107" i="5"/>
  <c r="AD107" i="5"/>
  <c r="AC107" i="5"/>
  <c r="N107" i="5"/>
  <c r="L107" i="5"/>
  <c r="K107" i="5"/>
  <c r="J107" i="5"/>
  <c r="I107" i="5"/>
  <c r="AW106" i="5"/>
  <c r="AH106" i="5"/>
  <c r="AF106" i="5"/>
  <c r="AE106" i="5"/>
  <c r="AD106" i="5"/>
  <c r="AC106" i="5"/>
  <c r="N106" i="5"/>
  <c r="L106" i="5"/>
  <c r="K106" i="5"/>
  <c r="J106" i="5"/>
  <c r="I106" i="5"/>
  <c r="AW105" i="5"/>
  <c r="AH105" i="5"/>
  <c r="AF105" i="5"/>
  <c r="AE105" i="5"/>
  <c r="AD105" i="5"/>
  <c r="AC105" i="5"/>
  <c r="N105" i="5"/>
  <c r="L105" i="5"/>
  <c r="K105" i="5"/>
  <c r="J105" i="5"/>
  <c r="I105" i="5"/>
  <c r="AW104" i="5"/>
  <c r="AH104" i="5"/>
  <c r="AF104" i="5"/>
  <c r="AE104" i="5"/>
  <c r="AD104" i="5"/>
  <c r="AC104" i="5"/>
  <c r="N104" i="5"/>
  <c r="L104" i="5"/>
  <c r="K104" i="5"/>
  <c r="J104" i="5"/>
  <c r="I104" i="5"/>
  <c r="AW103" i="5"/>
  <c r="AH103" i="5"/>
  <c r="AF103" i="5"/>
  <c r="AE103" i="5"/>
  <c r="AD103" i="5"/>
  <c r="AC103" i="5"/>
  <c r="N103" i="5"/>
  <c r="L103" i="5"/>
  <c r="K103" i="5"/>
  <c r="J103" i="5"/>
  <c r="I103" i="5"/>
  <c r="AW102" i="5"/>
  <c r="AH102" i="5"/>
  <c r="AF102" i="5"/>
  <c r="AE102" i="5"/>
  <c r="AD102" i="5"/>
  <c r="AC102" i="5"/>
  <c r="N102" i="5"/>
  <c r="L102" i="5"/>
  <c r="K102" i="5"/>
  <c r="J102" i="5"/>
  <c r="I102" i="5"/>
  <c r="AX101" i="5" a="1"/>
  <c r="AX101" i="5" s="1"/>
  <c r="AW101" i="5"/>
  <c r="AH101" i="5"/>
  <c r="AF101" i="5"/>
  <c r="AE101" i="5"/>
  <c r="AD101" i="5"/>
  <c r="AC101" i="5"/>
  <c r="N101" i="5"/>
  <c r="L101" i="5"/>
  <c r="K101" i="5"/>
  <c r="J101" i="5"/>
  <c r="I101" i="5"/>
  <c r="AW100" i="5"/>
  <c r="AH100" i="5"/>
  <c r="AF100" i="5"/>
  <c r="AE100" i="5"/>
  <c r="AD100" i="5"/>
  <c r="AC100" i="5"/>
  <c r="N100" i="5"/>
  <c r="L100" i="5"/>
  <c r="K100" i="5"/>
  <c r="J100" i="5"/>
  <c r="I100" i="5"/>
  <c r="AW99" i="5"/>
  <c r="AH99" i="5"/>
  <c r="AF99" i="5"/>
  <c r="AE99" i="5"/>
  <c r="AD99" i="5"/>
  <c r="AC99" i="5"/>
  <c r="N99" i="5"/>
  <c r="L99" i="5"/>
  <c r="K99" i="5"/>
  <c r="J99" i="5"/>
  <c r="I99" i="5"/>
  <c r="AW98" i="5"/>
  <c r="AH98" i="5"/>
  <c r="AF98" i="5"/>
  <c r="AE98" i="5"/>
  <c r="AD98" i="5"/>
  <c r="AC98" i="5"/>
  <c r="N98" i="5"/>
  <c r="L98" i="5"/>
  <c r="K98" i="5"/>
  <c r="J98" i="5"/>
  <c r="I98" i="5"/>
  <c r="AW97" i="5"/>
  <c r="AH97" i="5"/>
  <c r="AF97" i="5"/>
  <c r="AE97" i="5"/>
  <c r="AD97" i="5"/>
  <c r="AC97" i="5"/>
  <c r="N97" i="5"/>
  <c r="L97" i="5"/>
  <c r="K97" i="5"/>
  <c r="J97" i="5"/>
  <c r="I97" i="5"/>
  <c r="AW96" i="5"/>
  <c r="AH96" i="5"/>
  <c r="AF96" i="5"/>
  <c r="AE96" i="5"/>
  <c r="AD96" i="5"/>
  <c r="AC96" i="5"/>
  <c r="N96" i="5"/>
  <c r="L96" i="5"/>
  <c r="K96" i="5"/>
  <c r="J96" i="5"/>
  <c r="I96" i="5"/>
  <c r="AX95" i="5" a="1"/>
  <c r="AX95" i="5"/>
  <c r="AW95" i="5"/>
  <c r="AH95" i="5"/>
  <c r="AF95" i="5"/>
  <c r="AE95" i="5"/>
  <c r="AD95" i="5"/>
  <c r="AC95" i="5"/>
  <c r="N95" i="5"/>
  <c r="L95" i="5"/>
  <c r="K95" i="5"/>
  <c r="J95" i="5"/>
  <c r="I95" i="5"/>
  <c r="AW94" i="5"/>
  <c r="AH94" i="5"/>
  <c r="AF94" i="5"/>
  <c r="AE94" i="5"/>
  <c r="AD94" i="5"/>
  <c r="AC94" i="5"/>
  <c r="N94" i="5"/>
  <c r="L94" i="5"/>
  <c r="K94" i="5"/>
  <c r="J94" i="5"/>
  <c r="I94" i="5"/>
  <c r="AW93" i="5"/>
  <c r="AH93" i="5"/>
  <c r="AF93" i="5"/>
  <c r="AE93" i="5"/>
  <c r="AD93" i="5"/>
  <c r="AC93" i="5"/>
  <c r="N93" i="5"/>
  <c r="L93" i="5"/>
  <c r="K93" i="5"/>
  <c r="J93" i="5"/>
  <c r="I93" i="5"/>
  <c r="AW92" i="5"/>
  <c r="AH92" i="5"/>
  <c r="AF92" i="5"/>
  <c r="AE92" i="5"/>
  <c r="AD92" i="5"/>
  <c r="AC92" i="5"/>
  <c r="N92" i="5"/>
  <c r="L92" i="5"/>
  <c r="K92" i="5"/>
  <c r="J92" i="5"/>
  <c r="I92" i="5"/>
  <c r="AW91" i="5"/>
  <c r="AH91" i="5"/>
  <c r="AF91" i="5"/>
  <c r="AE91" i="5"/>
  <c r="AD91" i="5"/>
  <c r="AC91" i="5"/>
  <c r="N91" i="5"/>
  <c r="L91" i="5"/>
  <c r="K91" i="5"/>
  <c r="J91" i="5"/>
  <c r="I91" i="5"/>
  <c r="AW90" i="5"/>
  <c r="AH90" i="5"/>
  <c r="AF90" i="5"/>
  <c r="AE90" i="5"/>
  <c r="AD90" i="5"/>
  <c r="AC90" i="5"/>
  <c r="N90" i="5"/>
  <c r="L90" i="5"/>
  <c r="K90" i="5"/>
  <c r="J90" i="5"/>
  <c r="I90" i="5"/>
  <c r="AX89" i="5" a="1"/>
  <c r="AX89" i="5" s="1"/>
  <c r="AW89" i="5"/>
  <c r="AH89" i="5"/>
  <c r="AF89" i="5"/>
  <c r="AE89" i="5"/>
  <c r="AD89" i="5"/>
  <c r="AC89" i="5"/>
  <c r="N89" i="5"/>
  <c r="L89" i="5"/>
  <c r="K89" i="5"/>
  <c r="J89" i="5"/>
  <c r="I89" i="5"/>
  <c r="AW88" i="5"/>
  <c r="AH88" i="5"/>
  <c r="AF88" i="5"/>
  <c r="AE88" i="5"/>
  <c r="AD88" i="5"/>
  <c r="AC88" i="5"/>
  <c r="N88" i="5"/>
  <c r="L88" i="5"/>
  <c r="K88" i="5"/>
  <c r="J88" i="5"/>
  <c r="I88" i="5"/>
  <c r="AW87" i="5"/>
  <c r="AH87" i="5"/>
  <c r="AF87" i="5"/>
  <c r="AE87" i="5"/>
  <c r="AD87" i="5"/>
  <c r="AC87" i="5"/>
  <c r="N87" i="5"/>
  <c r="L87" i="5"/>
  <c r="K87" i="5"/>
  <c r="J87" i="5"/>
  <c r="I87" i="5"/>
  <c r="AW86" i="5"/>
  <c r="AH86" i="5"/>
  <c r="AF86" i="5"/>
  <c r="AE86" i="5"/>
  <c r="AD86" i="5"/>
  <c r="AC86" i="5"/>
  <c r="N86" i="5"/>
  <c r="L86" i="5"/>
  <c r="K86" i="5"/>
  <c r="J86" i="5"/>
  <c r="I86" i="5"/>
  <c r="AW85" i="5"/>
  <c r="AH85" i="5"/>
  <c r="AF85" i="5"/>
  <c r="AE85" i="5"/>
  <c r="AD85" i="5"/>
  <c r="AC85" i="5"/>
  <c r="N85" i="5"/>
  <c r="L85" i="5"/>
  <c r="K85" i="5"/>
  <c r="J85" i="5"/>
  <c r="I85" i="5"/>
  <c r="AW84" i="5"/>
  <c r="AH84" i="5"/>
  <c r="AF84" i="5"/>
  <c r="AE84" i="5"/>
  <c r="AD84" i="5"/>
  <c r="AC84" i="5"/>
  <c r="N84" i="5"/>
  <c r="L84" i="5"/>
  <c r="K84" i="5"/>
  <c r="J84" i="5"/>
  <c r="I84" i="5"/>
  <c r="AX83" i="5" a="1"/>
  <c r="AX83" i="5" s="1"/>
  <c r="AW83" i="5"/>
  <c r="AH83" i="5"/>
  <c r="AF83" i="5"/>
  <c r="AE83" i="5"/>
  <c r="AD83" i="5"/>
  <c r="AC83" i="5"/>
  <c r="N83" i="5"/>
  <c r="L83" i="5"/>
  <c r="K83" i="5"/>
  <c r="J83" i="5"/>
  <c r="I83" i="5"/>
  <c r="AW82" i="5"/>
  <c r="AH82" i="5"/>
  <c r="AF82" i="5"/>
  <c r="AE82" i="5"/>
  <c r="AD82" i="5"/>
  <c r="AC82" i="5"/>
  <c r="N82" i="5"/>
  <c r="L82" i="5"/>
  <c r="K82" i="5"/>
  <c r="J82" i="5"/>
  <c r="I82" i="5"/>
  <c r="AW81" i="5"/>
  <c r="AH81" i="5"/>
  <c r="AF81" i="5"/>
  <c r="AE81" i="5"/>
  <c r="AD81" i="5"/>
  <c r="AC81" i="5"/>
  <c r="N81" i="5"/>
  <c r="L81" i="5"/>
  <c r="K81" i="5"/>
  <c r="J81" i="5"/>
  <c r="I81" i="5"/>
  <c r="AW80" i="5"/>
  <c r="AH80" i="5"/>
  <c r="AF80" i="5"/>
  <c r="AE80" i="5"/>
  <c r="AD80" i="5"/>
  <c r="AC80" i="5"/>
  <c r="N80" i="5"/>
  <c r="L80" i="5"/>
  <c r="K80" i="5"/>
  <c r="J80" i="5"/>
  <c r="I80" i="5"/>
  <c r="AW79" i="5"/>
  <c r="AH79" i="5"/>
  <c r="AF79" i="5"/>
  <c r="AE79" i="5"/>
  <c r="AD79" i="5"/>
  <c r="AC79" i="5"/>
  <c r="N79" i="5"/>
  <c r="L79" i="5"/>
  <c r="K79" i="5"/>
  <c r="J79" i="5"/>
  <c r="I79" i="5"/>
  <c r="AW78" i="5"/>
  <c r="AH78" i="5"/>
  <c r="AF78" i="5"/>
  <c r="AE78" i="5"/>
  <c r="AD78" i="5"/>
  <c r="AC78" i="5"/>
  <c r="N78" i="5"/>
  <c r="L78" i="5"/>
  <c r="K78" i="5"/>
  <c r="J78" i="5"/>
  <c r="I78" i="5"/>
  <c r="AX77" i="5" a="1"/>
  <c r="AX77" i="5" s="1"/>
  <c r="AW77" i="5"/>
  <c r="AH77" i="5"/>
  <c r="AF77" i="5"/>
  <c r="AE77" i="5"/>
  <c r="AD77" i="5"/>
  <c r="AC77" i="5"/>
  <c r="N77" i="5"/>
  <c r="L77" i="5"/>
  <c r="K77" i="5"/>
  <c r="J77" i="5"/>
  <c r="I77" i="5"/>
  <c r="AW76" i="5"/>
  <c r="AH76" i="5"/>
  <c r="AF76" i="5"/>
  <c r="AE76" i="5"/>
  <c r="AD76" i="5"/>
  <c r="AC76" i="5"/>
  <c r="N76" i="5"/>
  <c r="L76" i="5"/>
  <c r="K76" i="5"/>
  <c r="J76" i="5"/>
  <c r="I76" i="5"/>
  <c r="AW75" i="5"/>
  <c r="AH75" i="5"/>
  <c r="AF75" i="5"/>
  <c r="AE75" i="5"/>
  <c r="AD75" i="5"/>
  <c r="AC75" i="5"/>
  <c r="N75" i="5"/>
  <c r="L75" i="5"/>
  <c r="K75" i="5"/>
  <c r="J75" i="5"/>
  <c r="I75" i="5"/>
  <c r="AW74" i="5"/>
  <c r="AH74" i="5"/>
  <c r="AF74" i="5"/>
  <c r="AE74" i="5"/>
  <c r="AD74" i="5"/>
  <c r="AC74" i="5"/>
  <c r="N74" i="5"/>
  <c r="L74" i="5"/>
  <c r="K74" i="5"/>
  <c r="J74" i="5"/>
  <c r="I74" i="5"/>
  <c r="AW73" i="5"/>
  <c r="AH73" i="5"/>
  <c r="AF73" i="5"/>
  <c r="AE73" i="5"/>
  <c r="AD73" i="5"/>
  <c r="AC73" i="5"/>
  <c r="N73" i="5"/>
  <c r="L73" i="5"/>
  <c r="K73" i="5"/>
  <c r="J73" i="5"/>
  <c r="I73" i="5"/>
  <c r="AW72" i="5"/>
  <c r="AH72" i="5"/>
  <c r="AF72" i="5"/>
  <c r="AE72" i="5"/>
  <c r="AD72" i="5"/>
  <c r="AC72" i="5"/>
  <c r="N72" i="5"/>
  <c r="L72" i="5"/>
  <c r="K72" i="5"/>
  <c r="J72" i="5"/>
  <c r="I72" i="5"/>
  <c r="AX71" i="5" a="1"/>
  <c r="AX71" i="5"/>
  <c r="AW71" i="5"/>
  <c r="AH71" i="5"/>
  <c r="AF71" i="5"/>
  <c r="AE71" i="5"/>
  <c r="AD71" i="5"/>
  <c r="AC71" i="5"/>
  <c r="N71" i="5"/>
  <c r="L71" i="5"/>
  <c r="K71" i="5"/>
  <c r="J71" i="5"/>
  <c r="I71" i="5"/>
  <c r="AW70" i="5"/>
  <c r="AH70" i="5"/>
  <c r="AF70" i="5"/>
  <c r="AE70" i="5"/>
  <c r="AD70" i="5"/>
  <c r="AC70" i="5"/>
  <c r="N70" i="5"/>
  <c r="L70" i="5"/>
  <c r="K70" i="5"/>
  <c r="J70" i="5"/>
  <c r="I70" i="5"/>
  <c r="AW69" i="5"/>
  <c r="AH69" i="5"/>
  <c r="AF69" i="5"/>
  <c r="AE69" i="5"/>
  <c r="AD69" i="5"/>
  <c r="AC69" i="5"/>
  <c r="N69" i="5"/>
  <c r="L69" i="5"/>
  <c r="K69" i="5"/>
  <c r="J69" i="5"/>
  <c r="I69" i="5"/>
  <c r="AW68" i="5"/>
  <c r="AH68" i="5"/>
  <c r="AF68" i="5"/>
  <c r="AE68" i="5"/>
  <c r="AD68" i="5"/>
  <c r="AC68" i="5"/>
  <c r="N68" i="5"/>
  <c r="L68" i="5"/>
  <c r="K68" i="5"/>
  <c r="J68" i="5"/>
  <c r="I68" i="5"/>
  <c r="AW67" i="5"/>
  <c r="AH67" i="5"/>
  <c r="AF67" i="5"/>
  <c r="AE67" i="5"/>
  <c r="AD67" i="5"/>
  <c r="AC67" i="5"/>
  <c r="N67" i="5"/>
  <c r="L67" i="5"/>
  <c r="K67" i="5"/>
  <c r="J67" i="5"/>
  <c r="I67" i="5"/>
  <c r="AW66" i="5"/>
  <c r="AH66" i="5"/>
  <c r="AF66" i="5"/>
  <c r="AE66" i="5"/>
  <c r="AD66" i="5"/>
  <c r="AC66" i="5"/>
  <c r="N66" i="5"/>
  <c r="L66" i="5"/>
  <c r="K66" i="5"/>
  <c r="J66" i="5"/>
  <c r="I66" i="5"/>
  <c r="AX65" i="5" a="1"/>
  <c r="AX65" i="5" s="1"/>
  <c r="AW65" i="5"/>
  <c r="AH65" i="5"/>
  <c r="AF65" i="5"/>
  <c r="AE65" i="5"/>
  <c r="AD65" i="5"/>
  <c r="AC65" i="5"/>
  <c r="N65" i="5"/>
  <c r="L65" i="5"/>
  <c r="K65" i="5"/>
  <c r="J65" i="5"/>
  <c r="I65" i="5"/>
  <c r="AW64" i="5"/>
  <c r="AH64" i="5"/>
  <c r="AF64" i="5"/>
  <c r="AE64" i="5"/>
  <c r="AD64" i="5"/>
  <c r="AC64" i="5"/>
  <c r="N64" i="5"/>
  <c r="L64" i="5"/>
  <c r="K64" i="5"/>
  <c r="J64" i="5"/>
  <c r="I64" i="5"/>
  <c r="AW63" i="5"/>
  <c r="AH63" i="5"/>
  <c r="AF63" i="5"/>
  <c r="AE63" i="5"/>
  <c r="AD63" i="5"/>
  <c r="AC63" i="5"/>
  <c r="N63" i="5"/>
  <c r="L63" i="5"/>
  <c r="K63" i="5"/>
  <c r="J63" i="5"/>
  <c r="I63" i="5"/>
  <c r="AW62" i="5"/>
  <c r="AH62" i="5"/>
  <c r="AF62" i="5"/>
  <c r="AE62" i="5"/>
  <c r="AD62" i="5"/>
  <c r="AC62" i="5"/>
  <c r="N62" i="5"/>
  <c r="L62" i="5"/>
  <c r="K62" i="5"/>
  <c r="J62" i="5"/>
  <c r="I62" i="5"/>
  <c r="AW61" i="5"/>
  <c r="AH61" i="5"/>
  <c r="AF61" i="5"/>
  <c r="AE61" i="5"/>
  <c r="AD61" i="5"/>
  <c r="AC61" i="5"/>
  <c r="N61" i="5"/>
  <c r="L61" i="5"/>
  <c r="K61" i="5"/>
  <c r="J61" i="5"/>
  <c r="I61" i="5"/>
  <c r="AW60" i="5"/>
  <c r="AH60" i="5"/>
  <c r="AF60" i="5"/>
  <c r="AE60" i="5"/>
  <c r="AD60" i="5"/>
  <c r="AC60" i="5"/>
  <c r="N60" i="5"/>
  <c r="L60" i="5"/>
  <c r="K60" i="5"/>
  <c r="J60" i="5"/>
  <c r="I60" i="5"/>
  <c r="AX59" i="5" a="1"/>
  <c r="AX59" i="5"/>
  <c r="AW59" i="5"/>
  <c r="AH59" i="5"/>
  <c r="AF59" i="5"/>
  <c r="AE59" i="5"/>
  <c r="AD59" i="5"/>
  <c r="AC59" i="5"/>
  <c r="N59" i="5"/>
  <c r="L59" i="5"/>
  <c r="K59" i="5"/>
  <c r="J59" i="5"/>
  <c r="I59" i="5"/>
  <c r="AW58" i="5"/>
  <c r="AH58" i="5"/>
  <c r="AF58" i="5"/>
  <c r="AE58" i="5"/>
  <c r="AD58" i="5"/>
  <c r="AC58" i="5"/>
  <c r="N58" i="5"/>
  <c r="L58" i="5"/>
  <c r="K58" i="5"/>
  <c r="J58" i="5"/>
  <c r="I58" i="5"/>
  <c r="AW57" i="5"/>
  <c r="AH57" i="5"/>
  <c r="AF57" i="5"/>
  <c r="AE57" i="5"/>
  <c r="AD57" i="5"/>
  <c r="AC57" i="5"/>
  <c r="N57" i="5"/>
  <c r="L57" i="5"/>
  <c r="K57" i="5"/>
  <c r="J57" i="5"/>
  <c r="I57" i="5"/>
  <c r="AW56" i="5"/>
  <c r="AH56" i="5"/>
  <c r="AF56" i="5"/>
  <c r="AE56" i="5"/>
  <c r="AD56" i="5"/>
  <c r="AC56" i="5"/>
  <c r="N56" i="5"/>
  <c r="L56" i="5"/>
  <c r="K56" i="5"/>
  <c r="J56" i="5"/>
  <c r="I56" i="5"/>
  <c r="AW55" i="5"/>
  <c r="AH55" i="5"/>
  <c r="AF55" i="5"/>
  <c r="AE55" i="5"/>
  <c r="AD55" i="5"/>
  <c r="AC55" i="5"/>
  <c r="N55" i="5"/>
  <c r="L55" i="5"/>
  <c r="K55" i="5"/>
  <c r="J55" i="5"/>
  <c r="I55" i="5"/>
  <c r="AW54" i="5"/>
  <c r="AH54" i="5"/>
  <c r="AF54" i="5"/>
  <c r="AE54" i="5"/>
  <c r="AD54" i="5"/>
  <c r="AC54" i="5"/>
  <c r="N54" i="5"/>
  <c r="L54" i="5"/>
  <c r="K54" i="5"/>
  <c r="J54" i="5"/>
  <c r="I54" i="5"/>
  <c r="AX53" i="5" a="1"/>
  <c r="AX53" i="5"/>
  <c r="AW53" i="5"/>
  <c r="AH53" i="5"/>
  <c r="AF53" i="5"/>
  <c r="AE53" i="5"/>
  <c r="AD53" i="5"/>
  <c r="AC53" i="5"/>
  <c r="N53" i="5"/>
  <c r="L53" i="5"/>
  <c r="K53" i="5"/>
  <c r="J53" i="5"/>
  <c r="I53" i="5"/>
  <c r="AW52" i="5"/>
  <c r="AH52" i="5"/>
  <c r="AF52" i="5"/>
  <c r="AE52" i="5"/>
  <c r="AD52" i="5"/>
  <c r="AC52" i="5"/>
  <c r="N52" i="5"/>
  <c r="L52" i="5"/>
  <c r="K52" i="5"/>
  <c r="J52" i="5"/>
  <c r="I52" i="5"/>
  <c r="AW51" i="5"/>
  <c r="AH51" i="5"/>
  <c r="AF51" i="5"/>
  <c r="AE51" i="5"/>
  <c r="AD51" i="5"/>
  <c r="AC51" i="5"/>
  <c r="N51" i="5"/>
  <c r="L51" i="5"/>
  <c r="K51" i="5"/>
  <c r="J51" i="5"/>
  <c r="I51" i="5"/>
  <c r="AW50" i="5"/>
  <c r="AH50" i="5"/>
  <c r="AF50" i="5"/>
  <c r="AE50" i="5"/>
  <c r="AD50" i="5"/>
  <c r="AC50" i="5"/>
  <c r="N50" i="5"/>
  <c r="L50" i="5"/>
  <c r="K50" i="5"/>
  <c r="J50" i="5"/>
  <c r="I50" i="5"/>
  <c r="AW49" i="5"/>
  <c r="AH49" i="5"/>
  <c r="AF49" i="5"/>
  <c r="AE49" i="5"/>
  <c r="AD49" i="5"/>
  <c r="AC49" i="5"/>
  <c r="N49" i="5"/>
  <c r="L49" i="5"/>
  <c r="K49" i="5"/>
  <c r="J49" i="5"/>
  <c r="I49" i="5"/>
  <c r="AW48" i="5"/>
  <c r="AH48" i="5"/>
  <c r="AF48" i="5"/>
  <c r="AE48" i="5"/>
  <c r="AD48" i="5"/>
  <c r="AC48" i="5"/>
  <c r="N48" i="5"/>
  <c r="L48" i="5"/>
  <c r="K48" i="5"/>
  <c r="J48" i="5"/>
  <c r="I48" i="5"/>
  <c r="AX47" i="5" a="1"/>
  <c r="AX47" i="5" s="1"/>
  <c r="AW47" i="5"/>
  <c r="AH47" i="5"/>
  <c r="AF47" i="5"/>
  <c r="AE47" i="5"/>
  <c r="AD47" i="5"/>
  <c r="AC47" i="5"/>
  <c r="N47" i="5"/>
  <c r="L47" i="5"/>
  <c r="K47" i="5"/>
  <c r="J47" i="5"/>
  <c r="I47" i="5"/>
  <c r="AW46" i="5"/>
  <c r="AH46" i="5"/>
  <c r="AF46" i="5"/>
  <c r="AE46" i="5"/>
  <c r="AD46" i="5"/>
  <c r="AC46" i="5"/>
  <c r="N46" i="5"/>
  <c r="L46" i="5"/>
  <c r="K46" i="5"/>
  <c r="J46" i="5"/>
  <c r="I46" i="5"/>
  <c r="AW45" i="5"/>
  <c r="AH45" i="5"/>
  <c r="AF45" i="5"/>
  <c r="AE45" i="5"/>
  <c r="AD45" i="5"/>
  <c r="AC45" i="5"/>
  <c r="N45" i="5"/>
  <c r="L45" i="5"/>
  <c r="K45" i="5"/>
  <c r="J45" i="5"/>
  <c r="I45" i="5"/>
  <c r="AW44" i="5"/>
  <c r="AH44" i="5"/>
  <c r="AF44" i="5"/>
  <c r="AE44" i="5"/>
  <c r="AD44" i="5"/>
  <c r="AC44" i="5"/>
  <c r="N44" i="5"/>
  <c r="L44" i="5"/>
  <c r="K44" i="5"/>
  <c r="J44" i="5"/>
  <c r="I44" i="5"/>
  <c r="AW43" i="5"/>
  <c r="AH43" i="5"/>
  <c r="AF43" i="5"/>
  <c r="AE43" i="5"/>
  <c r="AD43" i="5"/>
  <c r="AC43" i="5"/>
  <c r="N43" i="5"/>
  <c r="L43" i="5"/>
  <c r="K43" i="5"/>
  <c r="J43" i="5"/>
  <c r="I43" i="5"/>
  <c r="AW42" i="5"/>
  <c r="AH42" i="5"/>
  <c r="AF42" i="5"/>
  <c r="AE42" i="5"/>
  <c r="AD42" i="5"/>
  <c r="AC42" i="5"/>
  <c r="N42" i="5"/>
  <c r="L42" i="5"/>
  <c r="K42" i="5"/>
  <c r="J42" i="5"/>
  <c r="I42" i="5"/>
  <c r="AX41" i="5" a="1"/>
  <c r="AX41" i="5"/>
  <c r="AW41" i="5"/>
  <c r="AH41" i="5"/>
  <c r="AF41" i="5"/>
  <c r="AE41" i="5"/>
  <c r="AD41" i="5"/>
  <c r="AC41" i="5"/>
  <c r="N41" i="5"/>
  <c r="L41" i="5"/>
  <c r="K41" i="5"/>
  <c r="J41" i="5"/>
  <c r="I41" i="5"/>
  <c r="AW40" i="5"/>
  <c r="AH40" i="5"/>
  <c r="AF40" i="5"/>
  <c r="AE40" i="5"/>
  <c r="AD40" i="5"/>
  <c r="AC40" i="5"/>
  <c r="N40" i="5"/>
  <c r="L40" i="5"/>
  <c r="K40" i="5"/>
  <c r="J40" i="5"/>
  <c r="I40" i="5"/>
  <c r="AW39" i="5"/>
  <c r="AH39" i="5"/>
  <c r="AF39" i="5"/>
  <c r="AE39" i="5"/>
  <c r="AD39" i="5"/>
  <c r="AC39" i="5"/>
  <c r="N39" i="5"/>
  <c r="L39" i="5"/>
  <c r="K39" i="5"/>
  <c r="J39" i="5"/>
  <c r="I39" i="5"/>
  <c r="AW38" i="5"/>
  <c r="AH38" i="5"/>
  <c r="AF38" i="5"/>
  <c r="AE38" i="5"/>
  <c r="AD38" i="5"/>
  <c r="AC38" i="5"/>
  <c r="N38" i="5"/>
  <c r="L38" i="5"/>
  <c r="K38" i="5"/>
  <c r="J38" i="5"/>
  <c r="I38" i="5"/>
  <c r="AW37" i="5"/>
  <c r="AH37" i="5"/>
  <c r="AF37" i="5"/>
  <c r="AE37" i="5"/>
  <c r="AD37" i="5"/>
  <c r="AC37" i="5"/>
  <c r="N37" i="5"/>
  <c r="L37" i="5"/>
  <c r="K37" i="5"/>
  <c r="J37" i="5"/>
  <c r="I37" i="5"/>
  <c r="AW36" i="5"/>
  <c r="AH36" i="5"/>
  <c r="AF36" i="5"/>
  <c r="AE36" i="5"/>
  <c r="AD36" i="5"/>
  <c r="AC36" i="5"/>
  <c r="N36" i="5"/>
  <c r="L36" i="5"/>
  <c r="K36" i="5"/>
  <c r="J36" i="5"/>
  <c r="I36" i="5"/>
  <c r="AX35" i="5" a="1"/>
  <c r="AX35" i="5" s="1"/>
  <c r="AW35" i="5"/>
  <c r="AH35" i="5"/>
  <c r="AF35" i="5"/>
  <c r="AE35" i="5"/>
  <c r="AD35" i="5"/>
  <c r="AC35" i="5"/>
  <c r="N35" i="5"/>
  <c r="L35" i="5"/>
  <c r="K35" i="5"/>
  <c r="J35" i="5"/>
  <c r="I35" i="5"/>
  <c r="AW34" i="5"/>
  <c r="AH34" i="5"/>
  <c r="AF34" i="5"/>
  <c r="AE34" i="5"/>
  <c r="AD34" i="5"/>
  <c r="AC34" i="5"/>
  <c r="N34" i="5"/>
  <c r="L34" i="5"/>
  <c r="K34" i="5"/>
  <c r="J34" i="5"/>
  <c r="I34" i="5"/>
  <c r="AW33" i="5"/>
  <c r="AH33" i="5"/>
  <c r="AF33" i="5"/>
  <c r="AE33" i="5"/>
  <c r="AD33" i="5"/>
  <c r="AC33" i="5"/>
  <c r="N33" i="5"/>
  <c r="L33" i="5"/>
  <c r="K33" i="5"/>
  <c r="J33" i="5"/>
  <c r="I33" i="5"/>
  <c r="AW32" i="5"/>
  <c r="AH32" i="5"/>
  <c r="AF32" i="5"/>
  <c r="AE32" i="5"/>
  <c r="AD32" i="5"/>
  <c r="AC32" i="5"/>
  <c r="N32" i="5"/>
  <c r="L32" i="5"/>
  <c r="K32" i="5"/>
  <c r="J32" i="5"/>
  <c r="I32" i="5"/>
  <c r="AW31" i="5"/>
  <c r="AH31" i="5"/>
  <c r="AF31" i="5"/>
  <c r="AE31" i="5"/>
  <c r="AD31" i="5"/>
  <c r="AC31" i="5"/>
  <c r="N31" i="5"/>
  <c r="L31" i="5"/>
  <c r="K31" i="5"/>
  <c r="J31" i="5"/>
  <c r="I31" i="5"/>
  <c r="AW30" i="5"/>
  <c r="AH30" i="5"/>
  <c r="AF30" i="5"/>
  <c r="AE30" i="5"/>
  <c r="AD30" i="5"/>
  <c r="AC30" i="5"/>
  <c r="N30" i="5"/>
  <c r="L30" i="5"/>
  <c r="K30" i="5"/>
  <c r="J30" i="5"/>
  <c r="I30" i="5"/>
  <c r="AX29" i="5" a="1"/>
  <c r="AX29" i="5"/>
  <c r="AW29" i="5"/>
  <c r="AH29" i="5"/>
  <c r="AF29" i="5"/>
  <c r="AE29" i="5"/>
  <c r="AD29" i="5"/>
  <c r="AC29" i="5"/>
  <c r="N29" i="5"/>
  <c r="L29" i="5"/>
  <c r="K29" i="5"/>
  <c r="J29" i="5"/>
  <c r="I29" i="5"/>
  <c r="AW28" i="5"/>
  <c r="AH28" i="5"/>
  <c r="AF28" i="5"/>
  <c r="AE28" i="5"/>
  <c r="AD28" i="5"/>
  <c r="AC28" i="5"/>
  <c r="N28" i="5"/>
  <c r="L28" i="5"/>
  <c r="K28" i="5"/>
  <c r="J28" i="5"/>
  <c r="I28" i="5"/>
  <c r="AW27" i="5"/>
  <c r="AH27" i="5"/>
  <c r="AF27" i="5"/>
  <c r="AE27" i="5"/>
  <c r="AD27" i="5"/>
  <c r="AC27" i="5"/>
  <c r="N27" i="5"/>
  <c r="L27" i="5"/>
  <c r="K27" i="5"/>
  <c r="J27" i="5"/>
  <c r="I27" i="5"/>
  <c r="AW26" i="5"/>
  <c r="AH26" i="5"/>
  <c r="AF26" i="5"/>
  <c r="AE26" i="5"/>
  <c r="AD26" i="5"/>
  <c r="AC26" i="5"/>
  <c r="N26" i="5"/>
  <c r="L26" i="5"/>
  <c r="K26" i="5"/>
  <c r="J26" i="5"/>
  <c r="I26" i="5"/>
  <c r="AW25" i="5"/>
  <c r="AH25" i="5"/>
  <c r="AF25" i="5"/>
  <c r="AE25" i="5"/>
  <c r="AD25" i="5"/>
  <c r="AC25" i="5"/>
  <c r="N25" i="5"/>
  <c r="L25" i="5"/>
  <c r="K25" i="5"/>
  <c r="J25" i="5"/>
  <c r="I25" i="5"/>
  <c r="AW24" i="5"/>
  <c r="AH24" i="5"/>
  <c r="AF24" i="5"/>
  <c r="AE24" i="5"/>
  <c r="AD24" i="5"/>
  <c r="AC24" i="5"/>
  <c r="N24" i="5"/>
  <c r="L24" i="5"/>
  <c r="K24" i="5"/>
  <c r="J24" i="5"/>
  <c r="I24" i="5"/>
  <c r="AX23" i="5" a="1"/>
  <c r="AX23" i="5" s="1"/>
  <c r="AW23" i="5"/>
  <c r="AH23" i="5"/>
  <c r="AF23" i="5"/>
  <c r="AE23" i="5"/>
  <c r="AD23" i="5"/>
  <c r="AC23" i="5"/>
  <c r="N23" i="5"/>
  <c r="L23" i="5"/>
  <c r="K23" i="5"/>
  <c r="J23" i="5"/>
  <c r="I23" i="5"/>
  <c r="AW22" i="5"/>
  <c r="AH22" i="5"/>
  <c r="AF22" i="5"/>
  <c r="AE22" i="5"/>
  <c r="AD22" i="5"/>
  <c r="AC22" i="5"/>
  <c r="N22" i="5"/>
  <c r="L22" i="5"/>
  <c r="K22" i="5"/>
  <c r="J22" i="5"/>
  <c r="I22" i="5"/>
  <c r="AW21" i="5"/>
  <c r="AH21" i="5"/>
  <c r="AF21" i="5"/>
  <c r="AE21" i="5"/>
  <c r="AD21" i="5"/>
  <c r="AC21" i="5"/>
  <c r="N21" i="5"/>
  <c r="L21" i="5"/>
  <c r="K21" i="5"/>
  <c r="J21" i="5"/>
  <c r="I21" i="5"/>
  <c r="AW20" i="5"/>
  <c r="AH20" i="5"/>
  <c r="AF20" i="5"/>
  <c r="AE20" i="5"/>
  <c r="AD20" i="5"/>
  <c r="AC20" i="5"/>
  <c r="N20" i="5"/>
  <c r="L20" i="5"/>
  <c r="K20" i="5"/>
  <c r="J20" i="5"/>
  <c r="I20" i="5"/>
  <c r="AW19" i="5"/>
  <c r="AH19" i="5"/>
  <c r="AF19" i="5"/>
  <c r="AE19" i="5"/>
  <c r="AD19" i="5"/>
  <c r="AC19" i="5"/>
  <c r="N19" i="5"/>
  <c r="L19" i="5"/>
  <c r="K19" i="5"/>
  <c r="J19" i="5"/>
  <c r="I19" i="5"/>
  <c r="AW18" i="5"/>
  <c r="AH18" i="5"/>
  <c r="AF18" i="5"/>
  <c r="AE18" i="5"/>
  <c r="AD18" i="5"/>
  <c r="AC18" i="5"/>
  <c r="N18" i="5"/>
  <c r="L18" i="5"/>
  <c r="K18" i="5"/>
  <c r="J18" i="5"/>
  <c r="I18" i="5"/>
  <c r="AX17" i="5" a="1"/>
  <c r="AX17" i="5"/>
  <c r="AW17" i="5"/>
  <c r="AH17" i="5"/>
  <c r="AF17" i="5"/>
  <c r="AE17" i="5"/>
  <c r="AD17" i="5"/>
  <c r="AC17" i="5"/>
  <c r="N17" i="5"/>
  <c r="L17" i="5"/>
  <c r="K17" i="5"/>
  <c r="J17" i="5"/>
  <c r="I17" i="5"/>
  <c r="AW16" i="5"/>
  <c r="AH16" i="5"/>
  <c r="AF16" i="5"/>
  <c r="AE16" i="5"/>
  <c r="AD16" i="5"/>
  <c r="AC16" i="5"/>
  <c r="N16" i="5"/>
  <c r="L16" i="5"/>
  <c r="K16" i="5"/>
  <c r="J16" i="5"/>
  <c r="I16" i="5"/>
  <c r="AW15" i="5"/>
  <c r="AH15" i="5"/>
  <c r="AF15" i="5"/>
  <c r="AE15" i="5"/>
  <c r="AD15" i="5"/>
  <c r="AC15" i="5"/>
  <c r="N15" i="5"/>
  <c r="L15" i="5"/>
  <c r="K15" i="5"/>
  <c r="J15" i="5"/>
  <c r="I15" i="5"/>
  <c r="AW14" i="5"/>
  <c r="AH14" i="5"/>
  <c r="AF14" i="5"/>
  <c r="AE14" i="5"/>
  <c r="AD14" i="5"/>
  <c r="AC14" i="5"/>
  <c r="N14" i="5"/>
  <c r="L14" i="5"/>
  <c r="K14" i="5"/>
  <c r="J14" i="5"/>
  <c r="I14" i="5"/>
  <c r="AW13" i="5"/>
  <c r="AH13" i="5"/>
  <c r="AF13" i="5"/>
  <c r="AE13" i="5"/>
  <c r="AD13" i="5"/>
  <c r="AC13" i="5"/>
  <c r="N13" i="5"/>
  <c r="L13" i="5"/>
  <c r="K13" i="5"/>
  <c r="J13" i="5"/>
  <c r="I13" i="5"/>
  <c r="AW12" i="5"/>
  <c r="AH12" i="5"/>
  <c r="AF12" i="5"/>
  <c r="AE12" i="5"/>
  <c r="AD12" i="5"/>
  <c r="AC12" i="5"/>
  <c r="N12" i="5"/>
  <c r="L12" i="5"/>
  <c r="K12" i="5"/>
  <c r="J12" i="5"/>
  <c r="I12" i="5"/>
  <c r="AX11" i="5" a="1"/>
  <c r="AX11" i="5" s="1"/>
  <c r="AW11" i="5"/>
  <c r="AH11" i="5"/>
  <c r="AF11" i="5"/>
  <c r="AE11" i="5"/>
  <c r="AD11" i="5"/>
  <c r="AC11" i="5"/>
  <c r="N11" i="5"/>
  <c r="L11" i="5"/>
  <c r="K11" i="5"/>
  <c r="J11" i="5"/>
  <c r="I11" i="5"/>
  <c r="AW10" i="5"/>
  <c r="AH10" i="5"/>
  <c r="AF10" i="5"/>
  <c r="AE10" i="5"/>
  <c r="AD10" i="5"/>
  <c r="AC10" i="5"/>
  <c r="N10" i="5"/>
  <c r="L10" i="5"/>
  <c r="K10" i="5"/>
  <c r="J10" i="5"/>
  <c r="I10" i="5"/>
  <c r="AW9" i="5"/>
  <c r="AH9" i="5"/>
  <c r="AF9" i="5"/>
  <c r="AE9" i="5"/>
  <c r="AD9" i="5"/>
  <c r="AC9" i="5"/>
  <c r="N9" i="5"/>
  <c r="L9" i="5"/>
  <c r="K9" i="5"/>
  <c r="J9" i="5"/>
  <c r="I9" i="5"/>
  <c r="AW8" i="5"/>
  <c r="AH8" i="5"/>
  <c r="AF8" i="5"/>
  <c r="AE8" i="5"/>
  <c r="AD8" i="5"/>
  <c r="AC8" i="5"/>
  <c r="N8" i="5"/>
  <c r="L8" i="5"/>
  <c r="K8" i="5"/>
  <c r="J8" i="5"/>
  <c r="I8" i="5"/>
  <c r="AW7" i="5"/>
  <c r="AH7" i="5"/>
  <c r="AF7" i="5"/>
  <c r="AE7" i="5"/>
  <c r="AD7" i="5"/>
  <c r="AC7" i="5"/>
  <c r="N7" i="5"/>
  <c r="L7" i="5"/>
  <c r="K7" i="5"/>
  <c r="J7" i="5"/>
  <c r="I7" i="5"/>
  <c r="AW6" i="5"/>
  <c r="AH6" i="5"/>
  <c r="AF6" i="5"/>
  <c r="AE6" i="5"/>
  <c r="AD6" i="5"/>
  <c r="AC6" i="5"/>
  <c r="N6" i="5"/>
  <c r="L6" i="5"/>
  <c r="K6" i="5"/>
  <c r="J6" i="5"/>
  <c r="I6" i="5"/>
  <c r="AX5" i="5" a="1"/>
  <c r="AX5" i="5"/>
  <c r="AW5" i="5"/>
  <c r="AH5" i="5"/>
  <c r="AF5" i="5"/>
  <c r="AE5" i="5"/>
  <c r="AD5" i="5"/>
  <c r="AD341" i="5" s="1"/>
  <c r="AC5" i="5"/>
  <c r="N5" i="5"/>
  <c r="L5" i="5"/>
  <c r="L345" i="5" s="1"/>
  <c r="K5" i="5"/>
  <c r="J5" i="5"/>
  <c r="I5" i="5"/>
  <c r="AQ349" i="3"/>
  <c r="C15" i="1" s="1"/>
  <c r="AQ348" i="3"/>
  <c r="AP348" i="3"/>
  <c r="AP349" i="3" s="1"/>
  <c r="C14" i="1" s="1"/>
  <c r="Y348" i="3"/>
  <c r="X348" i="3"/>
  <c r="AQ347" i="3"/>
  <c r="AQ346" i="3"/>
  <c r="AP346" i="3"/>
  <c r="AP347" i="3" s="1"/>
  <c r="Y346" i="3"/>
  <c r="X346" i="3"/>
  <c r="AS340" i="3"/>
  <c r="AF340" i="3"/>
  <c r="AE340" i="3"/>
  <c r="AC340" i="3"/>
  <c r="AB340" i="3"/>
  <c r="AA340" i="3"/>
  <c r="N340" i="3"/>
  <c r="M340" i="3"/>
  <c r="K340" i="3"/>
  <c r="J340" i="3"/>
  <c r="I340" i="3"/>
  <c r="AS339" i="3"/>
  <c r="AF339" i="3"/>
  <c r="AE339" i="3"/>
  <c r="AC339" i="3"/>
  <c r="AB339" i="3"/>
  <c r="AA339" i="3"/>
  <c r="N339" i="3"/>
  <c r="M339" i="3"/>
  <c r="K339" i="3"/>
  <c r="J339" i="3"/>
  <c r="I339" i="3"/>
  <c r="AS338" i="3"/>
  <c r="AF338" i="3"/>
  <c r="AE338" i="3"/>
  <c r="AC338" i="3"/>
  <c r="AB338" i="3"/>
  <c r="AA338" i="3"/>
  <c r="N338" i="3"/>
  <c r="M338" i="3"/>
  <c r="K338" i="3"/>
  <c r="J338" i="3"/>
  <c r="I338" i="3"/>
  <c r="AS337" i="3"/>
  <c r="AF337" i="3"/>
  <c r="AE337" i="3"/>
  <c r="AC337" i="3"/>
  <c r="AB337" i="3"/>
  <c r="AA337" i="3"/>
  <c r="N337" i="3"/>
  <c r="M337" i="3"/>
  <c r="K337" i="3"/>
  <c r="J337" i="3"/>
  <c r="I337" i="3"/>
  <c r="AS336" i="3"/>
  <c r="AF336" i="3"/>
  <c r="AE336" i="3"/>
  <c r="AC336" i="3"/>
  <c r="AB336" i="3"/>
  <c r="AA336" i="3"/>
  <c r="N336" i="3"/>
  <c r="M336" i="3"/>
  <c r="K336" i="3"/>
  <c r="J336" i="3"/>
  <c r="I336" i="3"/>
  <c r="AT335" i="3" a="1"/>
  <c r="AT335" i="3"/>
  <c r="AS335" i="3"/>
  <c r="AF335" i="3"/>
  <c r="AE335" i="3"/>
  <c r="AC335" i="3"/>
  <c r="AB335" i="3"/>
  <c r="AA335" i="3"/>
  <c r="N335" i="3"/>
  <c r="M335" i="3"/>
  <c r="K335" i="3"/>
  <c r="J335" i="3"/>
  <c r="I335" i="3"/>
  <c r="AS334" i="3"/>
  <c r="AF334" i="3"/>
  <c r="AE334" i="3"/>
  <c r="AC334" i="3"/>
  <c r="AB334" i="3"/>
  <c r="AA334" i="3"/>
  <c r="N334" i="3"/>
  <c r="M334" i="3"/>
  <c r="K334" i="3"/>
  <c r="J334" i="3"/>
  <c r="I334" i="3"/>
  <c r="AS333" i="3"/>
  <c r="AF333" i="3"/>
  <c r="AE333" i="3"/>
  <c r="AC333" i="3"/>
  <c r="AB333" i="3"/>
  <c r="AA333" i="3"/>
  <c r="N333" i="3"/>
  <c r="M333" i="3"/>
  <c r="K333" i="3"/>
  <c r="J333" i="3"/>
  <c r="I333" i="3"/>
  <c r="AS332" i="3"/>
  <c r="AF332" i="3"/>
  <c r="AE332" i="3"/>
  <c r="AC332" i="3"/>
  <c r="AB332" i="3"/>
  <c r="AA332" i="3"/>
  <c r="N332" i="3"/>
  <c r="M332" i="3"/>
  <c r="K332" i="3"/>
  <c r="J332" i="3"/>
  <c r="I332" i="3"/>
  <c r="AS331" i="3"/>
  <c r="AF331" i="3"/>
  <c r="AE331" i="3"/>
  <c r="AC331" i="3"/>
  <c r="AB331" i="3"/>
  <c r="AA331" i="3"/>
  <c r="N331" i="3"/>
  <c r="M331" i="3"/>
  <c r="K331" i="3"/>
  <c r="J331" i="3"/>
  <c r="I331" i="3"/>
  <c r="AS330" i="3"/>
  <c r="AF330" i="3"/>
  <c r="AE330" i="3"/>
  <c r="AC330" i="3"/>
  <c r="AB330" i="3"/>
  <c r="AA330" i="3"/>
  <c r="N330" i="3"/>
  <c r="M330" i="3"/>
  <c r="K330" i="3"/>
  <c r="J330" i="3"/>
  <c r="I330" i="3"/>
  <c r="AT329" i="3" a="1"/>
  <c r="AT329" i="3" s="1"/>
  <c r="AS329" i="3"/>
  <c r="AF329" i="3"/>
  <c r="AE329" i="3"/>
  <c r="AC329" i="3"/>
  <c r="AB329" i="3"/>
  <c r="AA329" i="3"/>
  <c r="N329" i="3"/>
  <c r="M329" i="3"/>
  <c r="K329" i="3"/>
  <c r="J329" i="3"/>
  <c r="I329" i="3"/>
  <c r="AS328" i="3"/>
  <c r="AF328" i="3"/>
  <c r="AE328" i="3"/>
  <c r="AC328" i="3"/>
  <c r="AB328" i="3"/>
  <c r="AA328" i="3"/>
  <c r="N328" i="3"/>
  <c r="M328" i="3"/>
  <c r="K328" i="3"/>
  <c r="J328" i="3"/>
  <c r="I328" i="3"/>
  <c r="AS327" i="3"/>
  <c r="AF327" i="3"/>
  <c r="AE327" i="3"/>
  <c r="AC327" i="3"/>
  <c r="AB327" i="3"/>
  <c r="AA327" i="3"/>
  <c r="N327" i="3"/>
  <c r="M327" i="3"/>
  <c r="K327" i="3"/>
  <c r="J327" i="3"/>
  <c r="I327" i="3"/>
  <c r="AS326" i="3"/>
  <c r="AF326" i="3"/>
  <c r="AE326" i="3"/>
  <c r="AC326" i="3"/>
  <c r="AB326" i="3"/>
  <c r="AA326" i="3"/>
  <c r="N326" i="3"/>
  <c r="M326" i="3"/>
  <c r="K326" i="3"/>
  <c r="J326" i="3"/>
  <c r="I326" i="3"/>
  <c r="AS325" i="3"/>
  <c r="AF325" i="3"/>
  <c r="AE325" i="3"/>
  <c r="AC325" i="3"/>
  <c r="AB325" i="3"/>
  <c r="AA325" i="3"/>
  <c r="N325" i="3"/>
  <c r="M325" i="3"/>
  <c r="K325" i="3"/>
  <c r="J325" i="3"/>
  <c r="I325" i="3"/>
  <c r="AS324" i="3"/>
  <c r="AF324" i="3"/>
  <c r="AE324" i="3"/>
  <c r="AC324" i="3"/>
  <c r="AB324" i="3"/>
  <c r="AA324" i="3"/>
  <c r="N324" i="3"/>
  <c r="M324" i="3"/>
  <c r="K324" i="3"/>
  <c r="J324" i="3"/>
  <c r="I324" i="3"/>
  <c r="AT323" i="3" a="1"/>
  <c r="AT323" i="3"/>
  <c r="AS323" i="3"/>
  <c r="AF323" i="3"/>
  <c r="AE323" i="3"/>
  <c r="AC323" i="3"/>
  <c r="AB323" i="3"/>
  <c r="AA323" i="3"/>
  <c r="N323" i="3"/>
  <c r="M323" i="3"/>
  <c r="K323" i="3"/>
  <c r="K344" i="3" s="1"/>
  <c r="J323" i="3"/>
  <c r="I323" i="3"/>
  <c r="AS322" i="3"/>
  <c r="AF322" i="3"/>
  <c r="AE322" i="3"/>
  <c r="AC322" i="3"/>
  <c r="AB322" i="3"/>
  <c r="AA322" i="3"/>
  <c r="N322" i="3"/>
  <c r="M322" i="3"/>
  <c r="K322" i="3"/>
  <c r="J322" i="3"/>
  <c r="I322" i="3"/>
  <c r="AS321" i="3"/>
  <c r="AF321" i="3"/>
  <c r="AE321" i="3"/>
  <c r="AC321" i="3"/>
  <c r="AB321" i="3"/>
  <c r="AA321" i="3"/>
  <c r="N321" i="3"/>
  <c r="M321" i="3"/>
  <c r="K321" i="3"/>
  <c r="J321" i="3"/>
  <c r="I321" i="3"/>
  <c r="AS320" i="3"/>
  <c r="AF320" i="3"/>
  <c r="AE320" i="3"/>
  <c r="AC320" i="3"/>
  <c r="AB320" i="3"/>
  <c r="AA320" i="3"/>
  <c r="N320" i="3"/>
  <c r="M320" i="3"/>
  <c r="K320" i="3"/>
  <c r="J320" i="3"/>
  <c r="I320" i="3"/>
  <c r="AS319" i="3"/>
  <c r="AF319" i="3"/>
  <c r="AE319" i="3"/>
  <c r="AC319" i="3"/>
  <c r="AB319" i="3"/>
  <c r="AA319" i="3"/>
  <c r="N319" i="3"/>
  <c r="M319" i="3"/>
  <c r="K319" i="3"/>
  <c r="J319" i="3"/>
  <c r="I319" i="3"/>
  <c r="AS318" i="3"/>
  <c r="AF318" i="3"/>
  <c r="AE318" i="3"/>
  <c r="AC318" i="3"/>
  <c r="AB318" i="3"/>
  <c r="AA318" i="3"/>
  <c r="N318" i="3"/>
  <c r="M318" i="3"/>
  <c r="K318" i="3"/>
  <c r="J318" i="3"/>
  <c r="I318" i="3"/>
  <c r="AT317" i="3" a="1"/>
  <c r="AT317" i="3" s="1"/>
  <c r="AS317" i="3"/>
  <c r="AF317" i="3"/>
  <c r="AE317" i="3"/>
  <c r="AC317" i="3"/>
  <c r="AB317" i="3"/>
  <c r="AA317" i="3"/>
  <c r="N317" i="3"/>
  <c r="M317" i="3"/>
  <c r="K317" i="3"/>
  <c r="J317" i="3"/>
  <c r="I317" i="3"/>
  <c r="AS316" i="3"/>
  <c r="AF316" i="3"/>
  <c r="AE316" i="3"/>
  <c r="AC316" i="3"/>
  <c r="AB316" i="3"/>
  <c r="AA316" i="3"/>
  <c r="N316" i="3"/>
  <c r="M316" i="3"/>
  <c r="K316" i="3"/>
  <c r="J316" i="3"/>
  <c r="I316" i="3"/>
  <c r="AS315" i="3"/>
  <c r="AF315" i="3"/>
  <c r="AE315" i="3"/>
  <c r="AC315" i="3"/>
  <c r="AB315" i="3"/>
  <c r="AA315" i="3"/>
  <c r="N315" i="3"/>
  <c r="M315" i="3"/>
  <c r="K315" i="3"/>
  <c r="J315" i="3"/>
  <c r="I315" i="3"/>
  <c r="AS314" i="3"/>
  <c r="AF314" i="3"/>
  <c r="AE314" i="3"/>
  <c r="AC314" i="3"/>
  <c r="AB314" i="3"/>
  <c r="AA314" i="3"/>
  <c r="N314" i="3"/>
  <c r="M314" i="3"/>
  <c r="K314" i="3"/>
  <c r="J314" i="3"/>
  <c r="I314" i="3"/>
  <c r="AS313" i="3"/>
  <c r="AF313" i="3"/>
  <c r="AE313" i="3"/>
  <c r="AC313" i="3"/>
  <c r="AB313" i="3"/>
  <c r="AA313" i="3"/>
  <c r="N313" i="3"/>
  <c r="M313" i="3"/>
  <c r="K313" i="3"/>
  <c r="J313" i="3"/>
  <c r="I313" i="3"/>
  <c r="AS312" i="3"/>
  <c r="AF312" i="3"/>
  <c r="AE312" i="3"/>
  <c r="AC312" i="3"/>
  <c r="AB312" i="3"/>
  <c r="AA312" i="3"/>
  <c r="N312" i="3"/>
  <c r="M312" i="3"/>
  <c r="K312" i="3"/>
  <c r="J312" i="3"/>
  <c r="I312" i="3"/>
  <c r="AT311" i="3" a="1"/>
  <c r="AT311" i="3"/>
  <c r="AS311" i="3"/>
  <c r="AF311" i="3"/>
  <c r="AE311" i="3"/>
  <c r="AC311" i="3"/>
  <c r="AB311" i="3"/>
  <c r="AA311" i="3"/>
  <c r="N311" i="3"/>
  <c r="M311" i="3"/>
  <c r="K311" i="3"/>
  <c r="J311" i="3"/>
  <c r="I311" i="3"/>
  <c r="AS310" i="3"/>
  <c r="AF310" i="3"/>
  <c r="AE310" i="3"/>
  <c r="AC310" i="3"/>
  <c r="AB310" i="3"/>
  <c r="AA310" i="3"/>
  <c r="N310" i="3"/>
  <c r="M310" i="3"/>
  <c r="K310" i="3"/>
  <c r="J310" i="3"/>
  <c r="I310" i="3"/>
  <c r="AS309" i="3"/>
  <c r="AF309" i="3"/>
  <c r="AE309" i="3"/>
  <c r="AC309" i="3"/>
  <c r="AB309" i="3"/>
  <c r="AA309" i="3"/>
  <c r="N309" i="3"/>
  <c r="M309" i="3"/>
  <c r="K309" i="3"/>
  <c r="J309" i="3"/>
  <c r="I309" i="3"/>
  <c r="AS308" i="3"/>
  <c r="AF308" i="3"/>
  <c r="AE308" i="3"/>
  <c r="AC308" i="3"/>
  <c r="AB308" i="3"/>
  <c r="AA308" i="3"/>
  <c r="N308" i="3"/>
  <c r="M308" i="3"/>
  <c r="K308" i="3"/>
  <c r="J308" i="3"/>
  <c r="I308" i="3"/>
  <c r="AS307" i="3"/>
  <c r="AF307" i="3"/>
  <c r="AE307" i="3"/>
  <c r="AC307" i="3"/>
  <c r="AB307" i="3"/>
  <c r="AA307" i="3"/>
  <c r="N307" i="3"/>
  <c r="M307" i="3"/>
  <c r="K307" i="3"/>
  <c r="J307" i="3"/>
  <c r="I307" i="3"/>
  <c r="AS306" i="3"/>
  <c r="AF306" i="3"/>
  <c r="AE306" i="3"/>
  <c r="AC306" i="3"/>
  <c r="AB306" i="3"/>
  <c r="AA306" i="3"/>
  <c r="N306" i="3"/>
  <c r="M306" i="3"/>
  <c r="K306" i="3"/>
  <c r="J306" i="3"/>
  <c r="I306" i="3"/>
  <c r="AT305" i="3" a="1"/>
  <c r="AT305" i="3"/>
  <c r="AS305" i="3"/>
  <c r="AF305" i="3"/>
  <c r="AE305" i="3"/>
  <c r="AC305" i="3"/>
  <c r="AB305" i="3"/>
  <c r="AA305" i="3"/>
  <c r="N305" i="3"/>
  <c r="M305" i="3"/>
  <c r="K305" i="3"/>
  <c r="J305" i="3"/>
  <c r="I305" i="3"/>
  <c r="AS304" i="3"/>
  <c r="AF304" i="3"/>
  <c r="AE304" i="3"/>
  <c r="AC304" i="3"/>
  <c r="AB304" i="3"/>
  <c r="AA304" i="3"/>
  <c r="N304" i="3"/>
  <c r="M304" i="3"/>
  <c r="K304" i="3"/>
  <c r="J304" i="3"/>
  <c r="I304" i="3"/>
  <c r="AS303" i="3"/>
  <c r="AF303" i="3"/>
  <c r="AE303" i="3"/>
  <c r="AC303" i="3"/>
  <c r="AB303" i="3"/>
  <c r="AA303" i="3"/>
  <c r="N303" i="3"/>
  <c r="M303" i="3"/>
  <c r="K303" i="3"/>
  <c r="J303" i="3"/>
  <c r="I303" i="3"/>
  <c r="AS302" i="3"/>
  <c r="AF302" i="3"/>
  <c r="AE302" i="3"/>
  <c r="AC302" i="3"/>
  <c r="AB302" i="3"/>
  <c r="AA302" i="3"/>
  <c r="N302" i="3"/>
  <c r="M302" i="3"/>
  <c r="K302" i="3"/>
  <c r="J302" i="3"/>
  <c r="I302" i="3"/>
  <c r="AS301" i="3"/>
  <c r="AF301" i="3"/>
  <c r="AE301" i="3"/>
  <c r="AC301" i="3"/>
  <c r="AC344" i="3" s="1"/>
  <c r="AB301" i="3"/>
  <c r="AA301" i="3"/>
  <c r="N301" i="3"/>
  <c r="M301" i="3"/>
  <c r="K301" i="3"/>
  <c r="J301" i="3"/>
  <c r="I301" i="3"/>
  <c r="AS300" i="3"/>
  <c r="AF300" i="3"/>
  <c r="AE300" i="3"/>
  <c r="AC300" i="3"/>
  <c r="AB300" i="3"/>
  <c r="AA300" i="3"/>
  <c r="N300" i="3"/>
  <c r="M300" i="3"/>
  <c r="K300" i="3"/>
  <c r="J300" i="3"/>
  <c r="I300" i="3"/>
  <c r="AT299" i="3" a="1"/>
  <c r="AT299" i="3"/>
  <c r="AS299" i="3"/>
  <c r="AF299" i="3"/>
  <c r="AE299" i="3"/>
  <c r="AE344" i="3" s="1"/>
  <c r="AC299" i="3"/>
  <c r="AB299" i="3"/>
  <c r="AB344" i="3" s="1"/>
  <c r="AA299" i="3"/>
  <c r="N299" i="3"/>
  <c r="M299" i="3"/>
  <c r="M344" i="3" s="1"/>
  <c r="K299" i="3"/>
  <c r="J299" i="3"/>
  <c r="J344" i="3" s="1"/>
  <c r="I299" i="3"/>
  <c r="AS298" i="3"/>
  <c r="AF298" i="3"/>
  <c r="AE298" i="3"/>
  <c r="AD298" i="3"/>
  <c r="AC298" i="3"/>
  <c r="AB298" i="3"/>
  <c r="AA298" i="3"/>
  <c r="N298" i="3"/>
  <c r="M298" i="3"/>
  <c r="L298" i="3"/>
  <c r="K298" i="3"/>
  <c r="J298" i="3"/>
  <c r="I298" i="3"/>
  <c r="AS297" i="3"/>
  <c r="AF297" i="3"/>
  <c r="AE297" i="3"/>
  <c r="AD297" i="3"/>
  <c r="AC297" i="3"/>
  <c r="AB297" i="3"/>
  <c r="AA297" i="3"/>
  <c r="N297" i="3"/>
  <c r="M297" i="3"/>
  <c r="L297" i="3"/>
  <c r="K297" i="3"/>
  <c r="J297" i="3"/>
  <c r="I297" i="3"/>
  <c r="AS296" i="3"/>
  <c r="AF296" i="3"/>
  <c r="AE296" i="3"/>
  <c r="AD296" i="3"/>
  <c r="AD343" i="3" s="1"/>
  <c r="AC296" i="3"/>
  <c r="AB296" i="3"/>
  <c r="AA296" i="3"/>
  <c r="N296" i="3"/>
  <c r="M296" i="3"/>
  <c r="L296" i="3"/>
  <c r="K296" i="3"/>
  <c r="J296" i="3"/>
  <c r="I296" i="3"/>
  <c r="AS295" i="3"/>
  <c r="AF295" i="3"/>
  <c r="AE295" i="3"/>
  <c r="AD295" i="3"/>
  <c r="AC295" i="3"/>
  <c r="AB295" i="3"/>
  <c r="AA295" i="3"/>
  <c r="N295" i="3"/>
  <c r="M295" i="3"/>
  <c r="L295" i="3"/>
  <c r="K295" i="3"/>
  <c r="J295" i="3"/>
  <c r="I295" i="3"/>
  <c r="AS294" i="3"/>
  <c r="AF294" i="3"/>
  <c r="AE294" i="3"/>
  <c r="AD294" i="3"/>
  <c r="AC294" i="3"/>
  <c r="AB294" i="3"/>
  <c r="AA294" i="3"/>
  <c r="N294" i="3"/>
  <c r="M294" i="3"/>
  <c r="L294" i="3"/>
  <c r="K294" i="3"/>
  <c r="J294" i="3"/>
  <c r="I294" i="3"/>
  <c r="AT293" i="3" a="1"/>
  <c r="AT293" i="3"/>
  <c r="AS293" i="3"/>
  <c r="AF293" i="3"/>
  <c r="AE293" i="3"/>
  <c r="AD293" i="3"/>
  <c r="AC293" i="3"/>
  <c r="AB293" i="3"/>
  <c r="AA293" i="3"/>
  <c r="N293" i="3"/>
  <c r="M293" i="3"/>
  <c r="L293" i="3"/>
  <c r="K293" i="3"/>
  <c r="J293" i="3"/>
  <c r="I293" i="3"/>
  <c r="AS292" i="3"/>
  <c r="AF292" i="3"/>
  <c r="AE292" i="3"/>
  <c r="AD292" i="3"/>
  <c r="AC292" i="3"/>
  <c r="AB292" i="3"/>
  <c r="AA292" i="3"/>
  <c r="N292" i="3"/>
  <c r="M292" i="3"/>
  <c r="L292" i="3"/>
  <c r="K292" i="3"/>
  <c r="J292" i="3"/>
  <c r="I292" i="3"/>
  <c r="AS291" i="3"/>
  <c r="AF291" i="3"/>
  <c r="AE291" i="3"/>
  <c r="AD291" i="3"/>
  <c r="AC291" i="3"/>
  <c r="AB291" i="3"/>
  <c r="AA291" i="3"/>
  <c r="N291" i="3"/>
  <c r="M291" i="3"/>
  <c r="L291" i="3"/>
  <c r="K291" i="3"/>
  <c r="J291" i="3"/>
  <c r="I291" i="3"/>
  <c r="AS290" i="3"/>
  <c r="AF290" i="3"/>
  <c r="AE290" i="3"/>
  <c r="AD290" i="3"/>
  <c r="AC290" i="3"/>
  <c r="AB290" i="3"/>
  <c r="AA290" i="3"/>
  <c r="N290" i="3"/>
  <c r="M290" i="3"/>
  <c r="L290" i="3"/>
  <c r="K290" i="3"/>
  <c r="J290" i="3"/>
  <c r="I290" i="3"/>
  <c r="AS289" i="3"/>
  <c r="AF289" i="3"/>
  <c r="AE289" i="3"/>
  <c r="AD289" i="3"/>
  <c r="AC289" i="3"/>
  <c r="AB289" i="3"/>
  <c r="AA289" i="3"/>
  <c r="N289" i="3"/>
  <c r="M289" i="3"/>
  <c r="L289" i="3"/>
  <c r="K289" i="3"/>
  <c r="J289" i="3"/>
  <c r="I289" i="3"/>
  <c r="AS288" i="3"/>
  <c r="AF288" i="3"/>
  <c r="AE288" i="3"/>
  <c r="AD288" i="3"/>
  <c r="AC288" i="3"/>
  <c r="AB288" i="3"/>
  <c r="AA288" i="3"/>
  <c r="N288" i="3"/>
  <c r="M288" i="3"/>
  <c r="L288" i="3"/>
  <c r="K288" i="3"/>
  <c r="J288" i="3"/>
  <c r="I288" i="3"/>
  <c r="AT287" i="3" a="1"/>
  <c r="AT287" i="3" s="1"/>
  <c r="AS287" i="3"/>
  <c r="AF287" i="3"/>
  <c r="AE287" i="3"/>
  <c r="AD287" i="3"/>
  <c r="AC287" i="3"/>
  <c r="AB287" i="3"/>
  <c r="AA287" i="3"/>
  <c r="N287" i="3"/>
  <c r="M287" i="3"/>
  <c r="L287" i="3"/>
  <c r="K287" i="3"/>
  <c r="J287" i="3"/>
  <c r="I287" i="3"/>
  <c r="AS286" i="3"/>
  <c r="AF286" i="3"/>
  <c r="AE286" i="3"/>
  <c r="AD286" i="3"/>
  <c r="AC286" i="3"/>
  <c r="AB286" i="3"/>
  <c r="AA286" i="3"/>
  <c r="N286" i="3"/>
  <c r="M286" i="3"/>
  <c r="L286" i="3"/>
  <c r="K286" i="3"/>
  <c r="J286" i="3"/>
  <c r="I286" i="3"/>
  <c r="AS285" i="3"/>
  <c r="AF285" i="3"/>
  <c r="AE285" i="3"/>
  <c r="AD285" i="3"/>
  <c r="AC285" i="3"/>
  <c r="AB285" i="3"/>
  <c r="AA285" i="3"/>
  <c r="N285" i="3"/>
  <c r="M285" i="3"/>
  <c r="L285" i="3"/>
  <c r="K285" i="3"/>
  <c r="J285" i="3"/>
  <c r="I285" i="3"/>
  <c r="AS284" i="3"/>
  <c r="AF284" i="3"/>
  <c r="AE284" i="3"/>
  <c r="AD284" i="3"/>
  <c r="AC284" i="3"/>
  <c r="AB284" i="3"/>
  <c r="AA284" i="3"/>
  <c r="N284" i="3"/>
  <c r="M284" i="3"/>
  <c r="L284" i="3"/>
  <c r="K284" i="3"/>
  <c r="J284" i="3"/>
  <c r="I284" i="3"/>
  <c r="AS283" i="3"/>
  <c r="AF283" i="3"/>
  <c r="AE283" i="3"/>
  <c r="AD283" i="3"/>
  <c r="AC283" i="3"/>
  <c r="AB283" i="3"/>
  <c r="AA283" i="3"/>
  <c r="N283" i="3"/>
  <c r="M283" i="3"/>
  <c r="L283" i="3"/>
  <c r="K283" i="3"/>
  <c r="J283" i="3"/>
  <c r="I283" i="3"/>
  <c r="AS282" i="3"/>
  <c r="AF282" i="3"/>
  <c r="AE282" i="3"/>
  <c r="AE345" i="3" s="1"/>
  <c r="AD282" i="3"/>
  <c r="AC282" i="3"/>
  <c r="AB282" i="3"/>
  <c r="AB343" i="3" s="1"/>
  <c r="AA282" i="3"/>
  <c r="N282" i="3"/>
  <c r="M282" i="3"/>
  <c r="M343" i="3" s="1"/>
  <c r="L282" i="3"/>
  <c r="L343" i="3" s="1"/>
  <c r="K282" i="3"/>
  <c r="J282" i="3"/>
  <c r="I282" i="3"/>
  <c r="AT281" i="3" a="1"/>
  <c r="AT281" i="3" s="1"/>
  <c r="AS281" i="3"/>
  <c r="AF281" i="3"/>
  <c r="AE281" i="3"/>
  <c r="AE343" i="3" s="1"/>
  <c r="AD281" i="3"/>
  <c r="AC281" i="3"/>
  <c r="AC343" i="3" s="1"/>
  <c r="AB281" i="3"/>
  <c r="AA281" i="3"/>
  <c r="N281" i="3"/>
  <c r="M281" i="3"/>
  <c r="M345" i="3" s="1"/>
  <c r="L281" i="3"/>
  <c r="K281" i="3"/>
  <c r="K343" i="3" s="1"/>
  <c r="J281" i="3"/>
  <c r="J343" i="3" s="1"/>
  <c r="I281" i="3"/>
  <c r="AS280" i="3"/>
  <c r="AF280" i="3"/>
  <c r="AD280" i="3"/>
  <c r="AC280" i="3"/>
  <c r="AB280" i="3"/>
  <c r="AA280" i="3"/>
  <c r="N280" i="3"/>
  <c r="L280" i="3"/>
  <c r="K280" i="3"/>
  <c r="J280" i="3"/>
  <c r="I280" i="3"/>
  <c r="AS279" i="3"/>
  <c r="AF279" i="3"/>
  <c r="AD279" i="3"/>
  <c r="AC279" i="3"/>
  <c r="AB279" i="3"/>
  <c r="AA279" i="3"/>
  <c r="N279" i="3"/>
  <c r="L279" i="3"/>
  <c r="K279" i="3"/>
  <c r="J279" i="3"/>
  <c r="I279" i="3"/>
  <c r="AS278" i="3"/>
  <c r="AF278" i="3"/>
  <c r="AD278" i="3"/>
  <c r="AC278" i="3"/>
  <c r="AB278" i="3"/>
  <c r="AA278" i="3"/>
  <c r="N278" i="3"/>
  <c r="L278" i="3"/>
  <c r="K278" i="3"/>
  <c r="J278" i="3"/>
  <c r="I278" i="3"/>
  <c r="AS277" i="3"/>
  <c r="AF277" i="3"/>
  <c r="AD277" i="3"/>
  <c r="AC277" i="3"/>
  <c r="AB277" i="3"/>
  <c r="AA277" i="3"/>
  <c r="N277" i="3"/>
  <c r="L277" i="3"/>
  <c r="K277" i="3"/>
  <c r="J277" i="3"/>
  <c r="I277" i="3"/>
  <c r="AS276" i="3"/>
  <c r="AF276" i="3"/>
  <c r="AD276" i="3"/>
  <c r="AC276" i="3"/>
  <c r="AB276" i="3"/>
  <c r="AA276" i="3"/>
  <c r="N276" i="3"/>
  <c r="L276" i="3"/>
  <c r="K276" i="3"/>
  <c r="J276" i="3"/>
  <c r="I276" i="3"/>
  <c r="AT275" i="3" a="1"/>
  <c r="AT275" i="3"/>
  <c r="AS275" i="3"/>
  <c r="AF275" i="3"/>
  <c r="AD275" i="3"/>
  <c r="AC275" i="3"/>
  <c r="AB275" i="3"/>
  <c r="AA275" i="3"/>
  <c r="N275" i="3"/>
  <c r="L275" i="3"/>
  <c r="K275" i="3"/>
  <c r="J275" i="3"/>
  <c r="I275" i="3"/>
  <c r="AS274" i="3"/>
  <c r="AF274" i="3"/>
  <c r="AD274" i="3"/>
  <c r="AC274" i="3"/>
  <c r="AB274" i="3"/>
  <c r="AA274" i="3"/>
  <c r="N274" i="3"/>
  <c r="L274" i="3"/>
  <c r="K274" i="3"/>
  <c r="J274" i="3"/>
  <c r="I274" i="3"/>
  <c r="AS273" i="3"/>
  <c r="AF273" i="3"/>
  <c r="AD273" i="3"/>
  <c r="AC273" i="3"/>
  <c r="AB273" i="3"/>
  <c r="AA273" i="3"/>
  <c r="N273" i="3"/>
  <c r="L273" i="3"/>
  <c r="K273" i="3"/>
  <c r="J273" i="3"/>
  <c r="I273" i="3"/>
  <c r="AS272" i="3"/>
  <c r="AF272" i="3"/>
  <c r="AD272" i="3"/>
  <c r="AC272" i="3"/>
  <c r="AB272" i="3"/>
  <c r="AA272" i="3"/>
  <c r="N272" i="3"/>
  <c r="L272" i="3"/>
  <c r="K272" i="3"/>
  <c r="J272" i="3"/>
  <c r="I272" i="3"/>
  <c r="AS271" i="3"/>
  <c r="AF271" i="3"/>
  <c r="AD271" i="3"/>
  <c r="AC271" i="3"/>
  <c r="AB271" i="3"/>
  <c r="AA271" i="3"/>
  <c r="N271" i="3"/>
  <c r="L271" i="3"/>
  <c r="K271" i="3"/>
  <c r="J271" i="3"/>
  <c r="I271" i="3"/>
  <c r="AS270" i="3"/>
  <c r="AF270" i="3"/>
  <c r="AD270" i="3"/>
  <c r="AC270" i="3"/>
  <c r="AB270" i="3"/>
  <c r="AA270" i="3"/>
  <c r="N270" i="3"/>
  <c r="L270" i="3"/>
  <c r="K270" i="3"/>
  <c r="J270" i="3"/>
  <c r="I270" i="3"/>
  <c r="AT269" i="3" a="1"/>
  <c r="AT269" i="3"/>
  <c r="AS269" i="3"/>
  <c r="AF269" i="3"/>
  <c r="AD269" i="3"/>
  <c r="AC269" i="3"/>
  <c r="AB269" i="3"/>
  <c r="AA269" i="3"/>
  <c r="N269" i="3"/>
  <c r="L269" i="3"/>
  <c r="K269" i="3"/>
  <c r="J269" i="3"/>
  <c r="I269" i="3"/>
  <c r="AS268" i="3"/>
  <c r="AF268" i="3"/>
  <c r="AD268" i="3"/>
  <c r="AC268" i="3"/>
  <c r="AB268" i="3"/>
  <c r="AA268" i="3"/>
  <c r="N268" i="3"/>
  <c r="L268" i="3"/>
  <c r="K268" i="3"/>
  <c r="J268" i="3"/>
  <c r="I268" i="3"/>
  <c r="AS267" i="3"/>
  <c r="AF267" i="3"/>
  <c r="AD267" i="3"/>
  <c r="AC267" i="3"/>
  <c r="AB267" i="3"/>
  <c r="AA267" i="3"/>
  <c r="N267" i="3"/>
  <c r="L267" i="3"/>
  <c r="K267" i="3"/>
  <c r="J267" i="3"/>
  <c r="I267" i="3"/>
  <c r="AS266" i="3"/>
  <c r="AF266" i="3"/>
  <c r="AD266" i="3"/>
  <c r="AC266" i="3"/>
  <c r="AB266" i="3"/>
  <c r="AA266" i="3"/>
  <c r="N266" i="3"/>
  <c r="L266" i="3"/>
  <c r="K266" i="3"/>
  <c r="J266" i="3"/>
  <c r="I266" i="3"/>
  <c r="AS265" i="3"/>
  <c r="AF265" i="3"/>
  <c r="AD265" i="3"/>
  <c r="AC265" i="3"/>
  <c r="AB265" i="3"/>
  <c r="AA265" i="3"/>
  <c r="N265" i="3"/>
  <c r="L265" i="3"/>
  <c r="K265" i="3"/>
  <c r="J265" i="3"/>
  <c r="I265" i="3"/>
  <c r="AS264" i="3"/>
  <c r="AF264" i="3"/>
  <c r="AD264" i="3"/>
  <c r="AC264" i="3"/>
  <c r="AB264" i="3"/>
  <c r="AA264" i="3"/>
  <c r="N264" i="3"/>
  <c r="L264" i="3"/>
  <c r="K264" i="3"/>
  <c r="J264" i="3"/>
  <c r="I264" i="3"/>
  <c r="AT263" i="3" a="1"/>
  <c r="AT263" i="3" s="1"/>
  <c r="AS263" i="3"/>
  <c r="AF263" i="3"/>
  <c r="AD263" i="3"/>
  <c r="AC263" i="3"/>
  <c r="AB263" i="3"/>
  <c r="AA263" i="3"/>
  <c r="N263" i="3"/>
  <c r="L263" i="3"/>
  <c r="K263" i="3"/>
  <c r="J263" i="3"/>
  <c r="I263" i="3"/>
  <c r="AS262" i="3"/>
  <c r="AF262" i="3"/>
  <c r="AD262" i="3"/>
  <c r="AC262" i="3"/>
  <c r="AB262" i="3"/>
  <c r="AA262" i="3"/>
  <c r="N262" i="3"/>
  <c r="L262" i="3"/>
  <c r="K262" i="3"/>
  <c r="J262" i="3"/>
  <c r="I262" i="3"/>
  <c r="AS261" i="3"/>
  <c r="AF261" i="3"/>
  <c r="AD261" i="3"/>
  <c r="AC261" i="3"/>
  <c r="AB261" i="3"/>
  <c r="AA261" i="3"/>
  <c r="N261" i="3"/>
  <c r="L261" i="3"/>
  <c r="K261" i="3"/>
  <c r="J261" i="3"/>
  <c r="I261" i="3"/>
  <c r="AS260" i="3"/>
  <c r="AF260" i="3"/>
  <c r="AD260" i="3"/>
  <c r="AC260" i="3"/>
  <c r="AB260" i="3"/>
  <c r="AA260" i="3"/>
  <c r="N260" i="3"/>
  <c r="L260" i="3"/>
  <c r="K260" i="3"/>
  <c r="J260" i="3"/>
  <c r="I260" i="3"/>
  <c r="AS259" i="3"/>
  <c r="AF259" i="3"/>
  <c r="AD259" i="3"/>
  <c r="AC259" i="3"/>
  <c r="AB259" i="3"/>
  <c r="AA259" i="3"/>
  <c r="N259" i="3"/>
  <c r="L259" i="3"/>
  <c r="K259" i="3"/>
  <c r="J259" i="3"/>
  <c r="I259" i="3"/>
  <c r="AS258" i="3"/>
  <c r="AF258" i="3"/>
  <c r="AD258" i="3"/>
  <c r="AC258" i="3"/>
  <c r="AB258" i="3"/>
  <c r="AA258" i="3"/>
  <c r="N258" i="3"/>
  <c r="L258" i="3"/>
  <c r="K258" i="3"/>
  <c r="J258" i="3"/>
  <c r="I258" i="3"/>
  <c r="AT257" i="3" a="1"/>
  <c r="AT257" i="3"/>
  <c r="AS257" i="3"/>
  <c r="AF257" i="3"/>
  <c r="AD257" i="3"/>
  <c r="AC257" i="3"/>
  <c r="AB257" i="3"/>
  <c r="AA257" i="3"/>
  <c r="N257" i="3"/>
  <c r="L257" i="3"/>
  <c r="K257" i="3"/>
  <c r="J257" i="3"/>
  <c r="I257" i="3"/>
  <c r="AS256" i="3"/>
  <c r="AF256" i="3"/>
  <c r="AD256" i="3"/>
  <c r="AC256" i="3"/>
  <c r="AB256" i="3"/>
  <c r="AA256" i="3"/>
  <c r="N256" i="3"/>
  <c r="L256" i="3"/>
  <c r="K256" i="3"/>
  <c r="J256" i="3"/>
  <c r="I256" i="3"/>
  <c r="AS255" i="3"/>
  <c r="AF255" i="3"/>
  <c r="AD255" i="3"/>
  <c r="AC255" i="3"/>
  <c r="AB255" i="3"/>
  <c r="AA255" i="3"/>
  <c r="N255" i="3"/>
  <c r="L255" i="3"/>
  <c r="K255" i="3"/>
  <c r="J255" i="3"/>
  <c r="I255" i="3"/>
  <c r="AS254" i="3"/>
  <c r="AF254" i="3"/>
  <c r="AD254" i="3"/>
  <c r="AC254" i="3"/>
  <c r="AB254" i="3"/>
  <c r="AA254" i="3"/>
  <c r="N254" i="3"/>
  <c r="L254" i="3"/>
  <c r="K254" i="3"/>
  <c r="J254" i="3"/>
  <c r="I254" i="3"/>
  <c r="AS253" i="3"/>
  <c r="AF253" i="3"/>
  <c r="AD253" i="3"/>
  <c r="AC253" i="3"/>
  <c r="AB253" i="3"/>
  <c r="AA253" i="3"/>
  <c r="N253" i="3"/>
  <c r="L253" i="3"/>
  <c r="K253" i="3"/>
  <c r="J253" i="3"/>
  <c r="I253" i="3"/>
  <c r="AS252" i="3"/>
  <c r="AF252" i="3"/>
  <c r="AD252" i="3"/>
  <c r="AC252" i="3"/>
  <c r="AB252" i="3"/>
  <c r="AA252" i="3"/>
  <c r="N252" i="3"/>
  <c r="L252" i="3"/>
  <c r="K252" i="3"/>
  <c r="J252" i="3"/>
  <c r="I252" i="3"/>
  <c r="AT251" i="3" a="1"/>
  <c r="AT251" i="3" s="1"/>
  <c r="AS251" i="3"/>
  <c r="AF251" i="3"/>
  <c r="AD251" i="3"/>
  <c r="AC251" i="3"/>
  <c r="AB251" i="3"/>
  <c r="AA251" i="3"/>
  <c r="N251" i="3"/>
  <c r="L251" i="3"/>
  <c r="K251" i="3"/>
  <c r="J251" i="3"/>
  <c r="I251" i="3"/>
  <c r="AS250" i="3"/>
  <c r="AF250" i="3"/>
  <c r="AD250" i="3"/>
  <c r="AC250" i="3"/>
  <c r="AB250" i="3"/>
  <c r="AA250" i="3"/>
  <c r="N250" i="3"/>
  <c r="L250" i="3"/>
  <c r="K250" i="3"/>
  <c r="J250" i="3"/>
  <c r="I250" i="3"/>
  <c r="AS249" i="3"/>
  <c r="AF249" i="3"/>
  <c r="AD249" i="3"/>
  <c r="AC249" i="3"/>
  <c r="AB249" i="3"/>
  <c r="AA249" i="3"/>
  <c r="N249" i="3"/>
  <c r="L249" i="3"/>
  <c r="K249" i="3"/>
  <c r="J249" i="3"/>
  <c r="I249" i="3"/>
  <c r="AS248" i="3"/>
  <c r="AF248" i="3"/>
  <c r="AD248" i="3"/>
  <c r="AC248" i="3"/>
  <c r="AB248" i="3"/>
  <c r="AA248" i="3"/>
  <c r="N248" i="3"/>
  <c r="L248" i="3"/>
  <c r="K248" i="3"/>
  <c r="J248" i="3"/>
  <c r="I248" i="3"/>
  <c r="AS247" i="3"/>
  <c r="AF247" i="3"/>
  <c r="AD247" i="3"/>
  <c r="AC247" i="3"/>
  <c r="AB247" i="3"/>
  <c r="AA247" i="3"/>
  <c r="N247" i="3"/>
  <c r="L247" i="3"/>
  <c r="K247" i="3"/>
  <c r="J247" i="3"/>
  <c r="I247" i="3"/>
  <c r="AS246" i="3"/>
  <c r="AF246" i="3"/>
  <c r="AD246" i="3"/>
  <c r="AC246" i="3"/>
  <c r="AB246" i="3"/>
  <c r="AA246" i="3"/>
  <c r="N246" i="3"/>
  <c r="L246" i="3"/>
  <c r="K246" i="3"/>
  <c r="J246" i="3"/>
  <c r="I246" i="3"/>
  <c r="AT245" i="3" a="1"/>
  <c r="AT245" i="3"/>
  <c r="AS245" i="3"/>
  <c r="AF245" i="3"/>
  <c r="AD245" i="3"/>
  <c r="AC245" i="3"/>
  <c r="AB245" i="3"/>
  <c r="AA245" i="3"/>
  <c r="N245" i="3"/>
  <c r="L245" i="3"/>
  <c r="K245" i="3"/>
  <c r="J245" i="3"/>
  <c r="I245" i="3"/>
  <c r="AS244" i="3"/>
  <c r="AF244" i="3"/>
  <c r="AD244" i="3"/>
  <c r="AC244" i="3"/>
  <c r="AB244" i="3"/>
  <c r="AA244" i="3"/>
  <c r="N244" i="3"/>
  <c r="L244" i="3"/>
  <c r="K244" i="3"/>
  <c r="J244" i="3"/>
  <c r="I244" i="3"/>
  <c r="AS243" i="3"/>
  <c r="AF243" i="3"/>
  <c r="AD243" i="3"/>
  <c r="AC243" i="3"/>
  <c r="AB243" i="3"/>
  <c r="AA243" i="3"/>
  <c r="N243" i="3"/>
  <c r="L243" i="3"/>
  <c r="K243" i="3"/>
  <c r="J243" i="3"/>
  <c r="I243" i="3"/>
  <c r="AS242" i="3"/>
  <c r="AF242" i="3"/>
  <c r="AD242" i="3"/>
  <c r="AC242" i="3"/>
  <c r="AB242" i="3"/>
  <c r="AA242" i="3"/>
  <c r="N242" i="3"/>
  <c r="L242" i="3"/>
  <c r="K242" i="3"/>
  <c r="J242" i="3"/>
  <c r="I242" i="3"/>
  <c r="AS241" i="3"/>
  <c r="AF241" i="3"/>
  <c r="AD241" i="3"/>
  <c r="AC241" i="3"/>
  <c r="AB241" i="3"/>
  <c r="AA241" i="3"/>
  <c r="N241" i="3"/>
  <c r="L241" i="3"/>
  <c r="K241" i="3"/>
  <c r="J241" i="3"/>
  <c r="I241" i="3"/>
  <c r="AS240" i="3"/>
  <c r="AF240" i="3"/>
  <c r="AD240" i="3"/>
  <c r="AC240" i="3"/>
  <c r="AB240" i="3"/>
  <c r="AA240" i="3"/>
  <c r="N240" i="3"/>
  <c r="L240" i="3"/>
  <c r="K240" i="3"/>
  <c r="J240" i="3"/>
  <c r="I240" i="3"/>
  <c r="AT239" i="3" a="1"/>
  <c r="AT239" i="3"/>
  <c r="AS239" i="3"/>
  <c r="AF239" i="3"/>
  <c r="AD239" i="3"/>
  <c r="AC239" i="3"/>
  <c r="AB239" i="3"/>
  <c r="AA239" i="3"/>
  <c r="N239" i="3"/>
  <c r="L239" i="3"/>
  <c r="K239" i="3"/>
  <c r="J239" i="3"/>
  <c r="I239" i="3"/>
  <c r="AS238" i="3"/>
  <c r="AF238" i="3"/>
  <c r="AD238" i="3"/>
  <c r="AC238" i="3"/>
  <c r="AB238" i="3"/>
  <c r="AA238" i="3"/>
  <c r="N238" i="3"/>
  <c r="L238" i="3"/>
  <c r="K238" i="3"/>
  <c r="J238" i="3"/>
  <c r="I238" i="3"/>
  <c r="AS237" i="3"/>
  <c r="AF237" i="3"/>
  <c r="AD237" i="3"/>
  <c r="AC237" i="3"/>
  <c r="AB237" i="3"/>
  <c r="AA237" i="3"/>
  <c r="N237" i="3"/>
  <c r="L237" i="3"/>
  <c r="K237" i="3"/>
  <c r="J237" i="3"/>
  <c r="I237" i="3"/>
  <c r="AS236" i="3"/>
  <c r="AF236" i="3"/>
  <c r="AD236" i="3"/>
  <c r="AC236" i="3"/>
  <c r="AB236" i="3"/>
  <c r="AA236" i="3"/>
  <c r="N236" i="3"/>
  <c r="L236" i="3"/>
  <c r="K236" i="3"/>
  <c r="J236" i="3"/>
  <c r="I236" i="3"/>
  <c r="AS235" i="3"/>
  <c r="AF235" i="3"/>
  <c r="AD235" i="3"/>
  <c r="AC235" i="3"/>
  <c r="AB235" i="3"/>
  <c r="AA235" i="3"/>
  <c r="N235" i="3"/>
  <c r="L235" i="3"/>
  <c r="K235" i="3"/>
  <c r="J235" i="3"/>
  <c r="I235" i="3"/>
  <c r="AS234" i="3"/>
  <c r="AF234" i="3"/>
  <c r="AD234" i="3"/>
  <c r="AC234" i="3"/>
  <c r="AB234" i="3"/>
  <c r="AA234" i="3"/>
  <c r="N234" i="3"/>
  <c r="L234" i="3"/>
  <c r="K234" i="3"/>
  <c r="J234" i="3"/>
  <c r="I234" i="3"/>
  <c r="AT233" i="3" a="1"/>
  <c r="AT233" i="3" s="1"/>
  <c r="AS233" i="3"/>
  <c r="AF233" i="3"/>
  <c r="AD233" i="3"/>
  <c r="AC233" i="3"/>
  <c r="AB233" i="3"/>
  <c r="AA233" i="3"/>
  <c r="N233" i="3"/>
  <c r="L233" i="3"/>
  <c r="K233" i="3"/>
  <c r="J233" i="3"/>
  <c r="I233" i="3"/>
  <c r="AS232" i="3"/>
  <c r="AF232" i="3"/>
  <c r="AD232" i="3"/>
  <c r="AC232" i="3"/>
  <c r="AB232" i="3"/>
  <c r="AA232" i="3"/>
  <c r="N232" i="3"/>
  <c r="L232" i="3"/>
  <c r="K232" i="3"/>
  <c r="J232" i="3"/>
  <c r="I232" i="3"/>
  <c r="AS231" i="3"/>
  <c r="AF231" i="3"/>
  <c r="AD231" i="3"/>
  <c r="AC231" i="3"/>
  <c r="AB231" i="3"/>
  <c r="AA231" i="3"/>
  <c r="N231" i="3"/>
  <c r="L231" i="3"/>
  <c r="K231" i="3"/>
  <c r="J231" i="3"/>
  <c r="I231" i="3"/>
  <c r="AS230" i="3"/>
  <c r="AF230" i="3"/>
  <c r="AD230" i="3"/>
  <c r="AC230" i="3"/>
  <c r="AB230" i="3"/>
  <c r="AA230" i="3"/>
  <c r="N230" i="3"/>
  <c r="L230" i="3"/>
  <c r="K230" i="3"/>
  <c r="J230" i="3"/>
  <c r="I230" i="3"/>
  <c r="AS229" i="3"/>
  <c r="AF229" i="3"/>
  <c r="AD229" i="3"/>
  <c r="AC229" i="3"/>
  <c r="AB229" i="3"/>
  <c r="AA229" i="3"/>
  <c r="N229" i="3"/>
  <c r="L229" i="3"/>
  <c r="K229" i="3"/>
  <c r="J229" i="3"/>
  <c r="I229" i="3"/>
  <c r="AS228" i="3"/>
  <c r="AF228" i="3"/>
  <c r="AD228" i="3"/>
  <c r="AC228" i="3"/>
  <c r="AB228" i="3"/>
  <c r="AA228" i="3"/>
  <c r="N228" i="3"/>
  <c r="L228" i="3"/>
  <c r="K228" i="3"/>
  <c r="J228" i="3"/>
  <c r="I228" i="3"/>
  <c r="AT227" i="3" a="1"/>
  <c r="AT227" i="3" s="1"/>
  <c r="AS227" i="3"/>
  <c r="AF227" i="3"/>
  <c r="AD227" i="3"/>
  <c r="AC227" i="3"/>
  <c r="AB227" i="3"/>
  <c r="AA227" i="3"/>
  <c r="N227" i="3"/>
  <c r="L227" i="3"/>
  <c r="K227" i="3"/>
  <c r="J227" i="3"/>
  <c r="I227" i="3"/>
  <c r="AS226" i="3"/>
  <c r="AF226" i="3"/>
  <c r="AD226" i="3"/>
  <c r="AC226" i="3"/>
  <c r="AB226" i="3"/>
  <c r="AA226" i="3"/>
  <c r="N226" i="3"/>
  <c r="L226" i="3"/>
  <c r="K226" i="3"/>
  <c r="J226" i="3"/>
  <c r="I226" i="3"/>
  <c r="AS225" i="3"/>
  <c r="AF225" i="3"/>
  <c r="AD225" i="3"/>
  <c r="AC225" i="3"/>
  <c r="AB225" i="3"/>
  <c r="AA225" i="3"/>
  <c r="N225" i="3"/>
  <c r="L225" i="3"/>
  <c r="K225" i="3"/>
  <c r="J225" i="3"/>
  <c r="I225" i="3"/>
  <c r="AS224" i="3"/>
  <c r="AF224" i="3"/>
  <c r="AD224" i="3"/>
  <c r="AC224" i="3"/>
  <c r="AB224" i="3"/>
  <c r="AA224" i="3"/>
  <c r="N224" i="3"/>
  <c r="L224" i="3"/>
  <c r="K224" i="3"/>
  <c r="J224" i="3"/>
  <c r="I224" i="3"/>
  <c r="AS223" i="3"/>
  <c r="AF223" i="3"/>
  <c r="AD223" i="3"/>
  <c r="AC223" i="3"/>
  <c r="AB223" i="3"/>
  <c r="AA223" i="3"/>
  <c r="N223" i="3"/>
  <c r="L223" i="3"/>
  <c r="K223" i="3"/>
  <c r="J223" i="3"/>
  <c r="I223" i="3"/>
  <c r="AS222" i="3"/>
  <c r="AF222" i="3"/>
  <c r="AD222" i="3"/>
  <c r="AC222" i="3"/>
  <c r="AB222" i="3"/>
  <c r="AA222" i="3"/>
  <c r="N222" i="3"/>
  <c r="L222" i="3"/>
  <c r="K222" i="3"/>
  <c r="J222" i="3"/>
  <c r="I222" i="3"/>
  <c r="AT221" i="3" a="1"/>
  <c r="AT221" i="3"/>
  <c r="AS221" i="3"/>
  <c r="AF221" i="3"/>
  <c r="AD221" i="3"/>
  <c r="AC221" i="3"/>
  <c r="AB221" i="3"/>
  <c r="AA221" i="3"/>
  <c r="N221" i="3"/>
  <c r="L221" i="3"/>
  <c r="K221" i="3"/>
  <c r="J221" i="3"/>
  <c r="I221" i="3"/>
  <c r="AS220" i="3"/>
  <c r="AF220" i="3"/>
  <c r="AD220" i="3"/>
  <c r="AC220" i="3"/>
  <c r="AB220" i="3"/>
  <c r="AA220" i="3"/>
  <c r="N220" i="3"/>
  <c r="L220" i="3"/>
  <c r="K220" i="3"/>
  <c r="J220" i="3"/>
  <c r="I220" i="3"/>
  <c r="AS219" i="3"/>
  <c r="AF219" i="3"/>
  <c r="AD219" i="3"/>
  <c r="AC219" i="3"/>
  <c r="AB219" i="3"/>
  <c r="AA219" i="3"/>
  <c r="N219" i="3"/>
  <c r="L219" i="3"/>
  <c r="K219" i="3"/>
  <c r="J219" i="3"/>
  <c r="I219" i="3"/>
  <c r="AS218" i="3"/>
  <c r="AF218" i="3"/>
  <c r="AD218" i="3"/>
  <c r="AC218" i="3"/>
  <c r="AB218" i="3"/>
  <c r="AA218" i="3"/>
  <c r="N218" i="3"/>
  <c r="L218" i="3"/>
  <c r="K218" i="3"/>
  <c r="J218" i="3"/>
  <c r="I218" i="3"/>
  <c r="AS217" i="3"/>
  <c r="AF217" i="3"/>
  <c r="AD217" i="3"/>
  <c r="AC217" i="3"/>
  <c r="AB217" i="3"/>
  <c r="AA217" i="3"/>
  <c r="N217" i="3"/>
  <c r="L217" i="3"/>
  <c r="K217" i="3"/>
  <c r="J217" i="3"/>
  <c r="I217" i="3"/>
  <c r="AS216" i="3"/>
  <c r="AF216" i="3"/>
  <c r="AD216" i="3"/>
  <c r="AC216" i="3"/>
  <c r="AB216" i="3"/>
  <c r="AA216" i="3"/>
  <c r="N216" i="3"/>
  <c r="L216" i="3"/>
  <c r="K216" i="3"/>
  <c r="J216" i="3"/>
  <c r="I216" i="3"/>
  <c r="AT215" i="3" a="1"/>
  <c r="AT215" i="3" s="1"/>
  <c r="AS215" i="3"/>
  <c r="AF215" i="3"/>
  <c r="AD215" i="3"/>
  <c r="AC215" i="3"/>
  <c r="AB215" i="3"/>
  <c r="AA215" i="3"/>
  <c r="N215" i="3"/>
  <c r="L215" i="3"/>
  <c r="K215" i="3"/>
  <c r="J215" i="3"/>
  <c r="I215" i="3"/>
  <c r="AS214" i="3"/>
  <c r="AF214" i="3"/>
  <c r="AD214" i="3"/>
  <c r="AC214" i="3"/>
  <c r="AB214" i="3"/>
  <c r="AA214" i="3"/>
  <c r="N214" i="3"/>
  <c r="L214" i="3"/>
  <c r="K214" i="3"/>
  <c r="J214" i="3"/>
  <c r="I214" i="3"/>
  <c r="AS213" i="3"/>
  <c r="AF213" i="3"/>
  <c r="AD213" i="3"/>
  <c r="AC213" i="3"/>
  <c r="AB213" i="3"/>
  <c r="AA213" i="3"/>
  <c r="N213" i="3"/>
  <c r="L213" i="3"/>
  <c r="K213" i="3"/>
  <c r="J213" i="3"/>
  <c r="I213" i="3"/>
  <c r="AS212" i="3"/>
  <c r="AF212" i="3"/>
  <c r="AD212" i="3"/>
  <c r="AC212" i="3"/>
  <c r="AB212" i="3"/>
  <c r="AA212" i="3"/>
  <c r="N212" i="3"/>
  <c r="L212" i="3"/>
  <c r="K212" i="3"/>
  <c r="J212" i="3"/>
  <c r="I212" i="3"/>
  <c r="AS211" i="3"/>
  <c r="AF211" i="3"/>
  <c r="AD211" i="3"/>
  <c r="AC211" i="3"/>
  <c r="AB211" i="3"/>
  <c r="AA211" i="3"/>
  <c r="N211" i="3"/>
  <c r="L211" i="3"/>
  <c r="K211" i="3"/>
  <c r="J211" i="3"/>
  <c r="I211" i="3"/>
  <c r="AS210" i="3"/>
  <c r="AF210" i="3"/>
  <c r="AD210" i="3"/>
  <c r="AC210" i="3"/>
  <c r="AB210" i="3"/>
  <c r="AA210" i="3"/>
  <c r="N210" i="3"/>
  <c r="L210" i="3"/>
  <c r="K210" i="3"/>
  <c r="J210" i="3"/>
  <c r="I210" i="3"/>
  <c r="AT209" i="3" a="1"/>
  <c r="AT209" i="3"/>
  <c r="AS209" i="3"/>
  <c r="AF209" i="3"/>
  <c r="AD209" i="3"/>
  <c r="AC209" i="3"/>
  <c r="AB209" i="3"/>
  <c r="AA209" i="3"/>
  <c r="N209" i="3"/>
  <c r="L209" i="3"/>
  <c r="K209" i="3"/>
  <c r="J209" i="3"/>
  <c r="I209" i="3"/>
  <c r="AS208" i="3"/>
  <c r="AF208" i="3"/>
  <c r="AD208" i="3"/>
  <c r="AC208" i="3"/>
  <c r="AB208" i="3"/>
  <c r="AA208" i="3"/>
  <c r="N208" i="3"/>
  <c r="L208" i="3"/>
  <c r="K208" i="3"/>
  <c r="J208" i="3"/>
  <c r="I208" i="3"/>
  <c r="AS207" i="3"/>
  <c r="AF207" i="3"/>
  <c r="AD207" i="3"/>
  <c r="AC207" i="3"/>
  <c r="AB207" i="3"/>
  <c r="AA207" i="3"/>
  <c r="N207" i="3"/>
  <c r="L207" i="3"/>
  <c r="K207" i="3"/>
  <c r="J207" i="3"/>
  <c r="I207" i="3"/>
  <c r="AS206" i="3"/>
  <c r="AF206" i="3"/>
  <c r="AD206" i="3"/>
  <c r="AC206" i="3"/>
  <c r="AB206" i="3"/>
  <c r="AA206" i="3"/>
  <c r="N206" i="3"/>
  <c r="L206" i="3"/>
  <c r="K206" i="3"/>
  <c r="J206" i="3"/>
  <c r="I206" i="3"/>
  <c r="AS205" i="3"/>
  <c r="AF205" i="3"/>
  <c r="AD205" i="3"/>
  <c r="AC205" i="3"/>
  <c r="AB205" i="3"/>
  <c r="AA205" i="3"/>
  <c r="N205" i="3"/>
  <c r="L205" i="3"/>
  <c r="K205" i="3"/>
  <c r="J205" i="3"/>
  <c r="I205" i="3"/>
  <c r="AS204" i="3"/>
  <c r="AF204" i="3"/>
  <c r="AD204" i="3"/>
  <c r="AC204" i="3"/>
  <c r="AB204" i="3"/>
  <c r="AA204" i="3"/>
  <c r="N204" i="3"/>
  <c r="L204" i="3"/>
  <c r="K204" i="3"/>
  <c r="J204" i="3"/>
  <c r="I204" i="3"/>
  <c r="AT203" i="3" a="1"/>
  <c r="AT203" i="3"/>
  <c r="AS203" i="3"/>
  <c r="AF203" i="3"/>
  <c r="AD203" i="3"/>
  <c r="AC203" i="3"/>
  <c r="AB203" i="3"/>
  <c r="AA203" i="3"/>
  <c r="N203" i="3"/>
  <c r="L203" i="3"/>
  <c r="K203" i="3"/>
  <c r="J203" i="3"/>
  <c r="I203" i="3"/>
  <c r="AS202" i="3"/>
  <c r="AF202" i="3"/>
  <c r="AD202" i="3"/>
  <c r="AC202" i="3"/>
  <c r="AB202" i="3"/>
  <c r="AA202" i="3"/>
  <c r="N202" i="3"/>
  <c r="L202" i="3"/>
  <c r="K202" i="3"/>
  <c r="J202" i="3"/>
  <c r="I202" i="3"/>
  <c r="AS201" i="3"/>
  <c r="AF201" i="3"/>
  <c r="AD201" i="3"/>
  <c r="AC201" i="3"/>
  <c r="AB201" i="3"/>
  <c r="AA201" i="3"/>
  <c r="N201" i="3"/>
  <c r="L201" i="3"/>
  <c r="K201" i="3"/>
  <c r="J201" i="3"/>
  <c r="I201" i="3"/>
  <c r="AS200" i="3"/>
  <c r="AF200" i="3"/>
  <c r="AD200" i="3"/>
  <c r="AC200" i="3"/>
  <c r="AB200" i="3"/>
  <c r="AA200" i="3"/>
  <c r="N200" i="3"/>
  <c r="L200" i="3"/>
  <c r="K200" i="3"/>
  <c r="J200" i="3"/>
  <c r="I200" i="3"/>
  <c r="AS199" i="3"/>
  <c r="AF199" i="3"/>
  <c r="AD199" i="3"/>
  <c r="AC199" i="3"/>
  <c r="AB199" i="3"/>
  <c r="AA199" i="3"/>
  <c r="N199" i="3"/>
  <c r="L199" i="3"/>
  <c r="K199" i="3"/>
  <c r="J199" i="3"/>
  <c r="I199" i="3"/>
  <c r="AS198" i="3"/>
  <c r="AF198" i="3"/>
  <c r="AD198" i="3"/>
  <c r="AC198" i="3"/>
  <c r="AB198" i="3"/>
  <c r="AA198" i="3"/>
  <c r="N198" i="3"/>
  <c r="L198" i="3"/>
  <c r="K198" i="3"/>
  <c r="J198" i="3"/>
  <c r="I198" i="3"/>
  <c r="AT197" i="3" a="1"/>
  <c r="AT197" i="3" s="1"/>
  <c r="AS197" i="3"/>
  <c r="AF197" i="3"/>
  <c r="AD197" i="3"/>
  <c r="AC197" i="3"/>
  <c r="AB197" i="3"/>
  <c r="AA197" i="3"/>
  <c r="N197" i="3"/>
  <c r="L197" i="3"/>
  <c r="K197" i="3"/>
  <c r="J197" i="3"/>
  <c r="I197" i="3"/>
  <c r="AS196" i="3"/>
  <c r="AF196" i="3"/>
  <c r="AD196" i="3"/>
  <c r="AC196" i="3"/>
  <c r="AB196" i="3"/>
  <c r="AA196" i="3"/>
  <c r="N196" i="3"/>
  <c r="L196" i="3"/>
  <c r="K196" i="3"/>
  <c r="J196" i="3"/>
  <c r="I196" i="3"/>
  <c r="AS195" i="3"/>
  <c r="AF195" i="3"/>
  <c r="AD195" i="3"/>
  <c r="AC195" i="3"/>
  <c r="AB195" i="3"/>
  <c r="AA195" i="3"/>
  <c r="N195" i="3"/>
  <c r="L195" i="3"/>
  <c r="K195" i="3"/>
  <c r="J195" i="3"/>
  <c r="I195" i="3"/>
  <c r="AS194" i="3"/>
  <c r="AF194" i="3"/>
  <c r="AD194" i="3"/>
  <c r="AC194" i="3"/>
  <c r="AB194" i="3"/>
  <c r="AA194" i="3"/>
  <c r="N194" i="3"/>
  <c r="L194" i="3"/>
  <c r="K194" i="3"/>
  <c r="J194" i="3"/>
  <c r="I194" i="3"/>
  <c r="AS193" i="3"/>
  <c r="AF193" i="3"/>
  <c r="AD193" i="3"/>
  <c r="AC193" i="3"/>
  <c r="AB193" i="3"/>
  <c r="AA193" i="3"/>
  <c r="N193" i="3"/>
  <c r="L193" i="3"/>
  <c r="K193" i="3"/>
  <c r="J193" i="3"/>
  <c r="I193" i="3"/>
  <c r="AS192" i="3"/>
  <c r="AF192" i="3"/>
  <c r="AD192" i="3"/>
  <c r="AC192" i="3"/>
  <c r="AB192" i="3"/>
  <c r="AA192" i="3"/>
  <c r="N192" i="3"/>
  <c r="L192" i="3"/>
  <c r="K192" i="3"/>
  <c r="J192" i="3"/>
  <c r="I192" i="3"/>
  <c r="AT191" i="3" a="1"/>
  <c r="AT191" i="3" s="1"/>
  <c r="AS191" i="3"/>
  <c r="AF191" i="3"/>
  <c r="AD191" i="3"/>
  <c r="AC191" i="3"/>
  <c r="AB191" i="3"/>
  <c r="AA191" i="3"/>
  <c r="N191" i="3"/>
  <c r="L191" i="3"/>
  <c r="K191" i="3"/>
  <c r="J191" i="3"/>
  <c r="I191" i="3"/>
  <c r="AS190" i="3"/>
  <c r="AF190" i="3"/>
  <c r="AD190" i="3"/>
  <c r="AC190" i="3"/>
  <c r="AB190" i="3"/>
  <c r="AA190" i="3"/>
  <c r="N190" i="3"/>
  <c r="L190" i="3"/>
  <c r="K190" i="3"/>
  <c r="J190" i="3"/>
  <c r="I190" i="3"/>
  <c r="AS189" i="3"/>
  <c r="AF189" i="3"/>
  <c r="AD189" i="3"/>
  <c r="AC189" i="3"/>
  <c r="AB189" i="3"/>
  <c r="AA189" i="3"/>
  <c r="N189" i="3"/>
  <c r="L189" i="3"/>
  <c r="K189" i="3"/>
  <c r="J189" i="3"/>
  <c r="I189" i="3"/>
  <c r="AS188" i="3"/>
  <c r="AF188" i="3"/>
  <c r="AD188" i="3"/>
  <c r="AC188" i="3"/>
  <c r="AB188" i="3"/>
  <c r="AA188" i="3"/>
  <c r="N188" i="3"/>
  <c r="L188" i="3"/>
  <c r="K188" i="3"/>
  <c r="J188" i="3"/>
  <c r="I188" i="3"/>
  <c r="AS187" i="3"/>
  <c r="AF187" i="3"/>
  <c r="AD187" i="3"/>
  <c r="AC187" i="3"/>
  <c r="AB187" i="3"/>
  <c r="AA187" i="3"/>
  <c r="N187" i="3"/>
  <c r="L187" i="3"/>
  <c r="K187" i="3"/>
  <c r="J187" i="3"/>
  <c r="I187" i="3"/>
  <c r="AS186" i="3"/>
  <c r="AF186" i="3"/>
  <c r="AD186" i="3"/>
  <c r="AC186" i="3"/>
  <c r="AB186" i="3"/>
  <c r="AA186" i="3"/>
  <c r="N186" i="3"/>
  <c r="L186" i="3"/>
  <c r="K186" i="3"/>
  <c r="J186" i="3"/>
  <c r="I186" i="3"/>
  <c r="AT185" i="3" a="1"/>
  <c r="AT185" i="3"/>
  <c r="AS185" i="3"/>
  <c r="AF185" i="3"/>
  <c r="AD185" i="3"/>
  <c r="AC185" i="3"/>
  <c r="AB185" i="3"/>
  <c r="AA185" i="3"/>
  <c r="N185" i="3"/>
  <c r="L185" i="3"/>
  <c r="K185" i="3"/>
  <c r="J185" i="3"/>
  <c r="I185" i="3"/>
  <c r="AS184" i="3"/>
  <c r="AF184" i="3"/>
  <c r="AD184" i="3"/>
  <c r="AC184" i="3"/>
  <c r="AB184" i="3"/>
  <c r="AA184" i="3"/>
  <c r="N184" i="3"/>
  <c r="L184" i="3"/>
  <c r="K184" i="3"/>
  <c r="J184" i="3"/>
  <c r="I184" i="3"/>
  <c r="AS183" i="3"/>
  <c r="AF183" i="3"/>
  <c r="AD183" i="3"/>
  <c r="AC183" i="3"/>
  <c r="AB183" i="3"/>
  <c r="AA183" i="3"/>
  <c r="N183" i="3"/>
  <c r="L183" i="3"/>
  <c r="K183" i="3"/>
  <c r="J183" i="3"/>
  <c r="I183" i="3"/>
  <c r="AS182" i="3"/>
  <c r="AF182" i="3"/>
  <c r="AD182" i="3"/>
  <c r="AC182" i="3"/>
  <c r="AB182" i="3"/>
  <c r="AA182" i="3"/>
  <c r="N182" i="3"/>
  <c r="L182" i="3"/>
  <c r="K182" i="3"/>
  <c r="J182" i="3"/>
  <c r="I182" i="3"/>
  <c r="AS181" i="3"/>
  <c r="AF181" i="3"/>
  <c r="AD181" i="3"/>
  <c r="AC181" i="3"/>
  <c r="AB181" i="3"/>
  <c r="AA181" i="3"/>
  <c r="N181" i="3"/>
  <c r="L181" i="3"/>
  <c r="K181" i="3"/>
  <c r="J181" i="3"/>
  <c r="I181" i="3"/>
  <c r="AS180" i="3"/>
  <c r="AF180" i="3"/>
  <c r="AD180" i="3"/>
  <c r="AC180" i="3"/>
  <c r="AB180" i="3"/>
  <c r="AA180" i="3"/>
  <c r="N180" i="3"/>
  <c r="L180" i="3"/>
  <c r="K180" i="3"/>
  <c r="J180" i="3"/>
  <c r="I180" i="3"/>
  <c r="AT179" i="3" a="1"/>
  <c r="AT179" i="3" s="1"/>
  <c r="AS179" i="3"/>
  <c r="AF179" i="3"/>
  <c r="AD179" i="3"/>
  <c r="AC179" i="3"/>
  <c r="AB179" i="3"/>
  <c r="AA179" i="3"/>
  <c r="N179" i="3"/>
  <c r="L179" i="3"/>
  <c r="K179" i="3"/>
  <c r="J179" i="3"/>
  <c r="I179" i="3"/>
  <c r="AS178" i="3"/>
  <c r="AF178" i="3"/>
  <c r="AD178" i="3"/>
  <c r="AC178" i="3"/>
  <c r="AB178" i="3"/>
  <c r="AA178" i="3"/>
  <c r="N178" i="3"/>
  <c r="L178" i="3"/>
  <c r="K178" i="3"/>
  <c r="J178" i="3"/>
  <c r="I178" i="3"/>
  <c r="AS177" i="3"/>
  <c r="AF177" i="3"/>
  <c r="AD177" i="3"/>
  <c r="AC177" i="3"/>
  <c r="AB177" i="3"/>
  <c r="AA177" i="3"/>
  <c r="N177" i="3"/>
  <c r="L177" i="3"/>
  <c r="K177" i="3"/>
  <c r="J177" i="3"/>
  <c r="I177" i="3"/>
  <c r="AS176" i="3"/>
  <c r="AF176" i="3"/>
  <c r="AD176" i="3"/>
  <c r="AC176" i="3"/>
  <c r="AB176" i="3"/>
  <c r="AA176" i="3"/>
  <c r="N176" i="3"/>
  <c r="L176" i="3"/>
  <c r="K176" i="3"/>
  <c r="J176" i="3"/>
  <c r="I176" i="3"/>
  <c r="AS175" i="3"/>
  <c r="AF175" i="3"/>
  <c r="AD175" i="3"/>
  <c r="AC175" i="3"/>
  <c r="AB175" i="3"/>
  <c r="AA175" i="3"/>
  <c r="N175" i="3"/>
  <c r="L175" i="3"/>
  <c r="K175" i="3"/>
  <c r="J175" i="3"/>
  <c r="I175" i="3"/>
  <c r="AS174" i="3"/>
  <c r="AF174" i="3"/>
  <c r="AD174" i="3"/>
  <c r="AC174" i="3"/>
  <c r="AB174" i="3"/>
  <c r="AA174" i="3"/>
  <c r="N174" i="3"/>
  <c r="L174" i="3"/>
  <c r="K174" i="3"/>
  <c r="J174" i="3"/>
  <c r="I174" i="3"/>
  <c r="AT173" i="3" a="1"/>
  <c r="AT173" i="3"/>
  <c r="AS173" i="3"/>
  <c r="AF173" i="3"/>
  <c r="AD173" i="3"/>
  <c r="AC173" i="3"/>
  <c r="AB173" i="3"/>
  <c r="AA173" i="3"/>
  <c r="N173" i="3"/>
  <c r="L173" i="3"/>
  <c r="K173" i="3"/>
  <c r="J173" i="3"/>
  <c r="I173" i="3"/>
  <c r="AS172" i="3"/>
  <c r="AF172" i="3"/>
  <c r="AD172" i="3"/>
  <c r="AC172" i="3"/>
  <c r="AB172" i="3"/>
  <c r="AA172" i="3"/>
  <c r="N172" i="3"/>
  <c r="L172" i="3"/>
  <c r="K172" i="3"/>
  <c r="J172" i="3"/>
  <c r="I172" i="3"/>
  <c r="AS171" i="3"/>
  <c r="AF171" i="3"/>
  <c r="AD171" i="3"/>
  <c r="AC171" i="3"/>
  <c r="AB171" i="3"/>
  <c r="AA171" i="3"/>
  <c r="N171" i="3"/>
  <c r="L171" i="3"/>
  <c r="K171" i="3"/>
  <c r="J171" i="3"/>
  <c r="I171" i="3"/>
  <c r="AS170" i="3"/>
  <c r="AF170" i="3"/>
  <c r="AD170" i="3"/>
  <c r="AC170" i="3"/>
  <c r="AB170" i="3"/>
  <c r="AA170" i="3"/>
  <c r="N170" i="3"/>
  <c r="L170" i="3"/>
  <c r="K170" i="3"/>
  <c r="J170" i="3"/>
  <c r="I170" i="3"/>
  <c r="AS169" i="3"/>
  <c r="AF169" i="3"/>
  <c r="AD169" i="3"/>
  <c r="AC169" i="3"/>
  <c r="AB169" i="3"/>
  <c r="AA169" i="3"/>
  <c r="N169" i="3"/>
  <c r="L169" i="3"/>
  <c r="K169" i="3"/>
  <c r="J169" i="3"/>
  <c r="I169" i="3"/>
  <c r="AS168" i="3"/>
  <c r="AF168" i="3"/>
  <c r="AD168" i="3"/>
  <c r="AC168" i="3"/>
  <c r="AB168" i="3"/>
  <c r="AA168" i="3"/>
  <c r="N168" i="3"/>
  <c r="L168" i="3"/>
  <c r="K168" i="3"/>
  <c r="J168" i="3"/>
  <c r="I168" i="3"/>
  <c r="AT167" i="3" a="1"/>
  <c r="AT167" i="3"/>
  <c r="AS167" i="3"/>
  <c r="AF167" i="3"/>
  <c r="AD167" i="3"/>
  <c r="AC167" i="3"/>
  <c r="AB167" i="3"/>
  <c r="AA167" i="3"/>
  <c r="N167" i="3"/>
  <c r="L167" i="3"/>
  <c r="K167" i="3"/>
  <c r="J167" i="3"/>
  <c r="I167" i="3"/>
  <c r="AS166" i="3"/>
  <c r="AF166" i="3"/>
  <c r="AD166" i="3"/>
  <c r="AC166" i="3"/>
  <c r="AB166" i="3"/>
  <c r="AA166" i="3"/>
  <c r="N166" i="3"/>
  <c r="L166" i="3"/>
  <c r="K166" i="3"/>
  <c r="J166" i="3"/>
  <c r="I166" i="3"/>
  <c r="AS165" i="3"/>
  <c r="AF165" i="3"/>
  <c r="AD165" i="3"/>
  <c r="AC165" i="3"/>
  <c r="AB165" i="3"/>
  <c r="AA165" i="3"/>
  <c r="N165" i="3"/>
  <c r="L165" i="3"/>
  <c r="K165" i="3"/>
  <c r="J165" i="3"/>
  <c r="I165" i="3"/>
  <c r="AS164" i="3"/>
  <c r="AF164" i="3"/>
  <c r="AD164" i="3"/>
  <c r="AC164" i="3"/>
  <c r="AB164" i="3"/>
  <c r="AA164" i="3"/>
  <c r="N164" i="3"/>
  <c r="L164" i="3"/>
  <c r="K164" i="3"/>
  <c r="J164" i="3"/>
  <c r="I164" i="3"/>
  <c r="AS163" i="3"/>
  <c r="AF163" i="3"/>
  <c r="AD163" i="3"/>
  <c r="AC163" i="3"/>
  <c r="AB163" i="3"/>
  <c r="AA163" i="3"/>
  <c r="N163" i="3"/>
  <c r="L163" i="3"/>
  <c r="K163" i="3"/>
  <c r="J163" i="3"/>
  <c r="I163" i="3"/>
  <c r="AS162" i="3"/>
  <c r="AF162" i="3"/>
  <c r="AD162" i="3"/>
  <c r="AC162" i="3"/>
  <c r="AB162" i="3"/>
  <c r="AA162" i="3"/>
  <c r="N162" i="3"/>
  <c r="L162" i="3"/>
  <c r="K162" i="3"/>
  <c r="J162" i="3"/>
  <c r="I162" i="3"/>
  <c r="AT161" i="3" a="1"/>
  <c r="AT161" i="3" s="1"/>
  <c r="AS161" i="3"/>
  <c r="AF161" i="3"/>
  <c r="AD161" i="3"/>
  <c r="AC161" i="3"/>
  <c r="AB161" i="3"/>
  <c r="AA161" i="3"/>
  <c r="N161" i="3"/>
  <c r="L161" i="3"/>
  <c r="K161" i="3"/>
  <c r="J161" i="3"/>
  <c r="I161" i="3"/>
  <c r="AS160" i="3"/>
  <c r="AF160" i="3"/>
  <c r="AD160" i="3"/>
  <c r="AC160" i="3"/>
  <c r="AB160" i="3"/>
  <c r="AA160" i="3"/>
  <c r="N160" i="3"/>
  <c r="L160" i="3"/>
  <c r="K160" i="3"/>
  <c r="J160" i="3"/>
  <c r="I160" i="3"/>
  <c r="AS159" i="3"/>
  <c r="AF159" i="3"/>
  <c r="AD159" i="3"/>
  <c r="AC159" i="3"/>
  <c r="AB159" i="3"/>
  <c r="AA159" i="3"/>
  <c r="N159" i="3"/>
  <c r="L159" i="3"/>
  <c r="K159" i="3"/>
  <c r="J159" i="3"/>
  <c r="I159" i="3"/>
  <c r="AS158" i="3"/>
  <c r="AF158" i="3"/>
  <c r="AD158" i="3"/>
  <c r="AC158" i="3"/>
  <c r="AB158" i="3"/>
  <c r="AA158" i="3"/>
  <c r="N158" i="3"/>
  <c r="L158" i="3"/>
  <c r="K158" i="3"/>
  <c r="J158" i="3"/>
  <c r="I158" i="3"/>
  <c r="AS157" i="3"/>
  <c r="AF157" i="3"/>
  <c r="AD157" i="3"/>
  <c r="AC157" i="3"/>
  <c r="AB157" i="3"/>
  <c r="AA157" i="3"/>
  <c r="N157" i="3"/>
  <c r="L157" i="3"/>
  <c r="K157" i="3"/>
  <c r="J157" i="3"/>
  <c r="I157" i="3"/>
  <c r="AS156" i="3"/>
  <c r="AF156" i="3"/>
  <c r="AD156" i="3"/>
  <c r="AC156" i="3"/>
  <c r="AB156" i="3"/>
  <c r="AA156" i="3"/>
  <c r="N156" i="3"/>
  <c r="L156" i="3"/>
  <c r="K156" i="3"/>
  <c r="J156" i="3"/>
  <c r="I156" i="3"/>
  <c r="AT155" i="3" a="1"/>
  <c r="AT155" i="3" s="1"/>
  <c r="AS155" i="3"/>
  <c r="AF155" i="3"/>
  <c r="AD155" i="3"/>
  <c r="AC155" i="3"/>
  <c r="AB155" i="3"/>
  <c r="AA155" i="3"/>
  <c r="N155" i="3"/>
  <c r="L155" i="3"/>
  <c r="K155" i="3"/>
  <c r="J155" i="3"/>
  <c r="I155" i="3"/>
  <c r="AS154" i="3"/>
  <c r="AF154" i="3"/>
  <c r="AD154" i="3"/>
  <c r="AC154" i="3"/>
  <c r="AB154" i="3"/>
  <c r="AA154" i="3"/>
  <c r="N154" i="3"/>
  <c r="L154" i="3"/>
  <c r="K154" i="3"/>
  <c r="J154" i="3"/>
  <c r="I154" i="3"/>
  <c r="AS153" i="3"/>
  <c r="AF153" i="3"/>
  <c r="AD153" i="3"/>
  <c r="AC153" i="3"/>
  <c r="AB153" i="3"/>
  <c r="AA153" i="3"/>
  <c r="N153" i="3"/>
  <c r="L153" i="3"/>
  <c r="K153" i="3"/>
  <c r="J153" i="3"/>
  <c r="I153" i="3"/>
  <c r="AS152" i="3"/>
  <c r="AF152" i="3"/>
  <c r="AD152" i="3"/>
  <c r="AC152" i="3"/>
  <c r="AB152" i="3"/>
  <c r="AA152" i="3"/>
  <c r="N152" i="3"/>
  <c r="L152" i="3"/>
  <c r="K152" i="3"/>
  <c r="J152" i="3"/>
  <c r="I152" i="3"/>
  <c r="AS151" i="3"/>
  <c r="AF151" i="3"/>
  <c r="AD151" i="3"/>
  <c r="AC151" i="3"/>
  <c r="AB151" i="3"/>
  <c r="AA151" i="3"/>
  <c r="N151" i="3"/>
  <c r="L151" i="3"/>
  <c r="K151" i="3"/>
  <c r="J151" i="3"/>
  <c r="I151" i="3"/>
  <c r="AS150" i="3"/>
  <c r="AF150" i="3"/>
  <c r="AD150" i="3"/>
  <c r="AC150" i="3"/>
  <c r="AB150" i="3"/>
  <c r="AA150" i="3"/>
  <c r="N150" i="3"/>
  <c r="L150" i="3"/>
  <c r="K150" i="3"/>
  <c r="J150" i="3"/>
  <c r="I150" i="3"/>
  <c r="AT149" i="3" a="1"/>
  <c r="AT149" i="3"/>
  <c r="AS149" i="3"/>
  <c r="AF149" i="3"/>
  <c r="AD149" i="3"/>
  <c r="AC149" i="3"/>
  <c r="AB149" i="3"/>
  <c r="AA149" i="3"/>
  <c r="N149" i="3"/>
  <c r="L149" i="3"/>
  <c r="K149" i="3"/>
  <c r="J149" i="3"/>
  <c r="I149" i="3"/>
  <c r="AS148" i="3"/>
  <c r="AF148" i="3"/>
  <c r="AD148" i="3"/>
  <c r="AC148" i="3"/>
  <c r="AB148" i="3"/>
  <c r="AA148" i="3"/>
  <c r="N148" i="3"/>
  <c r="L148" i="3"/>
  <c r="K148" i="3"/>
  <c r="J148" i="3"/>
  <c r="I148" i="3"/>
  <c r="AS147" i="3"/>
  <c r="AF147" i="3"/>
  <c r="AD147" i="3"/>
  <c r="AC147" i="3"/>
  <c r="AB147" i="3"/>
  <c r="AA147" i="3"/>
  <c r="N147" i="3"/>
  <c r="L147" i="3"/>
  <c r="K147" i="3"/>
  <c r="J147" i="3"/>
  <c r="I147" i="3"/>
  <c r="AS146" i="3"/>
  <c r="AF146" i="3"/>
  <c r="AD146" i="3"/>
  <c r="AC146" i="3"/>
  <c r="AB146" i="3"/>
  <c r="AA146" i="3"/>
  <c r="N146" i="3"/>
  <c r="L146" i="3"/>
  <c r="K146" i="3"/>
  <c r="J146" i="3"/>
  <c r="I146" i="3"/>
  <c r="AS145" i="3"/>
  <c r="AF145" i="3"/>
  <c r="AD145" i="3"/>
  <c r="AC145" i="3"/>
  <c r="AB145" i="3"/>
  <c r="AA145" i="3"/>
  <c r="N145" i="3"/>
  <c r="L145" i="3"/>
  <c r="K145" i="3"/>
  <c r="J145" i="3"/>
  <c r="I145" i="3"/>
  <c r="AS144" i="3"/>
  <c r="AF144" i="3"/>
  <c r="AD144" i="3"/>
  <c r="AC144" i="3"/>
  <c r="AB144" i="3"/>
  <c r="AA144" i="3"/>
  <c r="N144" i="3"/>
  <c r="L144" i="3"/>
  <c r="K144" i="3"/>
  <c r="J144" i="3"/>
  <c r="I144" i="3"/>
  <c r="AT143" i="3" a="1"/>
  <c r="AT143" i="3" s="1"/>
  <c r="AS143" i="3"/>
  <c r="AF143" i="3"/>
  <c r="AD143" i="3"/>
  <c r="AC143" i="3"/>
  <c r="AB143" i="3"/>
  <c r="AA143" i="3"/>
  <c r="N143" i="3"/>
  <c r="L143" i="3"/>
  <c r="K143" i="3"/>
  <c r="J143" i="3"/>
  <c r="I143" i="3"/>
  <c r="AS142" i="3"/>
  <c r="AF142" i="3"/>
  <c r="AD142" i="3"/>
  <c r="AC142" i="3"/>
  <c r="AB142" i="3"/>
  <c r="AA142" i="3"/>
  <c r="N142" i="3"/>
  <c r="L142" i="3"/>
  <c r="K142" i="3"/>
  <c r="J142" i="3"/>
  <c r="I142" i="3"/>
  <c r="AS141" i="3"/>
  <c r="AF141" i="3"/>
  <c r="AD141" i="3"/>
  <c r="AC141" i="3"/>
  <c r="AB141" i="3"/>
  <c r="AA141" i="3"/>
  <c r="N141" i="3"/>
  <c r="L141" i="3"/>
  <c r="K141" i="3"/>
  <c r="J141" i="3"/>
  <c r="I141" i="3"/>
  <c r="AS140" i="3"/>
  <c r="AF140" i="3"/>
  <c r="AD140" i="3"/>
  <c r="AC140" i="3"/>
  <c r="AB140" i="3"/>
  <c r="AA140" i="3"/>
  <c r="N140" i="3"/>
  <c r="L140" i="3"/>
  <c r="K140" i="3"/>
  <c r="J140" i="3"/>
  <c r="I140" i="3"/>
  <c r="AS139" i="3"/>
  <c r="AF139" i="3"/>
  <c r="AD139" i="3"/>
  <c r="AC139" i="3"/>
  <c r="AB139" i="3"/>
  <c r="AA139" i="3"/>
  <c r="N139" i="3"/>
  <c r="L139" i="3"/>
  <c r="K139" i="3"/>
  <c r="J139" i="3"/>
  <c r="I139" i="3"/>
  <c r="AS138" i="3"/>
  <c r="AF138" i="3"/>
  <c r="AD138" i="3"/>
  <c r="AC138" i="3"/>
  <c r="AB138" i="3"/>
  <c r="AA138" i="3"/>
  <c r="N138" i="3"/>
  <c r="L138" i="3"/>
  <c r="K138" i="3"/>
  <c r="J138" i="3"/>
  <c r="I138" i="3"/>
  <c r="AT137" i="3" a="1"/>
  <c r="AT137" i="3"/>
  <c r="AS137" i="3"/>
  <c r="AF137" i="3"/>
  <c r="AD137" i="3"/>
  <c r="AD342" i="3" s="1"/>
  <c r="AC137" i="3"/>
  <c r="AC342" i="3" s="1"/>
  <c r="AB137" i="3"/>
  <c r="AB342" i="3" s="1"/>
  <c r="AA137" i="3"/>
  <c r="N137" i="3"/>
  <c r="L137" i="3"/>
  <c r="L342" i="3" s="1"/>
  <c r="K137" i="3"/>
  <c r="K342" i="3" s="1"/>
  <c r="J137" i="3"/>
  <c r="J342" i="3" s="1"/>
  <c r="I137" i="3"/>
  <c r="AS136" i="3"/>
  <c r="AF136" i="3"/>
  <c r="AD136" i="3"/>
  <c r="AC136" i="3"/>
  <c r="AB136" i="3"/>
  <c r="AA136" i="3"/>
  <c r="N136" i="3"/>
  <c r="L136" i="3"/>
  <c r="K136" i="3"/>
  <c r="J136" i="3"/>
  <c r="I136" i="3"/>
  <c r="AS135" i="3"/>
  <c r="AF135" i="3"/>
  <c r="AD135" i="3"/>
  <c r="AC135" i="3"/>
  <c r="AB135" i="3"/>
  <c r="AA135" i="3"/>
  <c r="N135" i="3"/>
  <c r="L135" i="3"/>
  <c r="K135" i="3"/>
  <c r="J135" i="3"/>
  <c r="I135" i="3"/>
  <c r="AS134" i="3"/>
  <c r="AF134" i="3"/>
  <c r="AD134" i="3"/>
  <c r="AC134" i="3"/>
  <c r="AB134" i="3"/>
  <c r="AA134" i="3"/>
  <c r="N134" i="3"/>
  <c r="L134" i="3"/>
  <c r="K134" i="3"/>
  <c r="J134" i="3"/>
  <c r="I134" i="3"/>
  <c r="AS133" i="3"/>
  <c r="AF133" i="3"/>
  <c r="AD133" i="3"/>
  <c r="AC133" i="3"/>
  <c r="AB133" i="3"/>
  <c r="AA133" i="3"/>
  <c r="N133" i="3"/>
  <c r="L133" i="3"/>
  <c r="K133" i="3"/>
  <c r="J133" i="3"/>
  <c r="I133" i="3"/>
  <c r="AS132" i="3"/>
  <c r="AF132" i="3"/>
  <c r="AD132" i="3"/>
  <c r="AC132" i="3"/>
  <c r="AB132" i="3"/>
  <c r="AA132" i="3"/>
  <c r="N132" i="3"/>
  <c r="L132" i="3"/>
  <c r="K132" i="3"/>
  <c r="J132" i="3"/>
  <c r="I132" i="3"/>
  <c r="AT131" i="3" a="1"/>
  <c r="AT131" i="3"/>
  <c r="AS131" i="3"/>
  <c r="AF131" i="3"/>
  <c r="AD131" i="3"/>
  <c r="AC131" i="3"/>
  <c r="AB131" i="3"/>
  <c r="AA131" i="3"/>
  <c r="N131" i="3"/>
  <c r="L131" i="3"/>
  <c r="K131" i="3"/>
  <c r="J131" i="3"/>
  <c r="I131" i="3"/>
  <c r="AS130" i="3"/>
  <c r="AF130" i="3"/>
  <c r="AD130" i="3"/>
  <c r="AC130" i="3"/>
  <c r="AB130" i="3"/>
  <c r="AA130" i="3"/>
  <c r="N130" i="3"/>
  <c r="L130" i="3"/>
  <c r="K130" i="3"/>
  <c r="J130" i="3"/>
  <c r="I130" i="3"/>
  <c r="AS129" i="3"/>
  <c r="AF129" i="3"/>
  <c r="AD129" i="3"/>
  <c r="AC129" i="3"/>
  <c r="AB129" i="3"/>
  <c r="AA129" i="3"/>
  <c r="N129" i="3"/>
  <c r="L129" i="3"/>
  <c r="K129" i="3"/>
  <c r="J129" i="3"/>
  <c r="I129" i="3"/>
  <c r="AS128" i="3"/>
  <c r="AF128" i="3"/>
  <c r="AD128" i="3"/>
  <c r="AC128" i="3"/>
  <c r="AB128" i="3"/>
  <c r="AA128" i="3"/>
  <c r="N128" i="3"/>
  <c r="L128" i="3"/>
  <c r="K128" i="3"/>
  <c r="J128" i="3"/>
  <c r="I128" i="3"/>
  <c r="AS127" i="3"/>
  <c r="AF127" i="3"/>
  <c r="AD127" i="3"/>
  <c r="AC127" i="3"/>
  <c r="AB127" i="3"/>
  <c r="AA127" i="3"/>
  <c r="N127" i="3"/>
  <c r="L127" i="3"/>
  <c r="K127" i="3"/>
  <c r="J127" i="3"/>
  <c r="I127" i="3"/>
  <c r="AS126" i="3"/>
  <c r="AF126" i="3"/>
  <c r="AD126" i="3"/>
  <c r="AC126" i="3"/>
  <c r="AB126" i="3"/>
  <c r="AA126" i="3"/>
  <c r="N126" i="3"/>
  <c r="L126" i="3"/>
  <c r="K126" i="3"/>
  <c r="J126" i="3"/>
  <c r="I126" i="3"/>
  <c r="AT125" i="3" a="1"/>
  <c r="AT125" i="3" s="1"/>
  <c r="AS125" i="3"/>
  <c r="AF125" i="3"/>
  <c r="AD125" i="3"/>
  <c r="AC125" i="3"/>
  <c r="AB125" i="3"/>
  <c r="AA125" i="3"/>
  <c r="N125" i="3"/>
  <c r="L125" i="3"/>
  <c r="K125" i="3"/>
  <c r="J125" i="3"/>
  <c r="I125" i="3"/>
  <c r="AS124" i="3"/>
  <c r="AF124" i="3"/>
  <c r="AD124" i="3"/>
  <c r="AC124" i="3"/>
  <c r="AB124" i="3"/>
  <c r="AA124" i="3"/>
  <c r="N124" i="3"/>
  <c r="L124" i="3"/>
  <c r="K124" i="3"/>
  <c r="J124" i="3"/>
  <c r="I124" i="3"/>
  <c r="AS123" i="3"/>
  <c r="AF123" i="3"/>
  <c r="AD123" i="3"/>
  <c r="AC123" i="3"/>
  <c r="AB123" i="3"/>
  <c r="AA123" i="3"/>
  <c r="N123" i="3"/>
  <c r="L123" i="3"/>
  <c r="K123" i="3"/>
  <c r="J123" i="3"/>
  <c r="I123" i="3"/>
  <c r="AS122" i="3"/>
  <c r="AF122" i="3"/>
  <c r="AD122" i="3"/>
  <c r="AC122" i="3"/>
  <c r="AB122" i="3"/>
  <c r="AA122" i="3"/>
  <c r="N122" i="3"/>
  <c r="L122" i="3"/>
  <c r="K122" i="3"/>
  <c r="J122" i="3"/>
  <c r="I122" i="3"/>
  <c r="AS121" i="3"/>
  <c r="AF121" i="3"/>
  <c r="AD121" i="3"/>
  <c r="AC121" i="3"/>
  <c r="AB121" i="3"/>
  <c r="AA121" i="3"/>
  <c r="N121" i="3"/>
  <c r="L121" i="3"/>
  <c r="K121" i="3"/>
  <c r="J121" i="3"/>
  <c r="I121" i="3"/>
  <c r="AS120" i="3"/>
  <c r="AF120" i="3"/>
  <c r="AD120" i="3"/>
  <c r="AC120" i="3"/>
  <c r="AB120" i="3"/>
  <c r="AA120" i="3"/>
  <c r="N120" i="3"/>
  <c r="L120" i="3"/>
  <c r="K120" i="3"/>
  <c r="J120" i="3"/>
  <c r="I120" i="3"/>
  <c r="AT119" i="3" a="1"/>
  <c r="AT119" i="3" s="1"/>
  <c r="AS119" i="3"/>
  <c r="AF119" i="3"/>
  <c r="AD119" i="3"/>
  <c r="AC119" i="3"/>
  <c r="AB119" i="3"/>
  <c r="AA119" i="3"/>
  <c r="N119" i="3"/>
  <c r="L119" i="3"/>
  <c r="K119" i="3"/>
  <c r="J119" i="3"/>
  <c r="I119" i="3"/>
  <c r="AS118" i="3"/>
  <c r="AF118" i="3"/>
  <c r="AD118" i="3"/>
  <c r="AC118" i="3"/>
  <c r="AB118" i="3"/>
  <c r="AA118" i="3"/>
  <c r="N118" i="3"/>
  <c r="L118" i="3"/>
  <c r="K118" i="3"/>
  <c r="J118" i="3"/>
  <c r="I118" i="3"/>
  <c r="AS117" i="3"/>
  <c r="AF117" i="3"/>
  <c r="AD117" i="3"/>
  <c r="AC117" i="3"/>
  <c r="AB117" i="3"/>
  <c r="AA117" i="3"/>
  <c r="N117" i="3"/>
  <c r="L117" i="3"/>
  <c r="K117" i="3"/>
  <c r="J117" i="3"/>
  <c r="I117" i="3"/>
  <c r="AS116" i="3"/>
  <c r="AF116" i="3"/>
  <c r="AD116" i="3"/>
  <c r="AC116" i="3"/>
  <c r="AB116" i="3"/>
  <c r="AA116" i="3"/>
  <c r="N116" i="3"/>
  <c r="L116" i="3"/>
  <c r="K116" i="3"/>
  <c r="J116" i="3"/>
  <c r="I116" i="3"/>
  <c r="AS115" i="3"/>
  <c r="AF115" i="3"/>
  <c r="AD115" i="3"/>
  <c r="AC115" i="3"/>
  <c r="AB115" i="3"/>
  <c r="AA115" i="3"/>
  <c r="N115" i="3"/>
  <c r="L115" i="3"/>
  <c r="K115" i="3"/>
  <c r="J115" i="3"/>
  <c r="I115" i="3"/>
  <c r="AS114" i="3"/>
  <c r="AF114" i="3"/>
  <c r="AD114" i="3"/>
  <c r="AC114" i="3"/>
  <c r="AB114" i="3"/>
  <c r="AA114" i="3"/>
  <c r="N114" i="3"/>
  <c r="L114" i="3"/>
  <c r="K114" i="3"/>
  <c r="J114" i="3"/>
  <c r="I114" i="3"/>
  <c r="AT113" i="3" a="1"/>
  <c r="AT113" i="3"/>
  <c r="AS113" i="3"/>
  <c r="AF113" i="3"/>
  <c r="AD113" i="3"/>
  <c r="AC113" i="3"/>
  <c r="AB113" i="3"/>
  <c r="AA113" i="3"/>
  <c r="N113" i="3"/>
  <c r="L113" i="3"/>
  <c r="K113" i="3"/>
  <c r="J113" i="3"/>
  <c r="I113" i="3"/>
  <c r="AS112" i="3"/>
  <c r="AF112" i="3"/>
  <c r="AD112" i="3"/>
  <c r="AC112" i="3"/>
  <c r="AB112" i="3"/>
  <c r="AA112" i="3"/>
  <c r="N112" i="3"/>
  <c r="L112" i="3"/>
  <c r="K112" i="3"/>
  <c r="J112" i="3"/>
  <c r="I112" i="3"/>
  <c r="AS111" i="3"/>
  <c r="AF111" i="3"/>
  <c r="AD111" i="3"/>
  <c r="AC111" i="3"/>
  <c r="AB111" i="3"/>
  <c r="AA111" i="3"/>
  <c r="N111" i="3"/>
  <c r="L111" i="3"/>
  <c r="K111" i="3"/>
  <c r="J111" i="3"/>
  <c r="I111" i="3"/>
  <c r="AS110" i="3"/>
  <c r="AF110" i="3"/>
  <c r="AD110" i="3"/>
  <c r="AC110" i="3"/>
  <c r="AB110" i="3"/>
  <c r="AA110" i="3"/>
  <c r="N110" i="3"/>
  <c r="L110" i="3"/>
  <c r="K110" i="3"/>
  <c r="J110" i="3"/>
  <c r="I110" i="3"/>
  <c r="AS109" i="3"/>
  <c r="AF109" i="3"/>
  <c r="AD109" i="3"/>
  <c r="AC109" i="3"/>
  <c r="AB109" i="3"/>
  <c r="AA109" i="3"/>
  <c r="N109" i="3"/>
  <c r="L109" i="3"/>
  <c r="K109" i="3"/>
  <c r="J109" i="3"/>
  <c r="I109" i="3"/>
  <c r="AS108" i="3"/>
  <c r="AF108" i="3"/>
  <c r="AD108" i="3"/>
  <c r="AC108" i="3"/>
  <c r="AB108" i="3"/>
  <c r="AA108" i="3"/>
  <c r="N108" i="3"/>
  <c r="L108" i="3"/>
  <c r="K108" i="3"/>
  <c r="J108" i="3"/>
  <c r="I108" i="3"/>
  <c r="AT107" i="3" a="1"/>
  <c r="AT107" i="3" s="1"/>
  <c r="AS107" i="3"/>
  <c r="AF107" i="3"/>
  <c r="AD107" i="3"/>
  <c r="AC107" i="3"/>
  <c r="AB107" i="3"/>
  <c r="AA107" i="3"/>
  <c r="N107" i="3"/>
  <c r="L107" i="3"/>
  <c r="K107" i="3"/>
  <c r="J107" i="3"/>
  <c r="I107" i="3"/>
  <c r="AS106" i="3"/>
  <c r="AF106" i="3"/>
  <c r="AD106" i="3"/>
  <c r="AC106" i="3"/>
  <c r="AB106" i="3"/>
  <c r="AA106" i="3"/>
  <c r="N106" i="3"/>
  <c r="L106" i="3"/>
  <c r="K106" i="3"/>
  <c r="J106" i="3"/>
  <c r="I106" i="3"/>
  <c r="AS105" i="3"/>
  <c r="AF105" i="3"/>
  <c r="AD105" i="3"/>
  <c r="AC105" i="3"/>
  <c r="AB105" i="3"/>
  <c r="AA105" i="3"/>
  <c r="N105" i="3"/>
  <c r="L105" i="3"/>
  <c r="K105" i="3"/>
  <c r="J105" i="3"/>
  <c r="I105" i="3"/>
  <c r="AS104" i="3"/>
  <c r="AF104" i="3"/>
  <c r="AD104" i="3"/>
  <c r="AC104" i="3"/>
  <c r="AB104" i="3"/>
  <c r="AA104" i="3"/>
  <c r="N104" i="3"/>
  <c r="L104" i="3"/>
  <c r="K104" i="3"/>
  <c r="J104" i="3"/>
  <c r="I104" i="3"/>
  <c r="AS103" i="3"/>
  <c r="AF103" i="3"/>
  <c r="AD103" i="3"/>
  <c r="AC103" i="3"/>
  <c r="AB103" i="3"/>
  <c r="AA103" i="3"/>
  <c r="N103" i="3"/>
  <c r="L103" i="3"/>
  <c r="K103" i="3"/>
  <c r="J103" i="3"/>
  <c r="I103" i="3"/>
  <c r="AS102" i="3"/>
  <c r="AF102" i="3"/>
  <c r="AD102" i="3"/>
  <c r="AC102" i="3"/>
  <c r="AB102" i="3"/>
  <c r="AA102" i="3"/>
  <c r="N102" i="3"/>
  <c r="L102" i="3"/>
  <c r="K102" i="3"/>
  <c r="J102" i="3"/>
  <c r="I102" i="3"/>
  <c r="AT101" i="3" a="1"/>
  <c r="AT101" i="3"/>
  <c r="AS101" i="3"/>
  <c r="AF101" i="3"/>
  <c r="AD101" i="3"/>
  <c r="AC101" i="3"/>
  <c r="AB101" i="3"/>
  <c r="AA101" i="3"/>
  <c r="N101" i="3"/>
  <c r="L101" i="3"/>
  <c r="K101" i="3"/>
  <c r="J101" i="3"/>
  <c r="I101" i="3"/>
  <c r="AS100" i="3"/>
  <c r="AF100" i="3"/>
  <c r="AD100" i="3"/>
  <c r="AC100" i="3"/>
  <c r="AB100" i="3"/>
  <c r="AA100" i="3"/>
  <c r="N100" i="3"/>
  <c r="L100" i="3"/>
  <c r="K100" i="3"/>
  <c r="J100" i="3"/>
  <c r="I100" i="3"/>
  <c r="AS99" i="3"/>
  <c r="AF99" i="3"/>
  <c r="AD99" i="3"/>
  <c r="AC99" i="3"/>
  <c r="AB99" i="3"/>
  <c r="AA99" i="3"/>
  <c r="N99" i="3"/>
  <c r="L99" i="3"/>
  <c r="K99" i="3"/>
  <c r="J99" i="3"/>
  <c r="I99" i="3"/>
  <c r="AS98" i="3"/>
  <c r="AF98" i="3"/>
  <c r="AD98" i="3"/>
  <c r="AC98" i="3"/>
  <c r="AB98" i="3"/>
  <c r="AA98" i="3"/>
  <c r="N98" i="3"/>
  <c r="L98" i="3"/>
  <c r="K98" i="3"/>
  <c r="J98" i="3"/>
  <c r="I98" i="3"/>
  <c r="AS97" i="3"/>
  <c r="AF97" i="3"/>
  <c r="AD97" i="3"/>
  <c r="AC97" i="3"/>
  <c r="AB97" i="3"/>
  <c r="AA97" i="3"/>
  <c r="N97" i="3"/>
  <c r="L97" i="3"/>
  <c r="K97" i="3"/>
  <c r="J97" i="3"/>
  <c r="I97" i="3"/>
  <c r="AS96" i="3"/>
  <c r="AF96" i="3"/>
  <c r="AD96" i="3"/>
  <c r="AC96" i="3"/>
  <c r="AB96" i="3"/>
  <c r="AA96" i="3"/>
  <c r="N96" i="3"/>
  <c r="L96" i="3"/>
  <c r="K96" i="3"/>
  <c r="J96" i="3"/>
  <c r="I96" i="3"/>
  <c r="AT95" i="3" a="1"/>
  <c r="AT95" i="3"/>
  <c r="AS95" i="3"/>
  <c r="AF95" i="3"/>
  <c r="AD95" i="3"/>
  <c r="AC95" i="3"/>
  <c r="AB95" i="3"/>
  <c r="AA95" i="3"/>
  <c r="N95" i="3"/>
  <c r="L95" i="3"/>
  <c r="K95" i="3"/>
  <c r="J95" i="3"/>
  <c r="I95" i="3"/>
  <c r="AS94" i="3"/>
  <c r="AF94" i="3"/>
  <c r="AD94" i="3"/>
  <c r="AC94" i="3"/>
  <c r="AB94" i="3"/>
  <c r="AA94" i="3"/>
  <c r="N94" i="3"/>
  <c r="L94" i="3"/>
  <c r="K94" i="3"/>
  <c r="J94" i="3"/>
  <c r="I94" i="3"/>
  <c r="AS93" i="3"/>
  <c r="AF93" i="3"/>
  <c r="AD93" i="3"/>
  <c r="AC93" i="3"/>
  <c r="AB93" i="3"/>
  <c r="AA93" i="3"/>
  <c r="N93" i="3"/>
  <c r="L93" i="3"/>
  <c r="K93" i="3"/>
  <c r="J93" i="3"/>
  <c r="I93" i="3"/>
  <c r="AS92" i="3"/>
  <c r="AF92" i="3"/>
  <c r="AD92" i="3"/>
  <c r="AC92" i="3"/>
  <c r="AB92" i="3"/>
  <c r="AA92" i="3"/>
  <c r="N92" i="3"/>
  <c r="L92" i="3"/>
  <c r="K92" i="3"/>
  <c r="J92" i="3"/>
  <c r="I92" i="3"/>
  <c r="AS91" i="3"/>
  <c r="AF91" i="3"/>
  <c r="AD91" i="3"/>
  <c r="AC91" i="3"/>
  <c r="AB91" i="3"/>
  <c r="AA91" i="3"/>
  <c r="N91" i="3"/>
  <c r="L91" i="3"/>
  <c r="K91" i="3"/>
  <c r="J91" i="3"/>
  <c r="I91" i="3"/>
  <c r="AS90" i="3"/>
  <c r="AF90" i="3"/>
  <c r="AD90" i="3"/>
  <c r="AC90" i="3"/>
  <c r="AB90" i="3"/>
  <c r="AA90" i="3"/>
  <c r="N90" i="3"/>
  <c r="L90" i="3"/>
  <c r="K90" i="3"/>
  <c r="J90" i="3"/>
  <c r="I90" i="3"/>
  <c r="AT89" i="3" a="1"/>
  <c r="AT89" i="3" s="1"/>
  <c r="AS89" i="3"/>
  <c r="AF89" i="3"/>
  <c r="AD89" i="3"/>
  <c r="AC89" i="3"/>
  <c r="AB89" i="3"/>
  <c r="AA89" i="3"/>
  <c r="N89" i="3"/>
  <c r="L89" i="3"/>
  <c r="K89" i="3"/>
  <c r="J89" i="3"/>
  <c r="I89" i="3"/>
  <c r="AS88" i="3"/>
  <c r="AF88" i="3"/>
  <c r="AD88" i="3"/>
  <c r="AC88" i="3"/>
  <c r="AB88" i="3"/>
  <c r="AA88" i="3"/>
  <c r="N88" i="3"/>
  <c r="L88" i="3"/>
  <c r="K88" i="3"/>
  <c r="J88" i="3"/>
  <c r="I88" i="3"/>
  <c r="AS87" i="3"/>
  <c r="AF87" i="3"/>
  <c r="AD87" i="3"/>
  <c r="AC87" i="3"/>
  <c r="AB87" i="3"/>
  <c r="AA87" i="3"/>
  <c r="N87" i="3"/>
  <c r="L87" i="3"/>
  <c r="K87" i="3"/>
  <c r="J87" i="3"/>
  <c r="I87" i="3"/>
  <c r="AS86" i="3"/>
  <c r="AF86" i="3"/>
  <c r="AD86" i="3"/>
  <c r="AC86" i="3"/>
  <c r="AB86" i="3"/>
  <c r="AA86" i="3"/>
  <c r="N86" i="3"/>
  <c r="L86" i="3"/>
  <c r="K86" i="3"/>
  <c r="J86" i="3"/>
  <c r="I86" i="3"/>
  <c r="AS85" i="3"/>
  <c r="AF85" i="3"/>
  <c r="AD85" i="3"/>
  <c r="AC85" i="3"/>
  <c r="AB85" i="3"/>
  <c r="AA85" i="3"/>
  <c r="N85" i="3"/>
  <c r="L85" i="3"/>
  <c r="K85" i="3"/>
  <c r="J85" i="3"/>
  <c r="I85" i="3"/>
  <c r="AS84" i="3"/>
  <c r="AF84" i="3"/>
  <c r="AD84" i="3"/>
  <c r="AC84" i="3"/>
  <c r="AB84" i="3"/>
  <c r="AA84" i="3"/>
  <c r="N84" i="3"/>
  <c r="L84" i="3"/>
  <c r="K84" i="3"/>
  <c r="J84" i="3"/>
  <c r="I84" i="3"/>
  <c r="AT83" i="3" a="1"/>
  <c r="AT83" i="3" s="1"/>
  <c r="AS83" i="3"/>
  <c r="AF83" i="3"/>
  <c r="AD83" i="3"/>
  <c r="AC83" i="3"/>
  <c r="AB83" i="3"/>
  <c r="AA83" i="3"/>
  <c r="N83" i="3"/>
  <c r="L83" i="3"/>
  <c r="K83" i="3"/>
  <c r="J83" i="3"/>
  <c r="I83" i="3"/>
  <c r="AS82" i="3"/>
  <c r="AF82" i="3"/>
  <c r="AD82" i="3"/>
  <c r="AC82" i="3"/>
  <c r="AB82" i="3"/>
  <c r="AA82" i="3"/>
  <c r="N82" i="3"/>
  <c r="L82" i="3"/>
  <c r="K82" i="3"/>
  <c r="J82" i="3"/>
  <c r="I82" i="3"/>
  <c r="AS81" i="3"/>
  <c r="AF81" i="3"/>
  <c r="AD81" i="3"/>
  <c r="AC81" i="3"/>
  <c r="AB81" i="3"/>
  <c r="AA81" i="3"/>
  <c r="N81" i="3"/>
  <c r="L81" i="3"/>
  <c r="K81" i="3"/>
  <c r="J81" i="3"/>
  <c r="I81" i="3"/>
  <c r="AS80" i="3"/>
  <c r="AF80" i="3"/>
  <c r="AD80" i="3"/>
  <c r="AC80" i="3"/>
  <c r="AB80" i="3"/>
  <c r="AA80" i="3"/>
  <c r="N80" i="3"/>
  <c r="L80" i="3"/>
  <c r="K80" i="3"/>
  <c r="J80" i="3"/>
  <c r="I80" i="3"/>
  <c r="AS79" i="3"/>
  <c r="AF79" i="3"/>
  <c r="AD79" i="3"/>
  <c r="AC79" i="3"/>
  <c r="AB79" i="3"/>
  <c r="AA79" i="3"/>
  <c r="N79" i="3"/>
  <c r="L79" i="3"/>
  <c r="K79" i="3"/>
  <c r="J79" i="3"/>
  <c r="I79" i="3"/>
  <c r="AS78" i="3"/>
  <c r="AF78" i="3"/>
  <c r="AD78" i="3"/>
  <c r="AC78" i="3"/>
  <c r="AB78" i="3"/>
  <c r="AA78" i="3"/>
  <c r="N78" i="3"/>
  <c r="L78" i="3"/>
  <c r="K78" i="3"/>
  <c r="J78" i="3"/>
  <c r="I78" i="3"/>
  <c r="AT77" i="3" a="1"/>
  <c r="AT77" i="3"/>
  <c r="AS77" i="3"/>
  <c r="AF77" i="3"/>
  <c r="AD77" i="3"/>
  <c r="AC77" i="3"/>
  <c r="AB77" i="3"/>
  <c r="AA77" i="3"/>
  <c r="N77" i="3"/>
  <c r="L77" i="3"/>
  <c r="K77" i="3"/>
  <c r="J77" i="3"/>
  <c r="I77" i="3"/>
  <c r="AS76" i="3"/>
  <c r="AF76" i="3"/>
  <c r="AD76" i="3"/>
  <c r="AC76" i="3"/>
  <c r="AB76" i="3"/>
  <c r="AA76" i="3"/>
  <c r="N76" i="3"/>
  <c r="L76" i="3"/>
  <c r="K76" i="3"/>
  <c r="J76" i="3"/>
  <c r="I76" i="3"/>
  <c r="AS75" i="3"/>
  <c r="AF75" i="3"/>
  <c r="AD75" i="3"/>
  <c r="AC75" i="3"/>
  <c r="AB75" i="3"/>
  <c r="AA75" i="3"/>
  <c r="N75" i="3"/>
  <c r="L75" i="3"/>
  <c r="K75" i="3"/>
  <c r="J75" i="3"/>
  <c r="I75" i="3"/>
  <c r="AS74" i="3"/>
  <c r="AF74" i="3"/>
  <c r="AD74" i="3"/>
  <c r="AC74" i="3"/>
  <c r="AB74" i="3"/>
  <c r="AA74" i="3"/>
  <c r="N74" i="3"/>
  <c r="L74" i="3"/>
  <c r="K74" i="3"/>
  <c r="J74" i="3"/>
  <c r="I74" i="3"/>
  <c r="AS73" i="3"/>
  <c r="AF73" i="3"/>
  <c r="AD73" i="3"/>
  <c r="AC73" i="3"/>
  <c r="AB73" i="3"/>
  <c r="AA73" i="3"/>
  <c r="N73" i="3"/>
  <c r="L73" i="3"/>
  <c r="K73" i="3"/>
  <c r="J73" i="3"/>
  <c r="I73" i="3"/>
  <c r="AS72" i="3"/>
  <c r="AF72" i="3"/>
  <c r="AD72" i="3"/>
  <c r="AC72" i="3"/>
  <c r="AB72" i="3"/>
  <c r="AA72" i="3"/>
  <c r="N72" i="3"/>
  <c r="L72" i="3"/>
  <c r="K72" i="3"/>
  <c r="J72" i="3"/>
  <c r="I72" i="3"/>
  <c r="AT71" i="3" a="1"/>
  <c r="AT71" i="3"/>
  <c r="AS71" i="3"/>
  <c r="AF71" i="3"/>
  <c r="AD71" i="3"/>
  <c r="AC71" i="3"/>
  <c r="AB71" i="3"/>
  <c r="AA71" i="3"/>
  <c r="N71" i="3"/>
  <c r="L71" i="3"/>
  <c r="K71" i="3"/>
  <c r="J71" i="3"/>
  <c r="I71" i="3"/>
  <c r="AS70" i="3"/>
  <c r="AF70" i="3"/>
  <c r="AD70" i="3"/>
  <c r="AC70" i="3"/>
  <c r="AB70" i="3"/>
  <c r="AA70" i="3"/>
  <c r="N70" i="3"/>
  <c r="L70" i="3"/>
  <c r="K70" i="3"/>
  <c r="J70" i="3"/>
  <c r="I70" i="3"/>
  <c r="AS69" i="3"/>
  <c r="AF69" i="3"/>
  <c r="AD69" i="3"/>
  <c r="AC69" i="3"/>
  <c r="AB69" i="3"/>
  <c r="AA69" i="3"/>
  <c r="N69" i="3"/>
  <c r="L69" i="3"/>
  <c r="K69" i="3"/>
  <c r="J69" i="3"/>
  <c r="I69" i="3"/>
  <c r="AS68" i="3"/>
  <c r="AF68" i="3"/>
  <c r="AD68" i="3"/>
  <c r="AC68" i="3"/>
  <c r="AB68" i="3"/>
  <c r="AA68" i="3"/>
  <c r="N68" i="3"/>
  <c r="L68" i="3"/>
  <c r="K68" i="3"/>
  <c r="J68" i="3"/>
  <c r="I68" i="3"/>
  <c r="AS67" i="3"/>
  <c r="AF67" i="3"/>
  <c r="AD67" i="3"/>
  <c r="AC67" i="3"/>
  <c r="AB67" i="3"/>
  <c r="AA67" i="3"/>
  <c r="N67" i="3"/>
  <c r="L67" i="3"/>
  <c r="K67" i="3"/>
  <c r="J67" i="3"/>
  <c r="I67" i="3"/>
  <c r="AS66" i="3"/>
  <c r="AF66" i="3"/>
  <c r="AD66" i="3"/>
  <c r="AC66" i="3"/>
  <c r="AB66" i="3"/>
  <c r="AA66" i="3"/>
  <c r="N66" i="3"/>
  <c r="L66" i="3"/>
  <c r="K66" i="3"/>
  <c r="J66" i="3"/>
  <c r="I66" i="3"/>
  <c r="AT65" i="3" a="1"/>
  <c r="AT65" i="3"/>
  <c r="AS65" i="3"/>
  <c r="AF65" i="3"/>
  <c r="AD65" i="3"/>
  <c r="AC65" i="3"/>
  <c r="AB65" i="3"/>
  <c r="AA65" i="3"/>
  <c r="N65" i="3"/>
  <c r="L65" i="3"/>
  <c r="K65" i="3"/>
  <c r="J65" i="3"/>
  <c r="I65" i="3"/>
  <c r="AS64" i="3"/>
  <c r="AF64" i="3"/>
  <c r="AD64" i="3"/>
  <c r="AC64" i="3"/>
  <c r="AB64" i="3"/>
  <c r="AA64" i="3"/>
  <c r="N64" i="3"/>
  <c r="L64" i="3"/>
  <c r="K64" i="3"/>
  <c r="J64" i="3"/>
  <c r="I64" i="3"/>
  <c r="AS63" i="3"/>
  <c r="AF63" i="3"/>
  <c r="AD63" i="3"/>
  <c r="AC63" i="3"/>
  <c r="AB63" i="3"/>
  <c r="AA63" i="3"/>
  <c r="N63" i="3"/>
  <c r="L63" i="3"/>
  <c r="K63" i="3"/>
  <c r="J63" i="3"/>
  <c r="I63" i="3"/>
  <c r="AS62" i="3"/>
  <c r="AF62" i="3"/>
  <c r="AD62" i="3"/>
  <c r="AC62" i="3"/>
  <c r="AB62" i="3"/>
  <c r="AA62" i="3"/>
  <c r="N62" i="3"/>
  <c r="L62" i="3"/>
  <c r="K62" i="3"/>
  <c r="J62" i="3"/>
  <c r="I62" i="3"/>
  <c r="AS61" i="3"/>
  <c r="AF61" i="3"/>
  <c r="AD61" i="3"/>
  <c r="AC61" i="3"/>
  <c r="AB61" i="3"/>
  <c r="AA61" i="3"/>
  <c r="N61" i="3"/>
  <c r="L61" i="3"/>
  <c r="K61" i="3"/>
  <c r="J61" i="3"/>
  <c r="I61" i="3"/>
  <c r="AS60" i="3"/>
  <c r="AF60" i="3"/>
  <c r="AD60" i="3"/>
  <c r="AC60" i="3"/>
  <c r="AB60" i="3"/>
  <c r="AA60" i="3"/>
  <c r="N60" i="3"/>
  <c r="L60" i="3"/>
  <c r="K60" i="3"/>
  <c r="J60" i="3"/>
  <c r="I60" i="3"/>
  <c r="AT59" i="3" a="1"/>
  <c r="AT59" i="3"/>
  <c r="AS59" i="3"/>
  <c r="AF59" i="3"/>
  <c r="AD59" i="3"/>
  <c r="AC59" i="3"/>
  <c r="AB59" i="3"/>
  <c r="AA59" i="3"/>
  <c r="N59" i="3"/>
  <c r="L59" i="3"/>
  <c r="K59" i="3"/>
  <c r="J59" i="3"/>
  <c r="I59" i="3"/>
  <c r="AS58" i="3"/>
  <c r="AF58" i="3"/>
  <c r="AD58" i="3"/>
  <c r="AC58" i="3"/>
  <c r="AB58" i="3"/>
  <c r="AA58" i="3"/>
  <c r="N58" i="3"/>
  <c r="L58" i="3"/>
  <c r="K58" i="3"/>
  <c r="J58" i="3"/>
  <c r="I58" i="3"/>
  <c r="AS57" i="3"/>
  <c r="AF57" i="3"/>
  <c r="AD57" i="3"/>
  <c r="AC57" i="3"/>
  <c r="AB57" i="3"/>
  <c r="AA57" i="3"/>
  <c r="N57" i="3"/>
  <c r="L57" i="3"/>
  <c r="K57" i="3"/>
  <c r="J57" i="3"/>
  <c r="I57" i="3"/>
  <c r="AS56" i="3"/>
  <c r="AF56" i="3"/>
  <c r="AD56" i="3"/>
  <c r="AC56" i="3"/>
  <c r="AB56" i="3"/>
  <c r="AA56" i="3"/>
  <c r="N56" i="3"/>
  <c r="L56" i="3"/>
  <c r="K56" i="3"/>
  <c r="J56" i="3"/>
  <c r="I56" i="3"/>
  <c r="AS55" i="3"/>
  <c r="AF55" i="3"/>
  <c r="AD55" i="3"/>
  <c r="AC55" i="3"/>
  <c r="AB55" i="3"/>
  <c r="AA55" i="3"/>
  <c r="N55" i="3"/>
  <c r="L55" i="3"/>
  <c r="K55" i="3"/>
  <c r="J55" i="3"/>
  <c r="I55" i="3"/>
  <c r="AS54" i="3"/>
  <c r="AF54" i="3"/>
  <c r="AD54" i="3"/>
  <c r="AC54" i="3"/>
  <c r="AB54" i="3"/>
  <c r="AA54" i="3"/>
  <c r="N54" i="3"/>
  <c r="L54" i="3"/>
  <c r="K54" i="3"/>
  <c r="J54" i="3"/>
  <c r="I54" i="3"/>
  <c r="AT53" i="3" a="1"/>
  <c r="AT53" i="3" s="1"/>
  <c r="AS53" i="3"/>
  <c r="AF53" i="3"/>
  <c r="AD53" i="3"/>
  <c r="AC53" i="3"/>
  <c r="AB53" i="3"/>
  <c r="AA53" i="3"/>
  <c r="N53" i="3"/>
  <c r="L53" i="3"/>
  <c r="K53" i="3"/>
  <c r="J53" i="3"/>
  <c r="I53" i="3"/>
  <c r="AS52" i="3"/>
  <c r="AF52" i="3"/>
  <c r="AD52" i="3"/>
  <c r="AC52" i="3"/>
  <c r="AB52" i="3"/>
  <c r="AA52" i="3"/>
  <c r="N52" i="3"/>
  <c r="L52" i="3"/>
  <c r="K52" i="3"/>
  <c r="J52" i="3"/>
  <c r="I52" i="3"/>
  <c r="AS51" i="3"/>
  <c r="AF51" i="3"/>
  <c r="AD51" i="3"/>
  <c r="AC51" i="3"/>
  <c r="AB51" i="3"/>
  <c r="AA51" i="3"/>
  <c r="N51" i="3"/>
  <c r="L51" i="3"/>
  <c r="K51" i="3"/>
  <c r="J51" i="3"/>
  <c r="I51" i="3"/>
  <c r="AS50" i="3"/>
  <c r="AF50" i="3"/>
  <c r="AD50" i="3"/>
  <c r="AC50" i="3"/>
  <c r="AB50" i="3"/>
  <c r="AA50" i="3"/>
  <c r="N50" i="3"/>
  <c r="L50" i="3"/>
  <c r="K50" i="3"/>
  <c r="J50" i="3"/>
  <c r="I50" i="3"/>
  <c r="AS49" i="3"/>
  <c r="AF49" i="3"/>
  <c r="AD49" i="3"/>
  <c r="AC49" i="3"/>
  <c r="AB49" i="3"/>
  <c r="AA49" i="3"/>
  <c r="N49" i="3"/>
  <c r="L49" i="3"/>
  <c r="K49" i="3"/>
  <c r="J49" i="3"/>
  <c r="I49" i="3"/>
  <c r="AS48" i="3"/>
  <c r="AF48" i="3"/>
  <c r="AD48" i="3"/>
  <c r="AC48" i="3"/>
  <c r="AB48" i="3"/>
  <c r="AA48" i="3"/>
  <c r="N48" i="3"/>
  <c r="L48" i="3"/>
  <c r="K48" i="3"/>
  <c r="J48" i="3"/>
  <c r="I48" i="3"/>
  <c r="AT47" i="3" a="1"/>
  <c r="AT47" i="3" s="1"/>
  <c r="AS47" i="3"/>
  <c r="AF47" i="3"/>
  <c r="AD47" i="3"/>
  <c r="AC47" i="3"/>
  <c r="AB47" i="3"/>
  <c r="AA47" i="3"/>
  <c r="N47" i="3"/>
  <c r="L47" i="3"/>
  <c r="K47" i="3"/>
  <c r="J47" i="3"/>
  <c r="I47" i="3"/>
  <c r="AS46" i="3"/>
  <c r="AF46" i="3"/>
  <c r="AD46" i="3"/>
  <c r="AC46" i="3"/>
  <c r="AB46" i="3"/>
  <c r="AA46" i="3"/>
  <c r="N46" i="3"/>
  <c r="L46" i="3"/>
  <c r="K46" i="3"/>
  <c r="J46" i="3"/>
  <c r="I46" i="3"/>
  <c r="AS45" i="3"/>
  <c r="AF45" i="3"/>
  <c r="AD45" i="3"/>
  <c r="AC45" i="3"/>
  <c r="AB45" i="3"/>
  <c r="AA45" i="3"/>
  <c r="N45" i="3"/>
  <c r="L45" i="3"/>
  <c r="K45" i="3"/>
  <c r="J45" i="3"/>
  <c r="I45" i="3"/>
  <c r="AS44" i="3"/>
  <c r="AF44" i="3"/>
  <c r="AD44" i="3"/>
  <c r="AC44" i="3"/>
  <c r="AB44" i="3"/>
  <c r="AA44" i="3"/>
  <c r="N44" i="3"/>
  <c r="L44" i="3"/>
  <c r="K44" i="3"/>
  <c r="J44" i="3"/>
  <c r="I44" i="3"/>
  <c r="AS43" i="3"/>
  <c r="AF43" i="3"/>
  <c r="AD43" i="3"/>
  <c r="AC43" i="3"/>
  <c r="AB43" i="3"/>
  <c r="AA43" i="3"/>
  <c r="N43" i="3"/>
  <c r="L43" i="3"/>
  <c r="K43" i="3"/>
  <c r="J43" i="3"/>
  <c r="I43" i="3"/>
  <c r="AS42" i="3"/>
  <c r="AF42" i="3"/>
  <c r="AD42" i="3"/>
  <c r="AC42" i="3"/>
  <c r="AB42" i="3"/>
  <c r="AA42" i="3"/>
  <c r="N42" i="3"/>
  <c r="L42" i="3"/>
  <c r="K42" i="3"/>
  <c r="J42" i="3"/>
  <c r="I42" i="3"/>
  <c r="AT41" i="3" a="1"/>
  <c r="AT41" i="3"/>
  <c r="AS41" i="3"/>
  <c r="AF41" i="3"/>
  <c r="AD41" i="3"/>
  <c r="AC41" i="3"/>
  <c r="AB41" i="3"/>
  <c r="AA41" i="3"/>
  <c r="N41" i="3"/>
  <c r="L41" i="3"/>
  <c r="K41" i="3"/>
  <c r="J41" i="3"/>
  <c r="I41" i="3"/>
  <c r="AS40" i="3"/>
  <c r="AF40" i="3"/>
  <c r="AD40" i="3"/>
  <c r="AC40" i="3"/>
  <c r="AB40" i="3"/>
  <c r="AA40" i="3"/>
  <c r="N40" i="3"/>
  <c r="L40" i="3"/>
  <c r="K40" i="3"/>
  <c r="J40" i="3"/>
  <c r="I40" i="3"/>
  <c r="AS39" i="3"/>
  <c r="AF39" i="3"/>
  <c r="AD39" i="3"/>
  <c r="AC39" i="3"/>
  <c r="AB39" i="3"/>
  <c r="AA39" i="3"/>
  <c r="N39" i="3"/>
  <c r="L39" i="3"/>
  <c r="K39" i="3"/>
  <c r="J39" i="3"/>
  <c r="I39" i="3"/>
  <c r="AS38" i="3"/>
  <c r="AF38" i="3"/>
  <c r="AD38" i="3"/>
  <c r="AC38" i="3"/>
  <c r="AB38" i="3"/>
  <c r="AA38" i="3"/>
  <c r="N38" i="3"/>
  <c r="L38" i="3"/>
  <c r="K38" i="3"/>
  <c r="J38" i="3"/>
  <c r="I38" i="3"/>
  <c r="AS37" i="3"/>
  <c r="AF37" i="3"/>
  <c r="AD37" i="3"/>
  <c r="AC37" i="3"/>
  <c r="AB37" i="3"/>
  <c r="AA37" i="3"/>
  <c r="N37" i="3"/>
  <c r="L37" i="3"/>
  <c r="K37" i="3"/>
  <c r="J37" i="3"/>
  <c r="I37" i="3"/>
  <c r="AS36" i="3"/>
  <c r="AF36" i="3"/>
  <c r="AD36" i="3"/>
  <c r="AC36" i="3"/>
  <c r="AB36" i="3"/>
  <c r="AA36" i="3"/>
  <c r="N36" i="3"/>
  <c r="L36" i="3"/>
  <c r="K36" i="3"/>
  <c r="J36" i="3"/>
  <c r="I36" i="3"/>
  <c r="AT35" i="3" a="1"/>
  <c r="AT35" i="3"/>
  <c r="AS35" i="3"/>
  <c r="AF35" i="3"/>
  <c r="AD35" i="3"/>
  <c r="AC35" i="3"/>
  <c r="AB35" i="3"/>
  <c r="AA35" i="3"/>
  <c r="N35" i="3"/>
  <c r="L35" i="3"/>
  <c r="K35" i="3"/>
  <c r="J35" i="3"/>
  <c r="I35" i="3"/>
  <c r="AS34" i="3"/>
  <c r="AF34" i="3"/>
  <c r="AD34" i="3"/>
  <c r="AC34" i="3"/>
  <c r="AB34" i="3"/>
  <c r="AA34" i="3"/>
  <c r="N34" i="3"/>
  <c r="L34" i="3"/>
  <c r="K34" i="3"/>
  <c r="J34" i="3"/>
  <c r="I34" i="3"/>
  <c r="AS33" i="3"/>
  <c r="AF33" i="3"/>
  <c r="AD33" i="3"/>
  <c r="AC33" i="3"/>
  <c r="AB33" i="3"/>
  <c r="AA33" i="3"/>
  <c r="N33" i="3"/>
  <c r="L33" i="3"/>
  <c r="K33" i="3"/>
  <c r="J33" i="3"/>
  <c r="I33" i="3"/>
  <c r="AS32" i="3"/>
  <c r="AF32" i="3"/>
  <c r="AD32" i="3"/>
  <c r="AC32" i="3"/>
  <c r="AB32" i="3"/>
  <c r="AA32" i="3"/>
  <c r="N32" i="3"/>
  <c r="L32" i="3"/>
  <c r="K32" i="3"/>
  <c r="J32" i="3"/>
  <c r="I32" i="3"/>
  <c r="AS31" i="3"/>
  <c r="AF31" i="3"/>
  <c r="AD31" i="3"/>
  <c r="AC31" i="3"/>
  <c r="AB31" i="3"/>
  <c r="AA31" i="3"/>
  <c r="N31" i="3"/>
  <c r="L31" i="3"/>
  <c r="K31" i="3"/>
  <c r="J31" i="3"/>
  <c r="I31" i="3"/>
  <c r="AS30" i="3"/>
  <c r="AF30" i="3"/>
  <c r="AD30" i="3"/>
  <c r="AC30" i="3"/>
  <c r="AB30" i="3"/>
  <c r="AA30" i="3"/>
  <c r="N30" i="3"/>
  <c r="L30" i="3"/>
  <c r="K30" i="3"/>
  <c r="J30" i="3"/>
  <c r="I30" i="3"/>
  <c r="AT29" i="3" a="1"/>
  <c r="AT29" i="3"/>
  <c r="AS29" i="3"/>
  <c r="AF29" i="3"/>
  <c r="AD29" i="3"/>
  <c r="AC29" i="3"/>
  <c r="AB29" i="3"/>
  <c r="AA29" i="3"/>
  <c r="N29" i="3"/>
  <c r="L29" i="3"/>
  <c r="K29" i="3"/>
  <c r="J29" i="3"/>
  <c r="I29" i="3"/>
  <c r="AS28" i="3"/>
  <c r="AF28" i="3"/>
  <c r="AD28" i="3"/>
  <c r="AC28" i="3"/>
  <c r="AB28" i="3"/>
  <c r="AA28" i="3"/>
  <c r="N28" i="3"/>
  <c r="L28" i="3"/>
  <c r="K28" i="3"/>
  <c r="J28" i="3"/>
  <c r="I28" i="3"/>
  <c r="AS27" i="3"/>
  <c r="AF27" i="3"/>
  <c r="AD27" i="3"/>
  <c r="AC27" i="3"/>
  <c r="AB27" i="3"/>
  <c r="AA27" i="3"/>
  <c r="N27" i="3"/>
  <c r="L27" i="3"/>
  <c r="K27" i="3"/>
  <c r="J27" i="3"/>
  <c r="I27" i="3"/>
  <c r="AS26" i="3"/>
  <c r="AF26" i="3"/>
  <c r="AD26" i="3"/>
  <c r="AC26" i="3"/>
  <c r="AB26" i="3"/>
  <c r="AA26" i="3"/>
  <c r="N26" i="3"/>
  <c r="L26" i="3"/>
  <c r="K26" i="3"/>
  <c r="J26" i="3"/>
  <c r="I26" i="3"/>
  <c r="AS25" i="3"/>
  <c r="AF25" i="3"/>
  <c r="AD25" i="3"/>
  <c r="AC25" i="3"/>
  <c r="AB25" i="3"/>
  <c r="AA25" i="3"/>
  <c r="N25" i="3"/>
  <c r="L25" i="3"/>
  <c r="K25" i="3"/>
  <c r="J25" i="3"/>
  <c r="I25" i="3"/>
  <c r="AS24" i="3"/>
  <c r="AF24" i="3"/>
  <c r="AD24" i="3"/>
  <c r="AC24" i="3"/>
  <c r="AB24" i="3"/>
  <c r="AA24" i="3"/>
  <c r="N24" i="3"/>
  <c r="L24" i="3"/>
  <c r="K24" i="3"/>
  <c r="J24" i="3"/>
  <c r="I24" i="3"/>
  <c r="AT23" i="3" a="1"/>
  <c r="AT23" i="3"/>
  <c r="AS23" i="3"/>
  <c r="AF23" i="3"/>
  <c r="AD23" i="3"/>
  <c r="AC23" i="3"/>
  <c r="AB23" i="3"/>
  <c r="AA23" i="3"/>
  <c r="N23" i="3"/>
  <c r="L23" i="3"/>
  <c r="K23" i="3"/>
  <c r="J23" i="3"/>
  <c r="I23" i="3"/>
  <c r="AS22" i="3"/>
  <c r="AF22" i="3"/>
  <c r="AD22" i="3"/>
  <c r="AC22" i="3"/>
  <c r="AB22" i="3"/>
  <c r="AA22" i="3"/>
  <c r="N22" i="3"/>
  <c r="L22" i="3"/>
  <c r="K22" i="3"/>
  <c r="J22" i="3"/>
  <c r="I22" i="3"/>
  <c r="AS21" i="3"/>
  <c r="AF21" i="3"/>
  <c r="AD21" i="3"/>
  <c r="AC21" i="3"/>
  <c r="AB21" i="3"/>
  <c r="AA21" i="3"/>
  <c r="N21" i="3"/>
  <c r="L21" i="3"/>
  <c r="K21" i="3"/>
  <c r="J21" i="3"/>
  <c r="I21" i="3"/>
  <c r="AS20" i="3"/>
  <c r="AF20" i="3"/>
  <c r="AD20" i="3"/>
  <c r="AC20" i="3"/>
  <c r="AB20" i="3"/>
  <c r="AA20" i="3"/>
  <c r="N20" i="3"/>
  <c r="L20" i="3"/>
  <c r="K20" i="3"/>
  <c r="J20" i="3"/>
  <c r="I20" i="3"/>
  <c r="AS19" i="3"/>
  <c r="AF19" i="3"/>
  <c r="AD19" i="3"/>
  <c r="AC19" i="3"/>
  <c r="AB19" i="3"/>
  <c r="AA19" i="3"/>
  <c r="N19" i="3"/>
  <c r="L19" i="3"/>
  <c r="K19" i="3"/>
  <c r="J19" i="3"/>
  <c r="I19" i="3"/>
  <c r="AS18" i="3"/>
  <c r="AF18" i="3"/>
  <c r="AD18" i="3"/>
  <c r="AC18" i="3"/>
  <c r="AB18" i="3"/>
  <c r="AA18" i="3"/>
  <c r="N18" i="3"/>
  <c r="L18" i="3"/>
  <c r="K18" i="3"/>
  <c r="J18" i="3"/>
  <c r="I18" i="3"/>
  <c r="AT17" i="3" a="1"/>
  <c r="AT17" i="3" s="1"/>
  <c r="AS17" i="3"/>
  <c r="AF17" i="3"/>
  <c r="AD17" i="3"/>
  <c r="AC17" i="3"/>
  <c r="AB17" i="3"/>
  <c r="AA17" i="3"/>
  <c r="N17" i="3"/>
  <c r="L17" i="3"/>
  <c r="K17" i="3"/>
  <c r="J17" i="3"/>
  <c r="I17" i="3"/>
  <c r="AS16" i="3"/>
  <c r="AF16" i="3"/>
  <c r="AD16" i="3"/>
  <c r="AC16" i="3"/>
  <c r="AB16" i="3"/>
  <c r="AA16" i="3"/>
  <c r="N16" i="3"/>
  <c r="L16" i="3"/>
  <c r="K16" i="3"/>
  <c r="J16" i="3"/>
  <c r="I16" i="3"/>
  <c r="AS15" i="3"/>
  <c r="AF15" i="3"/>
  <c r="AD15" i="3"/>
  <c r="AC15" i="3"/>
  <c r="AB15" i="3"/>
  <c r="AA15" i="3"/>
  <c r="N15" i="3"/>
  <c r="L15" i="3"/>
  <c r="K15" i="3"/>
  <c r="J15" i="3"/>
  <c r="I15" i="3"/>
  <c r="AS14" i="3"/>
  <c r="AF14" i="3"/>
  <c r="AD14" i="3"/>
  <c r="AC14" i="3"/>
  <c r="AB14" i="3"/>
  <c r="AA14" i="3"/>
  <c r="N14" i="3"/>
  <c r="L14" i="3"/>
  <c r="K14" i="3"/>
  <c r="J14" i="3"/>
  <c r="I14" i="3"/>
  <c r="AS13" i="3"/>
  <c r="AF13" i="3"/>
  <c r="AD13" i="3"/>
  <c r="AC13" i="3"/>
  <c r="AB13" i="3"/>
  <c r="AB345" i="3" s="1"/>
  <c r="AA13" i="3"/>
  <c r="N13" i="3"/>
  <c r="L13" i="3"/>
  <c r="K13" i="3"/>
  <c r="J13" i="3"/>
  <c r="I13" i="3"/>
  <c r="AS12" i="3"/>
  <c r="AF12" i="3"/>
  <c r="AD12" i="3"/>
  <c r="AC12" i="3"/>
  <c r="AB12" i="3"/>
  <c r="AA12" i="3"/>
  <c r="N12" i="3"/>
  <c r="L12" i="3"/>
  <c r="K12" i="3"/>
  <c r="J12" i="3"/>
  <c r="I12" i="3"/>
  <c r="AT11" i="3" a="1"/>
  <c r="AT11" i="3" s="1"/>
  <c r="AS11" i="3"/>
  <c r="AF11" i="3"/>
  <c r="AD11" i="3"/>
  <c r="AC11" i="3"/>
  <c r="AB11" i="3"/>
  <c r="AA11" i="3"/>
  <c r="N11" i="3"/>
  <c r="L11" i="3"/>
  <c r="K11" i="3"/>
  <c r="J11" i="3"/>
  <c r="I11" i="3"/>
  <c r="AS10" i="3"/>
  <c r="AF10" i="3"/>
  <c r="AD10" i="3"/>
  <c r="AC10" i="3"/>
  <c r="AB10" i="3"/>
  <c r="AA10" i="3"/>
  <c r="N10" i="3"/>
  <c r="L10" i="3"/>
  <c r="K10" i="3"/>
  <c r="J10" i="3"/>
  <c r="I10" i="3"/>
  <c r="AS9" i="3"/>
  <c r="AF9" i="3"/>
  <c r="AD9" i="3"/>
  <c r="AC9" i="3"/>
  <c r="AB9" i="3"/>
  <c r="AA9" i="3"/>
  <c r="N9" i="3"/>
  <c r="L9" i="3"/>
  <c r="K9" i="3"/>
  <c r="J9" i="3"/>
  <c r="I9" i="3"/>
  <c r="AS8" i="3"/>
  <c r="AF8" i="3"/>
  <c r="AD8" i="3"/>
  <c r="AC8" i="3"/>
  <c r="AB8" i="3"/>
  <c r="AA8" i="3"/>
  <c r="N8" i="3"/>
  <c r="L8" i="3"/>
  <c r="K8" i="3"/>
  <c r="J8" i="3"/>
  <c r="I8" i="3"/>
  <c r="AS7" i="3"/>
  <c r="AF7" i="3"/>
  <c r="AD7" i="3"/>
  <c r="AC7" i="3"/>
  <c r="AB7" i="3"/>
  <c r="AA7" i="3"/>
  <c r="N7" i="3"/>
  <c r="L7" i="3"/>
  <c r="K7" i="3"/>
  <c r="J7" i="3"/>
  <c r="I7" i="3"/>
  <c r="AS6" i="3"/>
  <c r="AF6" i="3"/>
  <c r="AD6" i="3"/>
  <c r="AC6" i="3"/>
  <c r="AB6" i="3"/>
  <c r="AA6" i="3"/>
  <c r="N6" i="3"/>
  <c r="L6" i="3"/>
  <c r="K6" i="3"/>
  <c r="J6" i="3"/>
  <c r="I6" i="3"/>
  <c r="AT5" i="3" a="1"/>
  <c r="AT5" i="3"/>
  <c r="AS5" i="3"/>
  <c r="AF5" i="3"/>
  <c r="AD5" i="3"/>
  <c r="AD345" i="3" s="1"/>
  <c r="AC5" i="3"/>
  <c r="AC341" i="3" s="1"/>
  <c r="AB5" i="3"/>
  <c r="AB341" i="3" s="1"/>
  <c r="AA5" i="3"/>
  <c r="N5" i="3"/>
  <c r="L5" i="3"/>
  <c r="L341" i="3" s="1"/>
  <c r="K5" i="3"/>
  <c r="K341" i="3" s="1"/>
  <c r="J5" i="3"/>
  <c r="J345" i="3" s="1"/>
  <c r="I5" i="3"/>
  <c r="B1" i="2"/>
  <c r="B2" i="2" s="1"/>
  <c r="C48" i="1"/>
  <c r="C47" i="1"/>
  <c r="C37" i="1"/>
  <c r="C36" i="1"/>
  <c r="C26" i="1"/>
  <c r="C25" i="1"/>
  <c r="BH311" i="5"/>
  <c r="AX143" i="3"/>
  <c r="AY335" i="3"/>
  <c r="BC101" i="3"/>
  <c r="BD293" i="5"/>
  <c r="AV251" i="3"/>
  <c r="AX233" i="3"/>
  <c r="BI281" i="5"/>
  <c r="BC23" i="5"/>
  <c r="BG287" i="5"/>
  <c r="AV221" i="3"/>
  <c r="BE299" i="5"/>
  <c r="BK257" i="5"/>
  <c r="BA251" i="3"/>
  <c r="BG5" i="5"/>
  <c r="BJ173" i="5"/>
  <c r="BD161" i="5"/>
  <c r="BB275" i="3"/>
  <c r="BB239" i="5"/>
  <c r="BK173" i="5"/>
  <c r="BH131" i="5"/>
  <c r="BD185" i="5"/>
  <c r="BB203" i="3"/>
  <c r="BB155" i="5"/>
  <c r="BC173" i="3"/>
  <c r="BB119" i="3"/>
  <c r="BG23" i="5"/>
  <c r="BO245" i="7"/>
  <c r="BO235" i="7"/>
  <c r="BS220" i="7"/>
  <c r="BE205" i="7"/>
  <c r="BS195" i="7"/>
  <c r="BP180" i="7"/>
  <c r="BI165" i="7"/>
  <c r="BU155" i="7"/>
  <c r="BU140" i="7"/>
  <c r="BI125" i="7"/>
  <c r="BO115" i="7"/>
  <c r="BS100" i="7"/>
  <c r="BD85" i="7"/>
  <c r="BT75" i="7"/>
  <c r="BU60" i="7"/>
  <c r="BD45" i="7"/>
  <c r="BT35" i="7"/>
  <c r="BN20" i="7"/>
  <c r="BE5" i="7"/>
  <c r="BV270" i="7"/>
  <c r="BO240" i="7"/>
  <c r="BE200" i="7"/>
  <c r="BF135" i="7"/>
  <c r="BD160" i="7"/>
  <c r="BS25" i="7"/>
  <c r="BU65" i="7"/>
  <c r="BK115" i="7"/>
  <c r="AZ83" i="5"/>
  <c r="BD131" i="5"/>
  <c r="BL317" i="5"/>
  <c r="BD17" i="5"/>
  <c r="BK239" i="5"/>
  <c r="BI257" i="5"/>
  <c r="AX47" i="3"/>
  <c r="BD95" i="5"/>
  <c r="BA245" i="5"/>
  <c r="BC65" i="5"/>
  <c r="BH263" i="5"/>
  <c r="AZ227" i="5"/>
  <c r="BA23" i="5"/>
  <c r="BG143" i="5"/>
  <c r="BJ257" i="5"/>
  <c r="AV95" i="3"/>
  <c r="BA221" i="3"/>
  <c r="BK167" i="5"/>
  <c r="BC155" i="5"/>
  <c r="AW11" i="3"/>
  <c r="BC167" i="3"/>
  <c r="BB257" i="3"/>
  <c r="BJ53" i="5"/>
  <c r="AV161" i="3"/>
  <c r="BB125" i="5"/>
  <c r="BG29" i="5"/>
  <c r="BB245" i="3"/>
  <c r="BG240" i="7"/>
  <c r="BD230" i="7"/>
  <c r="BT220" i="7"/>
  <c r="BD205" i="7"/>
  <c r="BF190" i="7"/>
  <c r="BU180" i="7"/>
  <c r="BD165" i="7"/>
  <c r="BF150" i="7"/>
  <c r="BN140" i="7"/>
  <c r="BE125" i="7"/>
  <c r="BI110" i="7"/>
  <c r="BU100" i="7"/>
  <c r="BE85" i="7"/>
  <c r="BF70" i="7"/>
  <c r="BT60" i="7"/>
  <c r="BJ45" i="7"/>
  <c r="BK30" i="7"/>
  <c r="BT20" i="7"/>
  <c r="BD5" i="7"/>
  <c r="BG265" i="7"/>
  <c r="AW17" i="3"/>
  <c r="BF215" i="7"/>
  <c r="BK120" i="7"/>
  <c r="BO150" i="7"/>
  <c r="BK90" i="7"/>
  <c r="BT10" i="7"/>
  <c r="BI60" i="7"/>
  <c r="AV89" i="3"/>
  <c r="BC161" i="3"/>
  <c r="AZ107" i="5"/>
  <c r="BG293" i="5"/>
  <c r="BA89" i="5"/>
  <c r="BG215" i="5"/>
  <c r="BH53" i="5"/>
  <c r="BB245" i="5"/>
  <c r="BI23" i="5"/>
  <c r="AW35" i="3"/>
  <c r="BH47" i="5"/>
  <c r="BA281" i="3"/>
  <c r="AZ287" i="5"/>
  <c r="AV173" i="3"/>
  <c r="BH41" i="5"/>
  <c r="AZ59" i="5"/>
  <c r="BC5" i="5"/>
  <c r="AV233" i="3"/>
  <c r="AW161" i="3"/>
  <c r="BD137" i="5"/>
  <c r="BA47" i="3"/>
  <c r="BH299" i="5"/>
  <c r="BK203" i="5"/>
  <c r="BJ107" i="5"/>
  <c r="BB95" i="5"/>
  <c r="BI155" i="5"/>
  <c r="BJ125" i="5"/>
  <c r="BL240" i="7"/>
  <c r="BE230" i="7"/>
  <c r="BN220" i="7"/>
  <c r="BK205" i="7"/>
  <c r="BE190" i="7"/>
  <c r="BO180" i="7"/>
  <c r="BK165" i="7"/>
  <c r="BJ150" i="7"/>
  <c r="BP140" i="7"/>
  <c r="BJ125" i="7"/>
  <c r="BE110" i="7"/>
  <c r="BN100" i="7"/>
  <c r="BF85" i="7"/>
  <c r="BK70" i="7"/>
  <c r="BS60" i="7"/>
  <c r="BI45" i="7"/>
  <c r="BI30" i="7"/>
  <c r="BU20" i="7"/>
  <c r="BJ5" i="7"/>
  <c r="BL265" i="7"/>
  <c r="BG125" i="5"/>
  <c r="BU190" i="7"/>
  <c r="BD95" i="7"/>
  <c r="BE80" i="7"/>
  <c r="BL260" i="7"/>
  <c r="BP65" i="7"/>
  <c r="BP25" i="7"/>
  <c r="BU75" i="7"/>
  <c r="BB233" i="3"/>
  <c r="BH251" i="5"/>
  <c r="BB107" i="3"/>
  <c r="BD47" i="5"/>
  <c r="AX59" i="3"/>
  <c r="AV239" i="3"/>
  <c r="BD191" i="5"/>
  <c r="BI11" i="5"/>
  <c r="BD155" i="5"/>
  <c r="BB173" i="5"/>
  <c r="BC143" i="5"/>
  <c r="BB167" i="5"/>
  <c r="BC125" i="5"/>
  <c r="BK233" i="5"/>
  <c r="BB179" i="5"/>
  <c r="BG173" i="5"/>
  <c r="BD173" i="5"/>
  <c r="AV119" i="3"/>
  <c r="BH29" i="5"/>
  <c r="BK89" i="5"/>
  <c r="BI143" i="5"/>
  <c r="BB65" i="5"/>
  <c r="BH125" i="5"/>
  <c r="BE335" i="5"/>
  <c r="AW89" i="3"/>
  <c r="AV179" i="3"/>
  <c r="AV125" i="3"/>
  <c r="BD240" i="7"/>
  <c r="BF230" i="7"/>
  <c r="BU220" i="7"/>
  <c r="BU205" i="7"/>
  <c r="BD190" i="7"/>
  <c r="BT180" i="7"/>
  <c r="BP165" i="7"/>
  <c r="BD150" i="7"/>
  <c r="BT140" i="7"/>
  <c r="BS125" i="7"/>
  <c r="BJ110" i="7"/>
  <c r="BO100" i="7"/>
  <c r="BU85" i="7"/>
  <c r="BI70" i="7"/>
  <c r="BP60" i="7"/>
  <c r="BS45" i="7"/>
  <c r="BD30" i="7"/>
  <c r="BS20" i="7"/>
  <c r="BT5" i="7"/>
  <c r="BQ265" i="7"/>
  <c r="BB209" i="3"/>
  <c r="BF175" i="7"/>
  <c r="BN70" i="7"/>
  <c r="BJ135" i="7"/>
  <c r="BD75" i="7"/>
  <c r="BP130" i="7"/>
  <c r="BP35" i="7"/>
  <c r="BH143" i="5"/>
  <c r="BK5" i="5"/>
  <c r="AZ35" i="5"/>
  <c r="BC5" i="3"/>
  <c r="AX281" i="3"/>
  <c r="BA89" i="3"/>
  <c r="BB71" i="5"/>
  <c r="BA77" i="5"/>
  <c r="BK293" i="5"/>
  <c r="BC251" i="3"/>
  <c r="BA305" i="5"/>
  <c r="BC263" i="5"/>
  <c r="BG203" i="5"/>
  <c r="BC11" i="5"/>
  <c r="BI131" i="5"/>
  <c r="AX227" i="3"/>
  <c r="BC257" i="3"/>
  <c r="BK221" i="5"/>
  <c r="BI203" i="5"/>
  <c r="AW47" i="3"/>
  <c r="BC209" i="3"/>
  <c r="BB65" i="3"/>
  <c r="AX107" i="3"/>
  <c r="BJ287" i="5"/>
  <c r="BC233" i="5"/>
  <c r="BB269" i="5"/>
  <c r="BI107" i="5"/>
  <c r="BI240" i="7"/>
  <c r="BK230" i="7"/>
  <c r="BP220" i="7"/>
  <c r="BS205" i="7"/>
  <c r="BK190" i="7"/>
  <c r="BN180" i="7"/>
  <c r="BU165" i="7"/>
  <c r="BE150" i="7"/>
  <c r="BO140" i="7"/>
  <c r="BN125" i="7"/>
  <c r="BK110" i="7"/>
  <c r="BP100" i="7"/>
  <c r="BN85" i="7"/>
  <c r="BJ70" i="7"/>
  <c r="BO60" i="7"/>
  <c r="BN45" i="7"/>
  <c r="BE30" i="7"/>
  <c r="BO20" i="7"/>
  <c r="BP5" i="7"/>
  <c r="BV265" i="7"/>
  <c r="BC119" i="3"/>
  <c r="BP150" i="7"/>
  <c r="BG260" i="7"/>
  <c r="BT30" i="7"/>
  <c r="BD170" i="7"/>
  <c r="BU105" i="7"/>
  <c r="BF100" i="7"/>
  <c r="BA167" i="3"/>
  <c r="BC227" i="3"/>
  <c r="BA299" i="5"/>
  <c r="BK287" i="5"/>
  <c r="BA263" i="5"/>
  <c r="BJ185" i="5"/>
  <c r="BK251" i="5"/>
  <c r="BJ251" i="5"/>
  <c r="BK71" i="5"/>
  <c r="BA269" i="5"/>
  <c r="BI233" i="5"/>
  <c r="BI29" i="5"/>
  <c r="BD149" i="5"/>
  <c r="BG59" i="5"/>
  <c r="BC125" i="3"/>
  <c r="BA47" i="5"/>
  <c r="AX161" i="3"/>
  <c r="BD305" i="3"/>
  <c r="AX245" i="3"/>
  <c r="BC221" i="3"/>
  <c r="AW101" i="3"/>
  <c r="BH167" i="5"/>
  <c r="BC233" i="3"/>
  <c r="BG53" i="5"/>
  <c r="BJ101" i="5"/>
  <c r="BH35" i="5"/>
  <c r="BH335" i="5"/>
  <c r="BJ240" i="7"/>
  <c r="BI230" i="7"/>
  <c r="BK215" i="7"/>
  <c r="BP205" i="7"/>
  <c r="BJ190" i="7"/>
  <c r="BD175" i="7"/>
  <c r="BT165" i="7"/>
  <c r="BI150" i="7"/>
  <c r="BE135" i="7"/>
  <c r="BT125" i="7"/>
  <c r="BF110" i="7"/>
  <c r="BI95" i="7"/>
  <c r="BO85" i="7"/>
  <c r="BD70" i="7"/>
  <c r="BE55" i="7"/>
  <c r="BU45" i="7"/>
  <c r="BJ30" i="7"/>
  <c r="BD15" i="7"/>
  <c r="BU5" i="7"/>
  <c r="AZ131" i="5"/>
  <c r="BU110" i="7"/>
  <c r="BP110" i="7"/>
  <c r="BI115" i="7"/>
  <c r="BQ280" i="7"/>
  <c r="BG275" i="7"/>
  <c r="BA257" i="5"/>
  <c r="BI113" i="5"/>
  <c r="BD59" i="5"/>
  <c r="BI95" i="5"/>
  <c r="AZ221" i="5"/>
  <c r="AZ101" i="5"/>
  <c r="BA17" i="5"/>
  <c r="BA29" i="5"/>
  <c r="BC65" i="3"/>
  <c r="AZ53" i="5"/>
  <c r="AW287" i="3"/>
  <c r="BL323" i="5"/>
  <c r="AV143" i="3"/>
  <c r="BL281" i="5"/>
  <c r="BA275" i="3"/>
  <c r="BG185" i="5"/>
  <c r="BD227" i="5"/>
  <c r="BB89" i="3"/>
  <c r="BG191" i="5"/>
  <c r="BA137" i="5"/>
  <c r="BH197" i="5"/>
  <c r="AX209" i="3"/>
  <c r="BK161" i="5"/>
  <c r="AY323" i="3"/>
  <c r="BA125" i="3"/>
  <c r="BG47" i="5"/>
  <c r="BI83" i="5"/>
  <c r="BK240" i="7"/>
  <c r="BJ230" i="7"/>
  <c r="BJ215" i="7"/>
  <c r="BO205" i="7"/>
  <c r="BI190" i="7"/>
  <c r="BE175" i="7"/>
  <c r="BO165" i="7"/>
  <c r="BK150" i="7"/>
  <c r="BD135" i="7"/>
  <c r="BU125" i="7"/>
  <c r="BD110" i="7"/>
  <c r="BE95" i="7"/>
  <c r="BP85" i="7"/>
  <c r="BE70" i="7"/>
  <c r="BD55" i="7"/>
  <c r="BP45" i="7"/>
  <c r="BF30" i="7"/>
  <c r="BK15" i="7"/>
  <c r="BS5" i="7"/>
  <c r="BJ71" i="5"/>
  <c r="BI55" i="7"/>
  <c r="BF120" i="7"/>
  <c r="BF50" i="7"/>
  <c r="BI35" i="7"/>
  <c r="BI100" i="7"/>
  <c r="BD11" i="5"/>
  <c r="AX113" i="3"/>
  <c r="BB11" i="3"/>
  <c r="AV65" i="3"/>
  <c r="BB269" i="3"/>
  <c r="BK269" i="5"/>
  <c r="BI125" i="5"/>
  <c r="AZ173" i="5"/>
  <c r="BJ179" i="5"/>
  <c r="BH179" i="5"/>
  <c r="BC179" i="5"/>
  <c r="BB47" i="3"/>
  <c r="BI65" i="5"/>
  <c r="BJ203" i="5"/>
  <c r="BA113" i="5"/>
  <c r="BB263" i="3"/>
  <c r="BD335" i="3"/>
  <c r="BA107" i="5"/>
  <c r="AV59" i="3"/>
  <c r="BA173" i="3"/>
  <c r="BA263" i="3"/>
  <c r="BB17" i="3"/>
  <c r="BC185" i="3"/>
  <c r="BH161" i="5"/>
  <c r="BA59" i="5"/>
  <c r="BB131" i="5"/>
  <c r="BC53" i="3"/>
  <c r="BE240" i="7"/>
  <c r="BN230" i="7"/>
  <c r="BI215" i="7"/>
  <c r="BN205" i="7"/>
  <c r="BP190" i="7"/>
  <c r="BK175" i="7"/>
  <c r="BS165" i="7"/>
  <c r="BN150" i="7"/>
  <c r="BI135" i="7"/>
  <c r="BO125" i="7"/>
  <c r="BT110" i="7"/>
  <c r="BF95" i="7"/>
  <c r="BS85" i="7"/>
  <c r="BS70" i="7"/>
  <c r="BK55" i="7"/>
  <c r="BO45" i="7"/>
  <c r="BP30" i="7"/>
  <c r="BE15" i="7"/>
  <c r="BN5" i="7"/>
  <c r="BB149" i="5"/>
  <c r="BF15" i="7"/>
  <c r="BO70" i="7"/>
  <c r="BI15" i="7"/>
  <c r="BN105" i="7"/>
  <c r="BK75" i="7"/>
  <c r="BG270" i="7"/>
  <c r="AV29" i="3"/>
  <c r="BI53" i="5"/>
  <c r="AX53" i="3"/>
  <c r="BD293" i="3"/>
  <c r="AW143" i="3"/>
  <c r="BD257" i="5"/>
  <c r="BC257" i="5"/>
  <c r="BL299" i="5"/>
  <c r="BA257" i="3"/>
  <c r="AZ311" i="5"/>
  <c r="BD275" i="5"/>
  <c r="AZ209" i="5"/>
  <c r="AX137" i="3"/>
  <c r="BA245" i="3"/>
  <c r="AZ269" i="5"/>
  <c r="BC197" i="3"/>
  <c r="AW281" i="3"/>
  <c r="AX119" i="3"/>
  <c r="BH149" i="5"/>
  <c r="BA137" i="3"/>
  <c r="BG305" i="5"/>
  <c r="BD209" i="5"/>
  <c r="BK119" i="5"/>
  <c r="BK101" i="5"/>
  <c r="BB161" i="5"/>
  <c r="BC149" i="3"/>
  <c r="AV107" i="3"/>
  <c r="BF240" i="7"/>
  <c r="BO230" i="7"/>
  <c r="BD215" i="7"/>
  <c r="BT205" i="7"/>
  <c r="BO190" i="7"/>
  <c r="BJ175" i="7"/>
  <c r="BN165" i="7"/>
  <c r="BT150" i="7"/>
  <c r="BK135" i="7"/>
  <c r="BP125" i="7"/>
  <c r="BO110" i="7"/>
  <c r="BJ95" i="7"/>
  <c r="BT85" i="7"/>
  <c r="BP70" i="7"/>
  <c r="BJ55" i="7"/>
  <c r="BT45" i="7"/>
  <c r="BU30" i="7"/>
  <c r="BJ15" i="7"/>
  <c r="BO5" i="7"/>
  <c r="BC95" i="5"/>
  <c r="BK95" i="7"/>
  <c r="BK35" i="7"/>
  <c r="BN25" i="7"/>
  <c r="BE35" i="7"/>
  <c r="BL270" i="7"/>
  <c r="BA119" i="5"/>
  <c r="AZ305" i="5"/>
  <c r="BB101" i="5"/>
  <c r="BJ269" i="5"/>
  <c r="BD203" i="5"/>
  <c r="BJ23" i="5"/>
  <c r="BJ35" i="5"/>
  <c r="BD77" i="5"/>
  <c r="BI275" i="5"/>
  <c r="BA239" i="5"/>
  <c r="BB35" i="5"/>
  <c r="BG161" i="5"/>
  <c r="AZ143" i="5"/>
  <c r="BD125" i="5"/>
  <c r="AV245" i="3"/>
  <c r="BG239" i="5"/>
  <c r="BJ113" i="5"/>
  <c r="BD197" i="5"/>
  <c r="BD245" i="5"/>
  <c r="BU230" i="7"/>
  <c r="BE160" i="7"/>
  <c r="BI40" i="7"/>
  <c r="BI175" i="7"/>
  <c r="BT130" i="7"/>
  <c r="BF5" i="7"/>
  <c r="AW119" i="3"/>
  <c r="BG71" i="5"/>
  <c r="BB95" i="3"/>
  <c r="BI227" i="5"/>
  <c r="AW137" i="3"/>
  <c r="BG167" i="5"/>
  <c r="BJ191" i="5"/>
  <c r="BA71" i="3"/>
  <c r="BH59" i="5"/>
  <c r="BH5" i="5"/>
  <c r="BG329" i="5"/>
  <c r="BB173" i="3"/>
  <c r="BB203" i="5"/>
  <c r="BI245" i="5"/>
  <c r="BA125" i="5"/>
  <c r="BG11" i="5"/>
  <c r="AW125" i="3"/>
  <c r="AW263" i="3"/>
  <c r="AV53" i="3"/>
  <c r="BB215" i="3"/>
  <c r="AX71" i="3"/>
  <c r="AV113" i="3"/>
  <c r="BA293" i="5"/>
  <c r="AZ263" i="5"/>
  <c r="BJ275" i="5"/>
  <c r="AX11" i="3"/>
  <c r="BN240" i="7"/>
  <c r="BE215" i="7"/>
  <c r="BI200" i="7"/>
  <c r="BF40" i="7"/>
  <c r="BF115" i="7"/>
  <c r="BK5" i="7"/>
  <c r="BK77" i="5"/>
  <c r="BA17" i="3"/>
  <c r="BD5" i="5"/>
  <c r="AX275" i="3"/>
  <c r="BG269" i="5"/>
  <c r="BK263" i="5"/>
  <c r="BH305" i="5"/>
  <c r="BC185" i="5"/>
  <c r="BC17" i="3"/>
  <c r="BH203" i="5"/>
  <c r="BA95" i="3"/>
  <c r="AW53" i="3"/>
  <c r="AW275" i="3"/>
  <c r="AZ11" i="5"/>
  <c r="AW239" i="3"/>
  <c r="BK131" i="5"/>
  <c r="BG209" i="5"/>
  <c r="AV215" i="3"/>
  <c r="BD29" i="5"/>
  <c r="AX23" i="3"/>
  <c r="BA173" i="5"/>
  <c r="AW245" i="3"/>
  <c r="BH65" i="5"/>
  <c r="BC107" i="5"/>
  <c r="AZ41" i="5"/>
  <c r="BB89" i="5"/>
  <c r="BB47" i="5"/>
  <c r="BP240" i="7"/>
  <c r="BP230" i="7"/>
  <c r="BU215" i="7"/>
  <c r="BF200" i="7"/>
  <c r="BT190" i="7"/>
  <c r="BP175" i="7"/>
  <c r="BK160" i="7"/>
  <c r="BU150" i="7"/>
  <c r="BO135" i="7"/>
  <c r="BD120" i="7"/>
  <c r="BS110" i="7"/>
  <c r="BT95" i="7"/>
  <c r="BD80" i="7"/>
  <c r="BU70" i="7"/>
  <c r="BP55" i="7"/>
  <c r="BJ40" i="7"/>
  <c r="BS30" i="7"/>
  <c r="BN15" i="7"/>
  <c r="BV260" i="7"/>
  <c r="BF170" i="7"/>
  <c r="BO25" i="7"/>
  <c r="BI245" i="7"/>
  <c r="BO80" i="7"/>
  <c r="BF155" i="7"/>
  <c r="BD10" i="7"/>
  <c r="BJ115" i="7"/>
  <c r="BK85" i="7"/>
  <c r="BL329" i="5"/>
  <c r="AV149" i="3"/>
  <c r="BB275" i="5"/>
  <c r="AV197" i="3"/>
  <c r="BB29" i="5"/>
  <c r="BB41" i="5"/>
  <c r="BH89" i="5"/>
  <c r="AX263" i="3"/>
  <c r="BL335" i="5"/>
  <c r="BJ281" i="5"/>
  <c r="BI215" i="5"/>
  <c r="AW191" i="3"/>
  <c r="BB59" i="5"/>
  <c r="BA179" i="5"/>
  <c r="BH185" i="5"/>
  <c r="BB119" i="5"/>
  <c r="BC281" i="3"/>
  <c r="BK245" i="5"/>
  <c r="BJ143" i="5"/>
  <c r="AZ203" i="5"/>
  <c r="AW215" i="3"/>
  <c r="BC167" i="5"/>
  <c r="BC191" i="5"/>
  <c r="AW131" i="3"/>
  <c r="BD101" i="5"/>
  <c r="BA59" i="3"/>
  <c r="BC293" i="5"/>
  <c r="BQ240" i="7"/>
  <c r="BS230" i="7"/>
  <c r="BT215" i="7"/>
  <c r="BK200" i="7"/>
  <c r="BS190" i="7"/>
  <c r="BN175" i="7"/>
  <c r="BJ160" i="7"/>
  <c r="BS150" i="7"/>
  <c r="BN135" i="7"/>
  <c r="BJ120" i="7"/>
  <c r="BN110" i="7"/>
  <c r="BU95" i="7"/>
  <c r="BF80" i="7"/>
  <c r="BT70" i="7"/>
  <c r="BU55" i="7"/>
  <c r="BK40" i="7"/>
  <c r="BN30" i="7"/>
  <c r="BS15" i="7"/>
  <c r="BQ260" i="7"/>
  <c r="BN200" i="7"/>
  <c r="BU120" i="7"/>
  <c r="BS40" i="7"/>
  <c r="BA161" i="3"/>
  <c r="BS65" i="7"/>
  <c r="BK170" i="7"/>
  <c r="BN145" i="7"/>
  <c r="BJ75" i="7"/>
  <c r="BF20" i="7"/>
  <c r="AZ77" i="5"/>
  <c r="BK107" i="5"/>
  <c r="BB233" i="5"/>
  <c r="AW5" i="3"/>
  <c r="BA185" i="5"/>
  <c r="BB29" i="3"/>
  <c r="AW77" i="3"/>
  <c r="AZ281" i="5"/>
  <c r="BJ245" i="5"/>
  <c r="BJ41" i="5"/>
  <c r="BH173" i="5"/>
  <c r="BB251" i="5"/>
  <c r="BJ209" i="5"/>
  <c r="BA191" i="5"/>
  <c r="AW233" i="3"/>
  <c r="BC155" i="3"/>
  <c r="AV263" i="3"/>
  <c r="BC191" i="3"/>
  <c r="AX179" i="3"/>
  <c r="AW269" i="3"/>
  <c r="AV71" i="3"/>
  <c r="BB191" i="3"/>
  <c r="BJ77" i="5"/>
  <c r="BG95" i="5"/>
  <c r="BK137" i="5"/>
  <c r="BB137" i="3"/>
  <c r="BG257" i="5"/>
  <c r="BT240" i="7"/>
  <c r="BD225" i="7"/>
  <c r="BS215" i="7"/>
  <c r="BD200" i="7"/>
  <c r="BJ185" i="7"/>
  <c r="BU175" i="7"/>
  <c r="BI160" i="7"/>
  <c r="BD145" i="7"/>
  <c r="BS135" i="7"/>
  <c r="BE120" i="7"/>
  <c r="BF105" i="7"/>
  <c r="BO95" i="7"/>
  <c r="BK80" i="7"/>
  <c r="BJ65" i="7"/>
  <c r="BT55" i="7"/>
  <c r="BE40" i="7"/>
  <c r="BI25" i="7"/>
  <c r="BT15" i="7"/>
  <c r="BG255" i="7"/>
  <c r="BK245" i="7"/>
  <c r="BP105" i="7"/>
  <c r="BU185" i="7"/>
  <c r="BS120" i="7"/>
  <c r="BU25" i="7"/>
  <c r="BI130" i="7"/>
  <c r="BJ35" i="7"/>
  <c r="BT90" i="7"/>
  <c r="BP50" i="7"/>
  <c r="AW23" i="3"/>
  <c r="AX101" i="3"/>
  <c r="BA293" i="3"/>
  <c r="BK143" i="5"/>
  <c r="BD269" i="5"/>
  <c r="BG311" i="5"/>
  <c r="BG197" i="5"/>
  <c r="BA65" i="5"/>
  <c r="BA11" i="5"/>
  <c r="BB5" i="3"/>
  <c r="BA179" i="3"/>
  <c r="BK209" i="5"/>
  <c r="AX293" i="3"/>
  <c r="BC263" i="3"/>
  <c r="BJ65" i="5"/>
  <c r="AZ215" i="5"/>
  <c r="BD251" i="5"/>
  <c r="BB209" i="5"/>
  <c r="BC179" i="3"/>
  <c r="BE311" i="5"/>
  <c r="BH221" i="5"/>
  <c r="BG137" i="5"/>
  <c r="BD107" i="5"/>
  <c r="BJ167" i="5"/>
  <c r="BB155" i="3"/>
  <c r="BH137" i="5"/>
  <c r="BB17" i="5"/>
  <c r="BS240" i="7"/>
  <c r="BE225" i="7"/>
  <c r="BO215" i="7"/>
  <c r="BJ200" i="7"/>
  <c r="BD185" i="7"/>
  <c r="BT175" i="7"/>
  <c r="BF160" i="7"/>
  <c r="BI145" i="7"/>
  <c r="BU135" i="7"/>
  <c r="BI120" i="7"/>
  <c r="BI105" i="7"/>
  <c r="BN95" i="7"/>
  <c r="BJ80" i="7"/>
  <c r="BE65" i="7"/>
  <c r="BS55" i="7"/>
  <c r="BD40" i="7"/>
  <c r="BK25" i="7"/>
  <c r="BU15" i="7"/>
  <c r="BL255" i="7"/>
  <c r="BD210" i="7"/>
  <c r="BP160" i="7"/>
  <c r="BO65" i="7"/>
  <c r="BJ10" i="7"/>
  <c r="BI173" i="5"/>
  <c r="BT105" i="7"/>
  <c r="BO185" i="7"/>
  <c r="BT25" i="7"/>
  <c r="BV280" i="7"/>
  <c r="BN130" i="7"/>
  <c r="BD323" i="3"/>
  <c r="AZ23" i="5"/>
  <c r="BA233" i="3"/>
  <c r="BD281" i="5"/>
  <c r="BK47" i="5"/>
  <c r="AZ95" i="5"/>
  <c r="AV269" i="3"/>
  <c r="BA23" i="3"/>
  <c r="BA209" i="5"/>
  <c r="BA143" i="3"/>
  <c r="BB179" i="3"/>
  <c r="BD287" i="3"/>
  <c r="BD35" i="5"/>
  <c r="BD83" i="5"/>
  <c r="AZ191" i="5"/>
  <c r="AY287" i="3"/>
  <c r="BG179" i="5"/>
  <c r="AW251" i="3"/>
  <c r="BJ155" i="5"/>
  <c r="BC77" i="5"/>
  <c r="BI137" i="5"/>
  <c r="BH257" i="5"/>
  <c r="BB125" i="3"/>
  <c r="BA215" i="3"/>
  <c r="BC41" i="3"/>
  <c r="BB143" i="3"/>
  <c r="BC137" i="5"/>
  <c r="BU240" i="7"/>
  <c r="BK225" i="7"/>
  <c r="BN215" i="7"/>
  <c r="BP200" i="7"/>
  <c r="BE185" i="7"/>
  <c r="BS175" i="7"/>
  <c r="BN160" i="7"/>
  <c r="BF145" i="7"/>
  <c r="BT135" i="7"/>
  <c r="BT120" i="7"/>
  <c r="BE105" i="7"/>
  <c r="BP95" i="7"/>
  <c r="BP80" i="7"/>
  <c r="BD65" i="7"/>
  <c r="BN55" i="7"/>
  <c r="BN40" i="7"/>
  <c r="BD25" i="7"/>
  <c r="BO15" i="7"/>
  <c r="BV255" i="7"/>
  <c r="BT225" i="7"/>
  <c r="BS145" i="7"/>
  <c r="BD50" i="7"/>
  <c r="BV250" i="7"/>
  <c r="BJ235" i="7"/>
  <c r="BT160" i="7"/>
  <c r="BK50" i="7"/>
  <c r="BE115" i="7"/>
  <c r="BT65" i="7"/>
  <c r="BJ155" i="7"/>
  <c r="BS35" i="7"/>
  <c r="BD113" i="5"/>
  <c r="BH281" i="5"/>
  <c r="BH107" i="5"/>
  <c r="BK35" i="5"/>
  <c r="AX35" i="3"/>
  <c r="AV83" i="3"/>
  <c r="BD287" i="5"/>
  <c r="AV17" i="3"/>
  <c r="BA287" i="5"/>
  <c r="BB221" i="5"/>
  <c r="BB227" i="3"/>
  <c r="BB59" i="3"/>
  <c r="BJ263" i="5"/>
  <c r="BI197" i="5"/>
  <c r="AX269" i="3"/>
  <c r="BB281" i="3"/>
  <c r="BB197" i="3"/>
  <c r="BC83" i="3"/>
  <c r="AX221" i="3"/>
  <c r="AV77" i="3"/>
  <c r="BC143" i="3"/>
  <c r="BH317" i="5"/>
  <c r="BA275" i="5"/>
  <c r="BA281" i="5"/>
  <c r="AW257" i="3"/>
  <c r="BC71" i="5"/>
  <c r="AV281" i="3"/>
  <c r="BV240" i="7"/>
  <c r="BF225" i="7"/>
  <c r="BP215" i="7"/>
  <c r="BT200" i="7"/>
  <c r="BF185" i="7"/>
  <c r="BO175" i="7"/>
  <c r="BU160" i="7"/>
  <c r="BK145" i="7"/>
  <c r="BP135" i="7"/>
  <c r="BO120" i="7"/>
  <c r="BK105" i="7"/>
  <c r="BS95" i="7"/>
  <c r="BN80" i="7"/>
  <c r="BF65" i="7"/>
  <c r="BO55" i="7"/>
  <c r="BP40" i="7"/>
  <c r="BF25" i="7"/>
  <c r="BP15" i="7"/>
  <c r="BQ255" i="7"/>
  <c r="AV155" i="3"/>
  <c r="BS80" i="7"/>
  <c r="BK210" i="7"/>
  <c r="BF130" i="7"/>
  <c r="BQ250" i="7"/>
  <c r="BE75" i="7"/>
  <c r="BK155" i="7"/>
  <c r="BN10" i="7"/>
  <c r="BS115" i="7"/>
  <c r="AW107" i="3"/>
  <c r="BJ239" i="5"/>
  <c r="BC35" i="3"/>
  <c r="BC29" i="3"/>
  <c r="BA317" i="5"/>
  <c r="BH209" i="5"/>
  <c r="BI71" i="5"/>
  <c r="BC251" i="5"/>
  <c r="BC47" i="5"/>
  <c r="AZ179" i="5"/>
  <c r="BC287" i="5"/>
  <c r="BC215" i="5"/>
  <c r="BA41" i="5"/>
  <c r="AV275" i="3"/>
  <c r="AW209" i="3"/>
  <c r="BG263" i="5"/>
  <c r="BK65" i="5"/>
  <c r="BB77" i="3"/>
  <c r="AX65" i="3"/>
  <c r="BI179" i="5"/>
  <c r="BC275" i="3"/>
  <c r="AZ71" i="5"/>
  <c r="BD119" i="5"/>
  <c r="BI47" i="5"/>
  <c r="BJ95" i="5"/>
  <c r="BH323" i="5"/>
  <c r="BL245" i="7"/>
  <c r="BL235" i="7"/>
  <c r="BJ225" i="7"/>
  <c r="BI210" i="7"/>
  <c r="BO200" i="7"/>
  <c r="BK185" i="7"/>
  <c r="BJ170" i="7"/>
  <c r="BO160" i="7"/>
  <c r="BE145" i="7"/>
  <c r="BJ130" i="7"/>
  <c r="BP120" i="7"/>
  <c r="BD105" i="7"/>
  <c r="BE90" i="7"/>
  <c r="BT80" i="7"/>
  <c r="BI65" i="7"/>
  <c r="BE50" i="7"/>
  <c r="BU40" i="7"/>
  <c r="BJ25" i="7"/>
  <c r="BK10" i="7"/>
  <c r="BL250" i="7"/>
  <c r="BI235" i="7"/>
  <c r="BD130" i="7"/>
  <c r="BU200" i="7"/>
  <c r="BO145" i="7"/>
  <c r="BO40" i="7"/>
  <c r="BD195" i="7"/>
  <c r="BL280" i="7"/>
  <c r="BN50" i="7"/>
  <c r="BF45" i="7"/>
  <c r="BA35" i="5"/>
  <c r="BA5" i="5"/>
  <c r="BK185" i="5"/>
  <c r="BC281" i="5"/>
  <c r="BI101" i="5"/>
  <c r="BD281" i="3"/>
  <c r="AW29" i="3"/>
  <c r="BI17" i="5"/>
  <c r="BA11" i="3"/>
  <c r="AW185" i="3"/>
  <c r="BD215" i="5"/>
  <c r="AY299" i="3"/>
  <c r="AX287" i="3"/>
  <c r="AY311" i="3"/>
  <c r="AZ245" i="5"/>
  <c r="AZ185" i="5"/>
  <c r="BK215" i="5"/>
  <c r="BC149" i="5"/>
  <c r="BI209" i="5"/>
  <c r="BC245" i="3"/>
  <c r="BD179" i="5"/>
  <c r="AV5" i="3"/>
  <c r="BB167" i="3"/>
  <c r="BB23" i="3"/>
  <c r="AW65" i="3"/>
  <c r="BH269" i="5"/>
  <c r="BG245" i="7"/>
  <c r="BG235" i="7"/>
  <c r="BI225" i="7"/>
  <c r="BJ210" i="7"/>
  <c r="BS200" i="7"/>
  <c r="BI185" i="7"/>
  <c r="BI170" i="7"/>
  <c r="BS160" i="7"/>
  <c r="BJ145" i="7"/>
  <c r="BK130" i="7"/>
  <c r="BN120" i="7"/>
  <c r="BJ105" i="7"/>
  <c r="BF90" i="7"/>
  <c r="BU80" i="7"/>
  <c r="BK65" i="7"/>
  <c r="BI50" i="7"/>
  <c r="BT40" i="7"/>
  <c r="BE25" i="7"/>
  <c r="BE10" i="7"/>
  <c r="BG250" i="7"/>
  <c r="BK23" i="5"/>
  <c r="BD90" i="7"/>
  <c r="BU225" i="7"/>
  <c r="BJ90" i="7"/>
  <c r="BT145" i="7"/>
  <c r="BJ50" i="7"/>
  <c r="BO105" i="7"/>
  <c r="BE20" i="7"/>
  <c r="BL287" i="5"/>
  <c r="BC269" i="3"/>
  <c r="BI287" i="5"/>
  <c r="BC53" i="5"/>
  <c r="BB113" i="3"/>
  <c r="BI293" i="5"/>
  <c r="BB41" i="3"/>
  <c r="BG233" i="5"/>
  <c r="AW149" i="3"/>
  <c r="BB293" i="3"/>
  <c r="AY293" i="3"/>
  <c r="BH71" i="5"/>
  <c r="AZ149" i="5"/>
  <c r="BI251" i="5"/>
  <c r="BH23" i="5"/>
  <c r="AX203" i="3"/>
  <c r="AY281" i="3"/>
  <c r="AV185" i="3"/>
  <c r="BB287" i="3"/>
  <c r="BA107" i="3"/>
  <c r="BA197" i="3"/>
  <c r="BG149" i="5"/>
  <c r="BB113" i="5"/>
  <c r="BD143" i="5"/>
  <c r="BT185" i="7"/>
  <c r="BE210" i="7"/>
  <c r="BG280" i="7"/>
  <c r="BD155" i="7"/>
  <c r="BK20" i="7"/>
  <c r="BC245" i="5"/>
  <c r="BA41" i="3"/>
  <c r="BC41" i="5"/>
  <c r="AV41" i="3"/>
  <c r="BA215" i="5"/>
  <c r="BB77" i="5"/>
  <c r="BD263" i="5"/>
  <c r="BE293" i="5"/>
  <c r="BK227" i="5"/>
  <c r="BC17" i="5"/>
  <c r="BA155" i="3"/>
  <c r="BC269" i="5"/>
  <c r="BC203" i="3"/>
  <c r="AZ29" i="5"/>
  <c r="BC11" i="3"/>
  <c r="AZ89" i="5"/>
  <c r="BJ215" i="5"/>
  <c r="AW197" i="3"/>
  <c r="AZ317" i="5"/>
  <c r="BA227" i="5"/>
  <c r="BI149" i="5"/>
  <c r="BG119" i="5"/>
  <c r="BC173" i="5"/>
  <c r="BA143" i="5"/>
  <c r="BE170" i="7"/>
  <c r="BI10" i="7"/>
  <c r="BI90" i="7"/>
  <c r="BF10" i="7"/>
  <c r="BF35" i="7"/>
  <c r="BP75" i="7"/>
  <c r="BJ11" i="5"/>
  <c r="BA131" i="3"/>
  <c r="BA35" i="3"/>
  <c r="BI269" i="5"/>
  <c r="BA287" i="3"/>
  <c r="BC59" i="3"/>
  <c r="BB23" i="5"/>
  <c r="BK53" i="5"/>
  <c r="BI185" i="5"/>
  <c r="BC209" i="5"/>
  <c r="BG227" i="5"/>
  <c r="BJ47" i="5"/>
  <c r="BC239" i="5"/>
  <c r="AW113" i="3"/>
  <c r="BK125" i="5"/>
  <c r="BD221" i="5"/>
  <c r="BC131" i="3"/>
  <c r="BC161" i="5"/>
  <c r="BG89" i="5"/>
  <c r="BB143" i="5"/>
  <c r="BG281" i="5"/>
  <c r="AX131" i="3"/>
  <c r="AW221" i="3"/>
  <c r="BA53" i="3"/>
  <c r="AX149" i="3"/>
  <c r="BK11" i="5"/>
  <c r="BD245" i="7"/>
  <c r="BF235" i="7"/>
  <c r="BN225" i="7"/>
  <c r="BS105" i="7"/>
  <c r="BS50" i="7"/>
  <c r="BN90" i="7"/>
  <c r="BG41" i="5"/>
  <c r="AZ293" i="5"/>
  <c r="BH287" i="5"/>
  <c r="BB107" i="5"/>
  <c r="BG299" i="5"/>
  <c r="AV101" i="3"/>
  <c r="BA251" i="5"/>
  <c r="AX17" i="3"/>
  <c r="AV191" i="3"/>
  <c r="BH227" i="5"/>
  <c r="AY329" i="3"/>
  <c r="BK95" i="5"/>
  <c r="BC89" i="5"/>
  <c r="BC131" i="5"/>
  <c r="BB161" i="3"/>
  <c r="AV287" i="3"/>
  <c r="BI161" i="5"/>
  <c r="AW227" i="3"/>
  <c r="BC107" i="3"/>
  <c r="BA149" i="3"/>
  <c r="BE323" i="5"/>
  <c r="BG323" i="5"/>
  <c r="BE287" i="5"/>
  <c r="AZ65" i="5"/>
  <c r="BG83" i="5"/>
  <c r="BA323" i="5"/>
  <c r="BF245" i="7"/>
  <c r="BE235" i="7"/>
  <c r="BO225" i="7"/>
  <c r="BF210" i="7"/>
  <c r="BI195" i="7"/>
  <c r="BP185" i="7"/>
  <c r="BU145" i="7"/>
  <c r="BU90" i="7"/>
  <c r="BJ60" i="7"/>
  <c r="BB131" i="3"/>
  <c r="BD53" i="5"/>
  <c r="BK59" i="5"/>
  <c r="BA119" i="3"/>
  <c r="BK83" i="5"/>
  <c r="BG275" i="5"/>
  <c r="AZ299" i="5"/>
  <c r="BA191" i="3"/>
  <c r="BB5" i="5"/>
  <c r="BD299" i="3"/>
  <c r="BJ83" i="5"/>
  <c r="BH155" i="5"/>
  <c r="BH17" i="5"/>
  <c r="AX167" i="3"/>
  <c r="BI221" i="5"/>
  <c r="BC221" i="5"/>
  <c r="AZ113" i="5"/>
  <c r="BB101" i="3"/>
  <c r="BB185" i="5"/>
  <c r="AY317" i="3"/>
  <c r="BI77" i="5"/>
  <c r="BG131" i="5"/>
  <c r="BA53" i="5"/>
  <c r="BC101" i="5"/>
  <c r="BE329" i="5"/>
  <c r="BA83" i="5"/>
  <c r="BE245" i="7"/>
  <c r="BD235" i="7"/>
  <c r="BS225" i="7"/>
  <c r="BP210" i="7"/>
  <c r="BF195" i="7"/>
  <c r="BN185" i="7"/>
  <c r="BO170" i="7"/>
  <c r="BF75" i="7"/>
  <c r="BI85" i="7"/>
  <c r="BB83" i="3"/>
  <c r="AW41" i="3"/>
  <c r="BB71" i="3"/>
  <c r="BJ221" i="5"/>
  <c r="BA65" i="3"/>
  <c r="BJ29" i="5"/>
  <c r="BC59" i="5"/>
  <c r="BD233" i="5"/>
  <c r="BJ131" i="5"/>
  <c r="BA203" i="3"/>
  <c r="BK275" i="5"/>
  <c r="BA209" i="3"/>
  <c r="BJ197" i="5"/>
  <c r="BB227" i="5"/>
  <c r="BD311" i="3"/>
  <c r="BA185" i="3"/>
  <c r="BA83" i="3"/>
  <c r="BB215" i="5"/>
  <c r="BB251" i="3"/>
  <c r="BH191" i="5"/>
  <c r="BB35" i="3"/>
  <c r="AX173" i="3"/>
  <c r="AX29" i="3"/>
  <c r="BC95" i="3"/>
  <c r="AZ275" i="5"/>
  <c r="BA77" i="3"/>
  <c r="BJ245" i="7"/>
  <c r="BK235" i="7"/>
  <c r="BP225" i="7"/>
  <c r="BT210" i="7"/>
  <c r="BJ195" i="7"/>
  <c r="BS185" i="7"/>
  <c r="BU170" i="7"/>
  <c r="BP145" i="7"/>
  <c r="BB137" i="5"/>
  <c r="BL293" i="5"/>
  <c r="BA329" i="5"/>
  <c r="AV293" i="3"/>
  <c r="AX191" i="3"/>
  <c r="BB263" i="5"/>
  <c r="AV23" i="3"/>
  <c r="BB191" i="5"/>
  <c r="BK17" i="5"/>
  <c r="AZ233" i="5"/>
  <c r="BB53" i="5"/>
  <c r="BG251" i="5"/>
  <c r="BA269" i="3"/>
  <c r="BJ5" i="5"/>
  <c r="BI5" i="5"/>
  <c r="BA167" i="5"/>
  <c r="BH215" i="5"/>
  <c r="AW293" i="3"/>
  <c r="BB149" i="3"/>
  <c r="AW203" i="3"/>
  <c r="BC77" i="3"/>
  <c r="BA5" i="3"/>
  <c r="BG155" i="5"/>
  <c r="BB185" i="3"/>
  <c r="BC29" i="5"/>
  <c r="BE317" i="5"/>
  <c r="BT245" i="7"/>
  <c r="BU235" i="7"/>
  <c r="BD220" i="7"/>
  <c r="BS210" i="7"/>
  <c r="BE195" i="7"/>
  <c r="BF180" i="7"/>
  <c r="BN170" i="7"/>
  <c r="BI155" i="7"/>
  <c r="BE140" i="7"/>
  <c r="BU10" i="7"/>
  <c r="BL311" i="5"/>
  <c r="BD65" i="5"/>
  <c r="BK113" i="5"/>
  <c r="BE305" i="5"/>
  <c r="BK281" i="5"/>
  <c r="BH329" i="5"/>
  <c r="AV203" i="3"/>
  <c r="BB221" i="3"/>
  <c r="BA233" i="5"/>
  <c r="BH11" i="5"/>
  <c r="BC23" i="3"/>
  <c r="BD23" i="5"/>
  <c r="BJ119" i="5"/>
  <c r="BK29" i="5"/>
  <c r="BI191" i="5"/>
  <c r="BH119" i="5"/>
  <c r="BI41" i="5"/>
  <c r="BB293" i="5"/>
  <c r="BJ233" i="5"/>
  <c r="BJ161" i="5"/>
  <c r="AZ125" i="5"/>
  <c r="BK179" i="5"/>
  <c r="AW167" i="3"/>
  <c r="BJ149" i="5"/>
  <c r="BJ227" i="5"/>
  <c r="BI89" i="5"/>
  <c r="BP245" i="7"/>
  <c r="BP235" i="7"/>
  <c r="BK220" i="7"/>
  <c r="BO210" i="7"/>
  <c r="BK195" i="7"/>
  <c r="BE180" i="7"/>
  <c r="BP170" i="7"/>
  <c r="BE155" i="7"/>
  <c r="BK140" i="7"/>
  <c r="BS130" i="7"/>
  <c r="BD115" i="7"/>
  <c r="BK100" i="7"/>
  <c r="BO90" i="7"/>
  <c r="BI75" i="7"/>
  <c r="BK60" i="7"/>
  <c r="BU50" i="7"/>
  <c r="BD35" i="7"/>
  <c r="BI20" i="7"/>
  <c r="BP10" i="7"/>
  <c r="BL275" i="7"/>
  <c r="BN115" i="7"/>
  <c r="BG65" i="5"/>
  <c r="AX77" i="3"/>
  <c r="AX125" i="3"/>
  <c r="BD89" i="5"/>
  <c r="BC35" i="5"/>
  <c r="BD71" i="5"/>
  <c r="BG245" i="5"/>
  <c r="BC83" i="5"/>
  <c r="BD329" i="3"/>
  <c r="BH113" i="5"/>
  <c r="BA161" i="5"/>
  <c r="AZ119" i="5"/>
  <c r="BA203" i="5"/>
  <c r="BH275" i="5"/>
  <c r="AV209" i="3"/>
  <c r="AX89" i="3"/>
  <c r="AZ197" i="5"/>
  <c r="BH101" i="5"/>
  <c r="BK149" i="5"/>
  <c r="AZ335" i="5"/>
  <c r="AV137" i="3"/>
  <c r="AV227" i="3"/>
  <c r="BC89" i="3"/>
  <c r="AW155" i="3"/>
  <c r="BA71" i="5"/>
  <c r="BC113" i="3"/>
  <c r="BU245" i="7"/>
  <c r="BV235" i="7"/>
  <c r="BI220" i="7"/>
  <c r="BU210" i="7"/>
  <c r="BT195" i="7"/>
  <c r="BJ180" i="7"/>
  <c r="BT170" i="7"/>
  <c r="BN155" i="7"/>
  <c r="BF140" i="7"/>
  <c r="BO130" i="7"/>
  <c r="BP115" i="7"/>
  <c r="BJ100" i="7"/>
  <c r="BS90" i="7"/>
  <c r="BS75" i="7"/>
  <c r="BF60" i="7"/>
  <c r="BT50" i="7"/>
  <c r="BU35" i="7"/>
  <c r="BJ20" i="7"/>
  <c r="BO10" i="7"/>
  <c r="BQ275" i="7"/>
  <c r="BE100" i="7"/>
  <c r="AV47" i="3"/>
  <c r="AX95" i="3"/>
  <c r="BC227" i="5"/>
  <c r="AW71" i="3"/>
  <c r="BC275" i="5"/>
  <c r="BC47" i="3"/>
  <c r="BK197" i="5"/>
  <c r="AZ167" i="5"/>
  <c r="BB11" i="5"/>
  <c r="BB281" i="5"/>
  <c r="AX215" i="3"/>
  <c r="BH293" i="5"/>
  <c r="BC287" i="3"/>
  <c r="BB197" i="5"/>
  <c r="BA101" i="5"/>
  <c r="AW95" i="3"/>
  <c r="BG107" i="5"/>
  <c r="BA113" i="3"/>
  <c r="AX155" i="3"/>
  <c r="AZ329" i="5"/>
  <c r="AX5" i="3"/>
  <c r="BJ293" i="5"/>
  <c r="BC197" i="5"/>
  <c r="BH95" i="5"/>
  <c r="BJ89" i="5"/>
  <c r="BC293" i="3"/>
  <c r="BQ245" i="7"/>
  <c r="BQ235" i="7"/>
  <c r="BJ220" i="7"/>
  <c r="BN210" i="7"/>
  <c r="BN195" i="7"/>
  <c r="BD180" i="7"/>
  <c r="BS170" i="7"/>
  <c r="BT155" i="7"/>
  <c r="BD140" i="7"/>
  <c r="BU130" i="7"/>
  <c r="BT115" i="7"/>
  <c r="BD100" i="7"/>
  <c r="BP90" i="7"/>
  <c r="BO75" i="7"/>
  <c r="BE60" i="7"/>
  <c r="BO50" i="7"/>
  <c r="BO35" i="7"/>
  <c r="BD20" i="7"/>
  <c r="BS10" i="7"/>
  <c r="BV275" i="7"/>
  <c r="BK125" i="7"/>
  <c r="BG317" i="5"/>
  <c r="BL305" i="5"/>
  <c r="BC119" i="5"/>
  <c r="AY305" i="3"/>
  <c r="AX239" i="3"/>
  <c r="BG335" i="5"/>
  <c r="BA239" i="3"/>
  <c r="BA227" i="3"/>
  <c r="AX251" i="3"/>
  <c r="BH239" i="5"/>
  <c r="BJ59" i="5"/>
  <c r="AZ257" i="5"/>
  <c r="BG221" i="5"/>
  <c r="BJ17" i="5"/>
  <c r="BC239" i="3"/>
  <c r="BH233" i="5"/>
  <c r="AV11" i="3"/>
  <c r="AZ47" i="5"/>
  <c r="BK191" i="5"/>
  <c r="BG17" i="5"/>
  <c r="BB83" i="5"/>
  <c r="AZ137" i="5"/>
  <c r="BI59" i="5"/>
  <c r="BG113" i="5"/>
  <c r="BA335" i="5"/>
  <c r="AX83" i="3"/>
  <c r="BA149" i="5"/>
  <c r="BV245" i="7"/>
  <c r="BS235" i="7"/>
  <c r="BF220" i="7"/>
  <c r="BJ205" i="7"/>
  <c r="BU195" i="7"/>
  <c r="BK180" i="7"/>
  <c r="BF165" i="7"/>
  <c r="BS155" i="7"/>
  <c r="BJ140" i="7"/>
  <c r="BD60" i="7"/>
  <c r="BH77" i="5"/>
  <c r="BG77" i="5"/>
  <c r="AV131" i="3"/>
  <c r="BA311" i="5"/>
  <c r="BB287" i="5"/>
  <c r="BH83" i="5"/>
  <c r="AZ251" i="5"/>
  <c r="BI119" i="5"/>
  <c r="BI239" i="5"/>
  <c r="AZ17" i="5"/>
  <c r="BA29" i="3"/>
  <c r="BG35" i="5"/>
  <c r="AV257" i="3"/>
  <c r="BB257" i="5"/>
  <c r="BC113" i="5"/>
  <c r="BD317" i="3"/>
  <c r="BD167" i="5"/>
  <c r="BK155" i="5"/>
  <c r="AX257" i="3"/>
  <c r="BA197" i="5"/>
  <c r="AX41" i="3"/>
  <c r="AW179" i="3"/>
  <c r="AV35" i="3"/>
  <c r="BA101" i="3"/>
  <c r="BE281" i="5"/>
  <c r="AZ323" i="5"/>
  <c r="AW173" i="3"/>
  <c r="BS245" i="7"/>
  <c r="BT235" i="7"/>
  <c r="BE220" i="7"/>
  <c r="BI205" i="7"/>
  <c r="BP195" i="7"/>
  <c r="BI180" i="7"/>
  <c r="BJ165" i="7"/>
  <c r="BP155" i="7"/>
  <c r="BI140" i="7"/>
  <c r="BF125" i="7"/>
  <c r="BC71" i="3"/>
  <c r="AW83" i="3"/>
  <c r="BD239" i="5"/>
  <c r="BG101" i="5"/>
  <c r="BK41" i="5"/>
  <c r="BB53" i="3"/>
  <c r="BC203" i="5"/>
  <c r="BA221" i="5"/>
  <c r="AZ5" i="5"/>
  <c r="BJ137" i="5"/>
  <c r="BI167" i="5"/>
  <c r="BA131" i="5"/>
  <c r="BA155" i="5"/>
  <c r="BI35" i="5"/>
  <c r="AZ239" i="5"/>
  <c r="BH245" i="5"/>
  <c r="AZ155" i="5"/>
  <c r="BC215" i="3"/>
  <c r="AV167" i="3"/>
  <c r="BB239" i="3"/>
  <c r="AX185" i="3"/>
  <c r="AW59" i="3"/>
  <c r="AZ161" i="5"/>
  <c r="AX197" i="3"/>
  <c r="BD41" i="5"/>
  <c r="BA95" i="5"/>
  <c r="BI263" i="5"/>
  <c r="BN245" i="7"/>
  <c r="BN235" i="7"/>
  <c r="BO220" i="7"/>
  <c r="BF205" i="7"/>
  <c r="BO195" i="7"/>
  <c r="BS180" i="7"/>
  <c r="BE165" i="7"/>
  <c r="BO155" i="7"/>
  <c r="BS140" i="7"/>
  <c r="BD125" i="7"/>
  <c r="BU115" i="7"/>
  <c r="BT100" i="7"/>
  <c r="BJ85" i="7"/>
  <c r="BN75" i="7"/>
  <c r="BN60" i="7"/>
  <c r="BK45" i="7"/>
  <c r="BN35" i="7"/>
  <c r="BP20" i="7"/>
  <c r="BI5" i="7"/>
  <c r="BQ270" i="7"/>
  <c r="BI80" i="7"/>
  <c r="BO30" i="7"/>
  <c r="BC137" i="3"/>
  <c r="BT230" i="7"/>
  <c r="BN190" i="7"/>
  <c r="BF55" i="7"/>
  <c r="BE130" i="7"/>
  <c r="BN65" i="7"/>
  <c r="BE45" i="7"/>
  <c r="AN8" i="6" l="1"/>
  <c r="AM52" i="6"/>
  <c r="AQ63" i="6"/>
  <c r="AN40" i="6"/>
  <c r="AN30" i="6"/>
  <c r="AN28" i="6"/>
  <c r="AN26" i="6"/>
  <c r="AN14" i="6"/>
  <c r="BL288" i="7"/>
  <c r="F45" i="1" s="1"/>
  <c r="BV288" i="7"/>
  <c r="BG288" i="7"/>
  <c r="BQ288" i="7"/>
  <c r="BB288" i="7"/>
  <c r="AG288" i="7"/>
  <c r="AI288" i="7"/>
  <c r="AF288" i="7"/>
  <c r="BB287" i="7"/>
  <c r="AH287" i="7"/>
  <c r="AG287" i="7"/>
  <c r="AI289" i="7"/>
  <c r="AF287" i="7"/>
  <c r="BV289" i="7"/>
  <c r="BU287" i="7"/>
  <c r="BT287" i="7"/>
  <c r="BS287" i="7"/>
  <c r="BG289" i="7"/>
  <c r="BF287" i="7"/>
  <c r="BE287" i="7"/>
  <c r="BO287" i="7"/>
  <c r="BD287" i="7"/>
  <c r="BN287" i="7"/>
  <c r="BB286" i="7"/>
  <c r="BT286" i="7"/>
  <c r="AG289" i="7"/>
  <c r="BF289" i="7"/>
  <c r="AB64" i="6"/>
  <c r="AO64" i="6" s="1"/>
  <c r="E34" i="1" s="1"/>
  <c r="AQ64" i="6"/>
  <c r="AO54" i="6"/>
  <c r="AB63" i="6"/>
  <c r="Y63" i="6"/>
  <c r="AL63" i="6" s="1"/>
  <c r="F33" i="1" s="1"/>
  <c r="AO51" i="6"/>
  <c r="AN38" i="6"/>
  <c r="AN36" i="6"/>
  <c r="AN34" i="6"/>
  <c r="AN32" i="6"/>
  <c r="AQ62" i="6"/>
  <c r="Z62" i="6"/>
  <c r="AM62" i="6" s="1"/>
  <c r="C32" i="1" s="1"/>
  <c r="Y62" i="6"/>
  <c r="AL62" i="6" s="1"/>
  <c r="F32" i="1" s="1"/>
  <c r="AN16" i="6"/>
  <c r="AA61" i="6"/>
  <c r="AN61" i="6" s="1"/>
  <c r="D31" i="1" s="1"/>
  <c r="Z61" i="6"/>
  <c r="AM61" i="6" s="1"/>
  <c r="C31" i="1" s="1"/>
  <c r="AQ65" i="6"/>
  <c r="Y61" i="6"/>
  <c r="AJ67" i="6"/>
  <c r="AL5" i="6"/>
  <c r="AX342" i="3"/>
  <c r="E10" i="1" s="1"/>
  <c r="AW345" i="3"/>
  <c r="D13" i="1" s="1"/>
  <c r="AV343" i="3"/>
  <c r="C11" i="1" s="1"/>
  <c r="BC342" i="5"/>
  <c r="D21" i="1" s="1"/>
  <c r="AV345" i="3"/>
  <c r="C13" i="1" s="1"/>
  <c r="AW342" i="3"/>
  <c r="D10" i="1" s="1"/>
  <c r="BA341" i="5"/>
  <c r="H20" i="1" s="1"/>
  <c r="BB342" i="5"/>
  <c r="C21" i="1" s="1"/>
  <c r="BE345" i="5"/>
  <c r="F24" i="1" s="1"/>
  <c r="BD342" i="5"/>
  <c r="E21" i="1" s="1"/>
  <c r="BH343" i="5"/>
  <c r="BG343" i="5"/>
  <c r="AX343" i="3"/>
  <c r="E11" i="1" s="1"/>
  <c r="BD345" i="5"/>
  <c r="E24" i="1" s="1"/>
  <c r="BG342" i="5"/>
  <c r="BI343" i="5"/>
  <c r="BB341" i="3"/>
  <c r="BC342" i="3"/>
  <c r="AY345" i="3"/>
  <c r="F13" i="1" s="1"/>
  <c r="BG345" i="5"/>
  <c r="BG341" i="5"/>
  <c r="BH342" i="5"/>
  <c r="BJ343" i="5"/>
  <c r="AZ344" i="5"/>
  <c r="G23" i="1" s="1"/>
  <c r="BB342" i="3"/>
  <c r="BC341" i="3"/>
  <c r="BA343" i="3"/>
  <c r="BH341" i="5"/>
  <c r="BI342" i="5"/>
  <c r="BK343" i="5"/>
  <c r="BA344" i="5"/>
  <c r="H23" i="1" s="1"/>
  <c r="BL345" i="5"/>
  <c r="BE344" i="5"/>
  <c r="F23" i="1" s="1"/>
  <c r="BB343" i="3"/>
  <c r="BC343" i="3"/>
  <c r="BJ345" i="5"/>
  <c r="BK342" i="5"/>
  <c r="AZ343" i="5"/>
  <c r="G22" i="1" s="1"/>
  <c r="BG344" i="5"/>
  <c r="BD345" i="3"/>
  <c r="BD343" i="3"/>
  <c r="BA343" i="5"/>
  <c r="H22" i="1" s="1"/>
  <c r="BH344" i="5"/>
  <c r="AW343" i="3"/>
  <c r="D11" i="1" s="1"/>
  <c r="BB343" i="5"/>
  <c r="C22" i="1" s="1"/>
  <c r="BL344" i="5"/>
  <c r="BA341" i="3"/>
  <c r="BJ342" i="5"/>
  <c r="AY344" i="3"/>
  <c r="F12" i="1" s="1"/>
  <c r="AZ342" i="5"/>
  <c r="G21" i="1" s="1"/>
  <c r="BC343" i="5"/>
  <c r="D22" i="1" s="1"/>
  <c r="AX345" i="3"/>
  <c r="E13" i="1" s="1"/>
  <c r="BA342" i="3"/>
  <c r="BC345" i="5"/>
  <c r="D24" i="1" s="1"/>
  <c r="AV342" i="3"/>
  <c r="C10" i="1" s="1"/>
  <c r="BD344" i="3"/>
  <c r="AZ341" i="5"/>
  <c r="G20" i="1" s="1"/>
  <c r="BA342" i="5"/>
  <c r="H21" i="1" s="1"/>
  <c r="BD343" i="5"/>
  <c r="E22" i="1" s="1"/>
  <c r="BE289" i="7"/>
  <c r="BS286" i="7"/>
  <c r="BI285" i="7"/>
  <c r="C42" i="1" s="1"/>
  <c r="BI287" i="7"/>
  <c r="C44" i="1" s="1"/>
  <c r="BJ285" i="7"/>
  <c r="D42" i="1" s="1"/>
  <c r="BD286" i="7"/>
  <c r="BJ287" i="7"/>
  <c r="D44" i="1" s="1"/>
  <c r="BE286" i="7"/>
  <c r="BK287" i="7"/>
  <c r="E44" i="1" s="1"/>
  <c r="BN285" i="7"/>
  <c r="BL289" i="7"/>
  <c r="F46" i="1" s="1"/>
  <c r="BO285" i="7"/>
  <c r="BI286" i="7"/>
  <c r="C43" i="1" s="1"/>
  <c r="BJ286" i="7"/>
  <c r="D43" i="1" s="1"/>
  <c r="BS289" i="7"/>
  <c r="BP287" i="7"/>
  <c r="BT289" i="7"/>
  <c r="BN286" i="7"/>
  <c r="BQ289" i="7"/>
  <c r="BO286" i="7"/>
  <c r="BD289" i="7"/>
  <c r="AT343" i="3"/>
  <c r="AT344" i="3"/>
  <c r="AT342" i="3"/>
  <c r="AX341" i="5"/>
  <c r="AT345" i="3"/>
  <c r="AD341" i="3"/>
  <c r="K345" i="3"/>
  <c r="BA345" i="3"/>
  <c r="AF345" i="5"/>
  <c r="BI341" i="5"/>
  <c r="BI345" i="5"/>
  <c r="K344" i="5"/>
  <c r="AM54" i="6"/>
  <c r="AM58" i="6"/>
  <c r="J289" i="7"/>
  <c r="AT341" i="3"/>
  <c r="L345" i="3"/>
  <c r="BB345" i="3"/>
  <c r="L342" i="5"/>
  <c r="M344" i="5"/>
  <c r="BC341" i="5"/>
  <c r="D20" i="1" s="1"/>
  <c r="BH345" i="5"/>
  <c r="AL61" i="6"/>
  <c r="F31" i="1" s="1"/>
  <c r="K65" i="6"/>
  <c r="AV341" i="3"/>
  <c r="C9" i="1" s="1"/>
  <c r="BC345" i="3"/>
  <c r="BK341" i="5"/>
  <c r="BK345" i="5"/>
  <c r="M343" i="5"/>
  <c r="BD341" i="5"/>
  <c r="E20" i="1" s="1"/>
  <c r="L285" i="7"/>
  <c r="BU286" i="7"/>
  <c r="J286" i="7"/>
  <c r="AX341" i="3"/>
  <c r="E9" i="1" s="1"/>
  <c r="AC345" i="3"/>
  <c r="AD342" i="5"/>
  <c r="BJ341" i="5"/>
  <c r="AT347" i="5"/>
  <c r="AQ61" i="6"/>
  <c r="BK285" i="7"/>
  <c r="E42" i="1" s="1"/>
  <c r="K286" i="7"/>
  <c r="J345" i="5"/>
  <c r="AE342" i="5"/>
  <c r="AD343" i="5"/>
  <c r="AF289" i="7"/>
  <c r="L286" i="7"/>
  <c r="BF286" i="7"/>
  <c r="K345" i="5"/>
  <c r="K341" i="5"/>
  <c r="AE343" i="5"/>
  <c r="AW341" i="3"/>
  <c r="D9" i="1" s="1"/>
  <c r="J341" i="3"/>
  <c r="L341" i="5"/>
  <c r="BB341" i="5"/>
  <c r="C20" i="1" s="1"/>
  <c r="BB345" i="5"/>
  <c r="C24" i="1" s="1"/>
  <c r="Y65" i="6"/>
  <c r="AL65" i="6" s="1"/>
  <c r="F35" i="1" s="1"/>
  <c r="M63" i="6"/>
  <c r="AO63" i="6" s="1"/>
  <c r="E33" i="1" s="1"/>
  <c r="M65" i="6"/>
  <c r="AH289" i="7"/>
  <c r="BP289" i="7"/>
  <c r="BE343" i="5"/>
  <c r="F22" i="1" s="1"/>
  <c r="AD345" i="5"/>
  <c r="Z65" i="6"/>
  <c r="AM65" i="6" s="1"/>
  <c r="C35" i="1" s="1"/>
  <c r="AF286" i="7"/>
  <c r="BK286" i="7"/>
  <c r="E43" i="1" s="1"/>
  <c r="AY343" i="3"/>
  <c r="F11" i="1" s="1"/>
  <c r="AX344" i="5"/>
  <c r="J341" i="5"/>
  <c r="AZ345" i="5"/>
  <c r="G24" i="1" s="1"/>
  <c r="AG286" i="7"/>
  <c r="AF343" i="5"/>
  <c r="BA345" i="5"/>
  <c r="H24" i="1" s="1"/>
  <c r="BB289" i="7"/>
  <c r="BB285" i="7"/>
  <c r="BU289" i="7"/>
  <c r="BU285" i="7"/>
  <c r="AH286" i="7"/>
  <c r="AX345" i="5"/>
  <c r="AE341" i="5"/>
  <c r="AE345" i="5"/>
  <c r="AG345" i="5"/>
  <c r="J344" i="5"/>
  <c r="AF341" i="5"/>
  <c r="BL343" i="5"/>
  <c r="AL54" i="6"/>
  <c r="AL58" i="6"/>
  <c r="BP286" i="7"/>
  <c r="AF285" i="7"/>
  <c r="BP285" i="7"/>
  <c r="K289" i="7"/>
  <c r="BI289" i="7"/>
  <c r="C46" i="1" s="1"/>
  <c r="L63" i="6"/>
  <c r="AG285" i="7"/>
  <c r="BS285" i="7"/>
  <c r="L289" i="7"/>
  <c r="BJ289" i="7"/>
  <c r="D46" i="1" s="1"/>
  <c r="AN6" i="6"/>
  <c r="AH285" i="7"/>
  <c r="BT285" i="7"/>
  <c r="M287" i="7"/>
  <c r="BK289" i="7"/>
  <c r="E46" i="1" s="1"/>
  <c r="J61" i="6"/>
  <c r="Y64" i="6"/>
  <c r="AL64" i="6" s="1"/>
  <c r="F34" i="1" s="1"/>
  <c r="BL287" i="7"/>
  <c r="F44" i="1" s="1"/>
  <c r="Z63" i="6"/>
  <c r="AM63" i="6" s="1"/>
  <c r="C33" i="1" s="1"/>
  <c r="Z64" i="6"/>
  <c r="AM64" i="6" s="1"/>
  <c r="C34" i="1" s="1"/>
  <c r="AA65" i="6"/>
  <c r="AN65" i="6" s="1"/>
  <c r="D35" i="1" s="1"/>
  <c r="BD285" i="7"/>
  <c r="BN289" i="7"/>
  <c r="AA63" i="6"/>
  <c r="AB65" i="6"/>
  <c r="BE285" i="7"/>
  <c r="BO289" i="7"/>
  <c r="AA62" i="6"/>
  <c r="AN62" i="6" s="1"/>
  <c r="D32" i="1" s="1"/>
  <c r="BF285" i="7"/>
  <c r="AI287" i="7"/>
  <c r="BQ287" i="7"/>
  <c r="AN5" i="6"/>
  <c r="J285" i="7"/>
  <c r="BG287" i="7"/>
  <c r="BV287" i="7"/>
  <c r="AO65" i="6" l="1"/>
  <c r="E35" i="1" s="1"/>
  <c r="AN63" i="6"/>
  <c r="D33" i="1" s="1"/>
</calcChain>
</file>

<file path=xl/sharedStrings.xml><?xml version="1.0" encoding="utf-8"?>
<sst xmlns="http://schemas.openxmlformats.org/spreadsheetml/2006/main" count="3662" uniqueCount="993">
  <si>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</si>
  <si>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</si>
  <si>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</si>
  <si>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</si>
  <si>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</si>
  <si>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</si>
  <si>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</si>
  <si>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</si>
  <si>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</si>
  <si>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</si>
  <si>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</si>
  <si>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</si>
  <si>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</si>
  <si>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</si>
  <si>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</si>
  <si>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</si>
  <si>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</si>
  <si>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</si>
  <si>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</si>
  <si>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</si>
  <si>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</si>
  <si>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</si>
  <si>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</si>
  <si>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</si>
  <si>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</si>
  <si>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</si>
  <si>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</si>
  <si>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</si>
  <si>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</si>
  <si>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</si>
  <si>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</si>
  <si>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</si>
  <si>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</si>
  <si>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</si>
  <si>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</si>
  <si>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</si>
  <si>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</si>
  <si>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</si>
  <si>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</si>
  <si>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</si>
  <si>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</si>
  <si>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</si>
  <si>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</si>
  <si>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</si>
  <si>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</si>
  <si>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</si>
  <si>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</si>
  <si>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</si>
  <si>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</si>
  <si>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</si>
  <si>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</si>
  <si>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</si>
  <si>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</si>
  <si>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</si>
  <si>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</si>
  <si>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</si>
  <si>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</si>
  <si>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</si>
  <si>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</si>
  <si>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</si>
  <si>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</si>
  <si>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</si>
  <si>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</si>
  <si>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</si>
  <si>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</si>
  <si>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</si>
  <si>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</si>
  <si>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</si>
  <si>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</si>
  <si>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</si>
  <si>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</si>
  <si>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</si>
  <si>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</si>
  <si>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</si>
  <si>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</si>
  <si>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</si>
  <si>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</si>
  <si>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</si>
  <si>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</si>
  <si>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</si>
  <si>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</si>
  <si>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</si>
  <si>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</si>
  <si>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</si>
  <si>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</si>
  <si>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</si>
  <si>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</si>
  <si>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</si>
  <si>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</si>
  <si>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</si>
  <si>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</si>
  <si>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</si>
  <si>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</si>
  <si>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col.C1 losslG,lossyA,intra.class</t>
  </si>
  <si>
    <t>Sequence</t>
  </si>
  <si>
    <t>sequence</t>
  </si>
  <si>
    <t>col.C1 losslG,lossyA,intra.sequence</t>
  </si>
  <si>
    <t>Variant</t>
  </si>
  <si>
    <t>variant</t>
  </si>
  <si>
    <t>col.C1 losslG,lossyA,intra.variant</t>
  </si>
  <si>
    <t>№ input points</t>
  </si>
  <si>
    <t>src.numpoints</t>
  </si>
  <si>
    <t>col.C1 losslG,lossyA,intra.src.numpoints</t>
  </si>
  <si>
    <t>Geometry precision [bits]</t>
  </si>
  <si>
    <t>src.geometry-precision</t>
  </si>
  <si>
    <t>col.C1 losslG,lossyA,intra.src.geometry-precision</t>
  </si>
  <si>
    <t>№ frames</t>
  </si>
  <si>
    <t>src.framecount</t>
  </si>
  <si>
    <t>col.C1 losslG,lossyA,intra.src.framecount</t>
  </si>
  <si>
    <t>Frame rate [fps]</t>
  </si>
  <si>
    <t>src.framerate</t>
  </si>
  <si>
    <t>col.C1 losslG,lossyA,intra.src.framerate</t>
  </si>
  <si>
    <t>Rate [Mbps]</t>
  </si>
  <si>
    <t>A.eqn.bitrate</t>
  </si>
  <si>
    <t>col.C1 losslG,lossyA,intra.A.eqn.bitrate</t>
  </si>
  <si>
    <t>Bits per input point [bpip]</t>
  </si>
  <si>
    <t>Total</t>
  </si>
  <si>
    <t>A.eqn.bpp</t>
  </si>
  <si>
    <t>col.C1 losslG,lossyA,intra.A.eqn.bpp</t>
  </si>
  <si>
    <t>Geometry</t>
  </si>
  <si>
    <t>A.eqn.bpp.geometry</t>
  </si>
  <si>
    <t>col.C1 losslG,lossyA,intra.A.eqn.bpp.geometry</t>
  </si>
  <si>
    <t xml:space="preserve">Colour </t>
  </si>
  <si>
    <t>A.eqn.bpp.colour</t>
  </si>
  <si>
    <t>col.C1 losslG,lossyA,intra.A.eqn.bpp.colour</t>
  </si>
  <si>
    <t>Reflectance</t>
  </si>
  <si>
    <t>A.eqn.bpp.reflectance</t>
  </si>
  <si>
    <t>col.C1 losslG,lossyA,intra.A.eqn.bpp.reflectance</t>
  </si>
  <si>
    <t>Total Bits per output point [bpop]</t>
  </si>
  <si>
    <t>A.eqn.bpop</t>
  </si>
  <si>
    <t>col.C1 losslG,lossyA,intra.A.eqn.bpop</t>
  </si>
  <si>
    <t>A.dec.numpoints</t>
  </si>
  <si>
    <t>col.C1 losslG,lossyA,intra.A.dec.numpoints</t>
  </si>
  <si>
    <t>Bitstream [bits]</t>
  </si>
  <si>
    <t>A.enc.ext.bits</t>
  </si>
  <si>
    <t>col.C1 losslG,lossyA,intra.A.enc.ext.bits</t>
  </si>
  <si>
    <t>A.enc.bits.geometry</t>
  </si>
  <si>
    <t>col.C1 losslG,lossyA,intra.A.enc.bits.geometry</t>
  </si>
  <si>
    <t>Colour</t>
  </si>
  <si>
    <t>A.enc.bits.colour</t>
  </si>
  <si>
    <t>col.C1 losslG,lossyA,intra.A.enc.bits.colour</t>
  </si>
  <si>
    <t>A.enc.bits.reflectance</t>
  </si>
  <si>
    <t>col.C1 losslG,lossyA,intra.A.enc.bits.reflectance</t>
  </si>
  <si>
    <t>End-to-end PSNR [dB]</t>
  </si>
  <si>
    <t>Luma</t>
  </si>
  <si>
    <t>A.dec.y-psnr</t>
  </si>
  <si>
    <t>col.C1 losslG,lossyA,intra.A.dec.y-psnr</t>
  </si>
  <si>
    <t>Chroma Cb</t>
  </si>
  <si>
    <t>A.dec.cb-psnr</t>
  </si>
  <si>
    <t>col.C1 losslG,lossyA,intra.A.dec.cb-psnr</t>
  </si>
  <si>
    <t>Chroma Cr</t>
  </si>
  <si>
    <t>A.dec.cr-psnr</t>
  </si>
  <si>
    <t>col.C1 losslG,lossyA,intra.A.dec.cr-psnr</t>
  </si>
  <si>
    <t>A.dec.reflectance-psnr</t>
  </si>
  <si>
    <t>col.C1 losslG,lossyA,intra.A.dec.reflectance-psnr</t>
  </si>
  <si>
    <t>User Encoder runtime [s]</t>
  </si>
  <si>
    <t>A.enc.utime</t>
  </si>
  <si>
    <t>col.C1 losslG,lossyA,intra.A.enc.utime</t>
  </si>
  <si>
    <t>User Decoder runtime [s]</t>
  </si>
  <si>
    <t>A.dec.utime</t>
  </si>
  <si>
    <t>col.C1 losslG,lossyA,intra.A.dec.utime</t>
  </si>
  <si>
    <t>B.eqn.bitrate</t>
  </si>
  <si>
    <t>col.C1 losslG,lossyA,intra.B.eqn.bitrate</t>
  </si>
  <si>
    <t>B.eqn.bpp</t>
  </si>
  <si>
    <t>col.C1 losslG,lossyA,intra.B.eqn.bpp</t>
  </si>
  <si>
    <t>B.eqn.bpp.geometry</t>
  </si>
  <si>
    <t>col.C1 losslG,lossyA,intra.B.eqn.bpp.geometry</t>
  </si>
  <si>
    <t>B.eqn.bpp.colour</t>
  </si>
  <si>
    <t>col.C1 losslG,lossyA,intra.B.eqn.bpp.colour</t>
  </si>
  <si>
    <t>B.eqn.bpp.reflectance</t>
  </si>
  <si>
    <t>col.C1 losslG,lossyA,intra.B.eqn.bpp.reflectance</t>
  </si>
  <si>
    <t>B.eqn.bpop</t>
  </si>
  <si>
    <t>col.C1 losslG,lossyA,intra.B.eqn.bpop</t>
  </si>
  <si>
    <t>B.dec.numpoints</t>
  </si>
  <si>
    <t>col.C1 losslG,lossyA,intra.B.dec.numpoints</t>
  </si>
  <si>
    <t>B.enc.ext.bits</t>
  </si>
  <si>
    <t>col.C1 losslG,lossyA,intra.B.enc.ext.bits</t>
  </si>
  <si>
    <t>B.enc.bits.geometry</t>
  </si>
  <si>
    <t>col.C1 losslG,lossyA,intra.B.enc.bits.geometry</t>
  </si>
  <si>
    <t>B.enc.bits.colour</t>
  </si>
  <si>
    <t>col.C1 losslG,lossyA,intra.B.enc.bits.colour</t>
  </si>
  <si>
    <t>B.enc.bits.reflectance</t>
  </si>
  <si>
    <t>col.C1 losslG,lossyA,intra.B.enc.bits.reflectance</t>
  </si>
  <si>
    <t>B.dec.y-psnr</t>
  </si>
  <si>
    <t>col.C1 losslG,lossyA,intra.B.dec.y-psnr</t>
  </si>
  <si>
    <t>B.dec.cb-psnr</t>
  </si>
  <si>
    <t>col.C1 losslG,lossyA,intra.B.dec.cb-psnr</t>
  </si>
  <si>
    <t>B.dec.cr-psnr</t>
  </si>
  <si>
    <t>col.C1 losslG,lossyA,intra.B.dec.cr-psnr</t>
  </si>
  <si>
    <t>B.dec.reflectance-psnr</t>
  </si>
  <si>
    <t>col.C1 losslG,lossyA,intra.B.dec.reflectance-psnr</t>
  </si>
  <si>
    <t>B.enc.utime</t>
  </si>
  <si>
    <t>col.C1 losslG,lossyA,intra.B.enc.utime</t>
  </si>
  <si>
    <t>B.dec.utime</t>
  </si>
  <si>
    <t>col.C1 losslG,lossyA,intra.B.dec.utime</t>
  </si>
  <si>
    <t>Shift in G:T bits ratio [pp]</t>
  </si>
  <si>
    <t>eqn.ab.delta-geom_texture_bits_ratio</t>
  </si>
  <si>
    <t>col.C1 losslG,lossyA,intra.eqn.ab.delta-geom_texture_bits_ratio</t>
  </si>
  <si>
    <t>eqn.ab.summary-delta-geom_texture_bits_ratio</t>
  </si>
  <si>
    <t>col.C1 losslG,lossyA,intra.eqn.ab.summary-delta-geom_texture_bits_ratio</t>
  </si>
  <si>
    <t>End-to-End BD‑AttrRate [%]</t>
  </si>
  <si>
    <t>eqn.ab.bdrate-y-attrrate</t>
  </si>
  <si>
    <t>col.C1 losslG,lossyA,intra.eqn.ab.bdrate-y-attrrate</t>
  </si>
  <si>
    <t>eqn.ab.bdrate-cb-attrrate</t>
  </si>
  <si>
    <t>col.C1 losslG,lossyA,intra.eqn.ab.bdrate-cb-attrrate</t>
  </si>
  <si>
    <t>eqn.ab.bdrate-cr-attrrate</t>
  </si>
  <si>
    <t>col.C1 losslG,lossyA,intra.eqn.ab.bdrate-cr-attrrate</t>
  </si>
  <si>
    <t>eqn.ab.bdrate-reflectance-attrrate</t>
  </si>
  <si>
    <t>col.C1 losslG,lossyA,intra.eqn.ab.bdrate-reflectance-attrrate</t>
  </si>
  <si>
    <t>End-to-End BD‑TotalRate [%]</t>
  </si>
  <si>
    <t>eqn.ab.bdrate-y</t>
  </si>
  <si>
    <t>col.C1 losslG,lossyA,intra.eqn.ab.bdrate-y</t>
  </si>
  <si>
    <t>eqn.ab.bdrate-cb</t>
  </si>
  <si>
    <t>col.C1 losslG,lossyA,intra.eqn.ab.bdrate-cb</t>
  </si>
  <si>
    <t>eqn.ab.bdrate-cr</t>
  </si>
  <si>
    <t>col.C1 losslG,lossyA,intra.eqn.ab.bdrate-cr</t>
  </si>
  <si>
    <t>eqn.ab.bdrate-reflectance</t>
  </si>
  <si>
    <t>col.C1 losslG,lossyA,intra.eqn.ab.bdrate-reflectance</t>
  </si>
  <si>
    <t>C1_ai — lossless geometry, lossy attributes [all intra]</t>
  </si>
  <si>
    <t>name.A.C1 losslG,lossyA,intra</t>
  </si>
  <si>
    <t>'C1 losslG,lossyA,intra'!$I$1</t>
  </si>
  <si>
    <t>name.B.C1 losslG,lossyA,intra</t>
  </si>
  <si>
    <t>'C1 losslG,lossyA,intra'!$AA$1</t>
  </si>
  <si>
    <t>basketball_player_vox11_00000200</t>
  </si>
  <si>
    <t>cat1-A</t>
  </si>
  <si>
    <t>r01</t>
  </si>
  <si>
    <t>r02</t>
  </si>
  <si>
    <t>r03</t>
  </si>
  <si>
    <t>r04</t>
  </si>
  <si>
    <t>r05</t>
  </si>
  <si>
    <t>r06</t>
  </si>
  <si>
    <t>range.C1 losslG,lossyA,intra.basketball_player_vox11_00000200</t>
  </si>
  <si>
    <t>'C1 losslG,lossyA,intra'!$A$5:$BD$10</t>
  </si>
  <si>
    <t>boxer_viewdep_vox12</t>
  </si>
  <si>
    <t>range.C1 losslG,lossyA,intra.boxer_viewdep_vox12</t>
  </si>
  <si>
    <t>'C1 losslG,lossyA,intra'!$A$11:$BD$16</t>
  </si>
  <si>
    <t>dancer_vox11_00000001</t>
  </si>
  <si>
    <t>range.C1 losslG,lossyA,intra.dancer_vox11_00000001</t>
  </si>
  <si>
    <t>'C1 losslG,lossyA,intra'!$A$17:$BD$22</t>
  </si>
  <si>
    <t>egyptian_mask_vox12</t>
  </si>
  <si>
    <t>range.C1 losslG,lossyA,intra.egyptian_mask_vox12</t>
  </si>
  <si>
    <t>'C1 losslG,lossyA,intra'!$A$23:$BD$28</t>
  </si>
  <si>
    <t>facade_00009_vox12</t>
  </si>
  <si>
    <t>range.C1 losslG,lossyA,intra.facade_00009_vox12</t>
  </si>
  <si>
    <t>'C1 losslG,lossyA,intra'!$A$29:$BD$34</t>
  </si>
  <si>
    <t>facade_00015_vox14</t>
  </si>
  <si>
    <t>range.C1 losslG,lossyA,intra.facade_00015_vox14</t>
  </si>
  <si>
    <t>'C1 losslG,lossyA,intra'!$A$35:$BD$40</t>
  </si>
  <si>
    <t>facade_00064_vox11</t>
  </si>
  <si>
    <t>range.C1 losslG,lossyA,intra.facade_00064_vox11</t>
  </si>
  <si>
    <t>'C1 losslG,lossyA,intra'!$A$41:$BD$46</t>
  </si>
  <si>
    <t>frog_00067_vox12</t>
  </si>
  <si>
    <t>range.C1 losslG,lossyA,intra.frog_00067_vox12</t>
  </si>
  <si>
    <t>'C1 losslG,lossyA,intra'!$A$47:$BD$52</t>
  </si>
  <si>
    <t>head_00039_vox12</t>
  </si>
  <si>
    <t>range.C1 losslG,lossyA,intra.head_00039_vox12</t>
  </si>
  <si>
    <t>'C1 losslG,lossyA,intra'!$A$53:$BD$58</t>
  </si>
  <si>
    <t>house_without_roof_00057_vox12</t>
  </si>
  <si>
    <t>range.C1 losslG,lossyA,intra.house_without_roof_00057_vox12</t>
  </si>
  <si>
    <t>'C1 losslG,lossyA,intra'!$A$59:$BD$64</t>
  </si>
  <si>
    <t>longdress_viewdep_vox12</t>
  </si>
  <si>
    <t>range.C1 losslG,lossyA,intra.longdress_viewdep_vox12</t>
  </si>
  <si>
    <t>'C1 losslG,lossyA,intra'!$A$65:$BD$70</t>
  </si>
  <si>
    <t>longdress_vox10_1300</t>
  </si>
  <si>
    <t>range.C1 losslG,lossyA,intra.longdress_vox10_1300</t>
  </si>
  <si>
    <t>'C1 losslG,lossyA,intra'!$A$71:$BD$76</t>
  </si>
  <si>
    <t>loot_viewdep_vox12</t>
  </si>
  <si>
    <t>range.C1 losslG,lossyA,intra.loot_viewdep_vox12</t>
  </si>
  <si>
    <t>'C1 losslG,lossyA,intra'!$A$77:$BD$82</t>
  </si>
  <si>
    <t>loot_vox10_1200</t>
  </si>
  <si>
    <t>range.C1 losslG,lossyA,intra.loot_vox10_1200</t>
  </si>
  <si>
    <t>'C1 losslG,lossyA,intra'!$A$83:$BD$88</t>
  </si>
  <si>
    <t>queen_0200</t>
  </si>
  <si>
    <t>range.C1 losslG,lossyA,intra.queen_0200</t>
  </si>
  <si>
    <t>'C1 losslG,lossyA,intra'!$A$89:$BD$94</t>
  </si>
  <si>
    <t>redandblack_viewdep_vox12</t>
  </si>
  <si>
    <t>range.C1 losslG,lossyA,intra.redandblack_viewdep_vox12</t>
  </si>
  <si>
    <t>'C1 losslG,lossyA,intra'!$A$95:$BD$100</t>
  </si>
  <si>
    <t>redandblack_vox10_1550</t>
  </si>
  <si>
    <t>range.C1 losslG,lossyA,intra.redandblack_vox10_1550</t>
  </si>
  <si>
    <t>'C1 losslG,lossyA,intra'!$A$101:$BD$106</t>
  </si>
  <si>
    <t>shiva_00035_vox12</t>
  </si>
  <si>
    <t>range.C1 losslG,lossyA,intra.shiva_00035_vox12</t>
  </si>
  <si>
    <t>'C1 losslG,lossyA,intra'!$A$107:$BD$112</t>
  </si>
  <si>
    <t>soldier_viewdep_vox12</t>
  </si>
  <si>
    <t>range.C1 losslG,lossyA,intra.soldier_viewdep_vox12</t>
  </si>
  <si>
    <t>'C1 losslG,lossyA,intra'!$A$113:$BD$118</t>
  </si>
  <si>
    <t>soldier_vox10_0690</t>
  </si>
  <si>
    <t>range.C1 losslG,lossyA,intra.soldier_vox10_0690</t>
  </si>
  <si>
    <t>'C1 losslG,lossyA,intra'!$A$119:$BD$124</t>
  </si>
  <si>
    <t>thaidancer_viewdep_vox12</t>
  </si>
  <si>
    <t>range.C1 losslG,lossyA,intra.thaidancer_viewdep_vox12</t>
  </si>
  <si>
    <t>'C1 losslG,lossyA,intra'!$A$125:$BD$130</t>
  </si>
  <si>
    <t>ulb_unicorn_vox13</t>
  </si>
  <si>
    <t>range.C1 losslG,lossyA,intra.ulb_unicorn_vox13</t>
  </si>
  <si>
    <t>'C1 losslG,lossyA,intra'!$A$131:$BD$136</t>
  </si>
  <si>
    <t>arco_valentino_dense_vox12</t>
  </si>
  <si>
    <t>cat1-B</t>
  </si>
  <si>
    <t>range.C1 losslG,lossyA,intra.arco_valentino_dense_vox12</t>
  </si>
  <si>
    <t>'C1 losslG,lossyA,intra'!$A$137:$BD$142</t>
  </si>
  <si>
    <t>arco_valentino_dense_vox20</t>
  </si>
  <si>
    <t>range.C1 losslG,lossyA,intra.arco_valentino_dense_vox20</t>
  </si>
  <si>
    <t>'C1 losslG,lossyA,intra'!$A$143:$BD$148</t>
  </si>
  <si>
    <t>egyptian_mask_vox20</t>
  </si>
  <si>
    <t>range.C1 losslG,lossyA,intra.egyptian_mask_vox20</t>
  </si>
  <si>
    <t>'C1 losslG,lossyA,intra'!$A$149:$BD$154</t>
  </si>
  <si>
    <t>facade_00009_vox20</t>
  </si>
  <si>
    <t>range.C1 losslG,lossyA,intra.facade_00009_vox20</t>
  </si>
  <si>
    <t>'C1 losslG,lossyA,intra'!$A$155:$BD$160</t>
  </si>
  <si>
    <t>facade_00015_vox20</t>
  </si>
  <si>
    <t>range.C1 losslG,lossyA,intra.facade_00015_vox20</t>
  </si>
  <si>
    <t>'C1 losslG,lossyA,intra'!$A$161:$BD$166</t>
  </si>
  <si>
    <t>facade_00064_vox14</t>
  </si>
  <si>
    <t>range.C1 losslG,lossyA,intra.facade_00064_vox14</t>
  </si>
  <si>
    <t>'C1 losslG,lossyA,intra'!$A$167:$BD$172</t>
  </si>
  <si>
    <t>facade_00064_vox20</t>
  </si>
  <si>
    <t>range.C1 losslG,lossyA,intra.facade_00064_vox20</t>
  </si>
  <si>
    <t>'C1 losslG,lossyA,intra'!$A$173:$BD$178</t>
  </si>
  <si>
    <t>frog_00067_vox20</t>
  </si>
  <si>
    <t>range.C1 losslG,lossyA,intra.frog_00067_vox20</t>
  </si>
  <si>
    <t>'C1 losslG,lossyA,intra'!$A$179:$BD$184</t>
  </si>
  <si>
    <t>head_00039_vox20</t>
  </si>
  <si>
    <t>range.C1 losslG,lossyA,intra.head_00039_vox20</t>
  </si>
  <si>
    <t>'C1 losslG,lossyA,intra'!$A$185:$BD$190</t>
  </si>
  <si>
    <t>house_without_roof_00057_vox20</t>
  </si>
  <si>
    <t>range.C1 losslG,lossyA,intra.house_without_roof_00057_vox20</t>
  </si>
  <si>
    <t>'C1 losslG,lossyA,intra'!$A$191:$BD$196</t>
  </si>
  <si>
    <t>landscape_00014_vox14</t>
  </si>
  <si>
    <t>range.C1 losslG,lossyA,intra.landscape_00014_vox14</t>
  </si>
  <si>
    <t>'C1 losslG,lossyA,intra'!$A$197:$BD$202</t>
  </si>
  <si>
    <t>landscape_00014_vox20</t>
  </si>
  <si>
    <t>range.C1 losslG,lossyA,intra.landscape_00014_vox20</t>
  </si>
  <si>
    <t>'C1 losslG,lossyA,intra'!$A$203:$BD$208</t>
  </si>
  <si>
    <t>palazzo_carignano_dense_vox14</t>
  </si>
  <si>
    <t>range.C1 losslG,lossyA,intra.palazzo_carignano_dense_vox14</t>
  </si>
  <si>
    <t>'C1 losslG,lossyA,intra'!$A$209:$BD$214</t>
  </si>
  <si>
    <t>palazzo_carignano_dense_vox20</t>
  </si>
  <si>
    <t>range.C1 losslG,lossyA,intra.palazzo_carignano_dense_vox20</t>
  </si>
  <si>
    <t>'C1 losslG,lossyA,intra'!$A$215:$BD$220</t>
  </si>
  <si>
    <t>shiva_00035_vox20</t>
  </si>
  <si>
    <t>range.C1 losslG,lossyA,intra.shiva_00035_vox20</t>
  </si>
  <si>
    <t>'C1 losslG,lossyA,intra'!$A$221:$BD$226</t>
  </si>
  <si>
    <t>stanford_area_2_vox16</t>
  </si>
  <si>
    <t>range.C1 losslG,lossyA,intra.stanford_area_2_vox16</t>
  </si>
  <si>
    <t>'C1 losslG,lossyA,intra'!$A$227:$BD$232</t>
  </si>
  <si>
    <t>stanford_area_2_vox20</t>
  </si>
  <si>
    <t>range.C1 losslG,lossyA,intra.stanford_area_2_vox20</t>
  </si>
  <si>
    <t>'C1 losslG,lossyA,intra'!$A$233:$BD$238</t>
  </si>
  <si>
    <t>stanford_area_4_vox16</t>
  </si>
  <si>
    <t>range.C1 losslG,lossyA,intra.stanford_area_4_vox16</t>
  </si>
  <si>
    <t>'C1 losslG,lossyA,intra'!$A$239:$BD$244</t>
  </si>
  <si>
    <t>stanford_area_4_vox20</t>
  </si>
  <si>
    <t>range.C1 losslG,lossyA,intra.stanford_area_4_vox20</t>
  </si>
  <si>
    <t>'C1 losslG,lossyA,intra'!$A$245:$BD$250</t>
  </si>
  <si>
    <t>staue_klimt_vox12</t>
  </si>
  <si>
    <t>range.C1 losslG,lossyA,intra.staue_klimt_vox12</t>
  </si>
  <si>
    <t>'C1 losslG,lossyA,intra'!$A$251:$BD$256</t>
  </si>
  <si>
    <t>staue_klimt_vox20</t>
  </si>
  <si>
    <t>range.C1 losslG,lossyA,intra.staue_klimt_vox20</t>
  </si>
  <si>
    <t>'C1 losslG,lossyA,intra'!$A$257:$BD$262</t>
  </si>
  <si>
    <t>ulb_unicorn_hires_vox15</t>
  </si>
  <si>
    <t>range.C1 losslG,lossyA,intra.ulb_unicorn_hires_vox15</t>
  </si>
  <si>
    <t>'C1 losslG,lossyA,intra'!$A$263:$BD$268</t>
  </si>
  <si>
    <t>ulb_unicorn_hires_vox20</t>
  </si>
  <si>
    <t>range.C1 losslG,lossyA,intra.ulb_unicorn_hires_vox20</t>
  </si>
  <si>
    <t>'C1 losslG,lossyA,intra'!$A$269:$BD$274</t>
  </si>
  <si>
    <t>ulb_unicorn_vox20</t>
  </si>
  <si>
    <t>range.C1 losslG,lossyA,intra.ulb_unicorn_vox20</t>
  </si>
  <si>
    <t>'C1 losslG,lossyA,intra'!$A$275:$BD$280</t>
  </si>
  <si>
    <t>citytunnel_q1mm</t>
  </si>
  <si>
    <t>cat3-fused</t>
  </si>
  <si>
    <t>range.C1 losslG,lossyA,intra.citytunnel_q1mm</t>
  </si>
  <si>
    <t>'C1 losslG,lossyA,intra'!$A$281:$BD$286</t>
  </si>
  <si>
    <t>overpass_q1mm</t>
  </si>
  <si>
    <t>range.C1 losslG,lossyA,intra.overpass_q1mm</t>
  </si>
  <si>
    <t>'C1 losslG,lossyA,intra'!$A$287:$BD$292</t>
  </si>
  <si>
    <t>tollbooth_q1mm</t>
  </si>
  <si>
    <t>range.C1 losslG,lossyA,intra.tollbooth_q1mm</t>
  </si>
  <si>
    <t>'C1 losslG,lossyA,intra'!$A$293:$BD$298</t>
  </si>
  <si>
    <t>ford_01_q1mm</t>
  </si>
  <si>
    <t>cat3-frame</t>
  </si>
  <si>
    <t>range.C1 losslG,lossyA,intra.ford_01_q1mm</t>
  </si>
  <si>
    <t>'C1 losslG,lossyA,intra'!$A$299:$BD$304</t>
  </si>
  <si>
    <t>ford_02_q1mm</t>
  </si>
  <si>
    <t>range.C1 losslG,lossyA,intra.ford_02_q1mm</t>
  </si>
  <si>
    <t>'C1 losslG,lossyA,intra'!$A$305:$BD$310</t>
  </si>
  <si>
    <t>ford_03_q1mm</t>
  </si>
  <si>
    <t>range.C1 losslG,lossyA,intra.ford_03_q1mm</t>
  </si>
  <si>
    <t>'C1 losslG,lossyA,intra'!$A$311:$BD$316</t>
  </si>
  <si>
    <t>qnxadas-junction-approach</t>
  </si>
  <si>
    <t>range.C1 losslG,lossyA,intra.qnxadas-junction-approach</t>
  </si>
  <si>
    <t>'C1 losslG,lossyA,intra'!$A$317:$BD$322</t>
  </si>
  <si>
    <t>qnxadas-junction-exit</t>
  </si>
  <si>
    <t>range.C1 losslG,lossyA,intra.qnxadas-junction-exit</t>
  </si>
  <si>
    <t>'C1 losslG,lossyA,intra'!$A$323:$BD$328</t>
  </si>
  <si>
    <t>qnxadas-motorway-join</t>
  </si>
  <si>
    <t>range.C1 losslG,lossyA,intra.qnxadas-motorway-join</t>
  </si>
  <si>
    <t>'C1 losslG,lossyA,intra'!$A$329:$BD$334</t>
  </si>
  <si>
    <t>qnxadas-navigating-bends</t>
  </si>
  <si>
    <t>range.C1 losslG,lossyA,intra.qnxadas-navigating-bends</t>
  </si>
  <si>
    <t>'C1 losslG,lossyA,intra'!$A$335:$BD$340</t>
  </si>
  <si>
    <t>Cat1-A average</t>
  </si>
  <si>
    <t>Cat1-B average</t>
  </si>
  <si>
    <t>Cat3-fused average</t>
  </si>
  <si>
    <t>Cat3-frame average</t>
  </si>
  <si>
    <t>Overall average</t>
  </si>
  <si>
    <t>Overall</t>
  </si>
  <si>
    <t>Total time [s]</t>
  </si>
  <si>
    <t>Total time [%]</t>
  </si>
  <si>
    <t>Avg (geometric) time [s]</t>
  </si>
  <si>
    <t>Avg (geometric) time [%]</t>
  </si>
  <si>
    <t>All Intra</t>
  </si>
  <si>
    <t>C1_ai</t>
  </si>
  <si>
    <t>lossless geometry, lossy attributes [all intra]</t>
  </si>
  <si>
    <t>Avg. Enc Time [%]</t>
  </si>
  <si>
    <t>Avg. Dec Time [%]</t>
  </si>
  <si>
    <t>C1 losslG,lossyA,intra</t>
  </si>
  <si>
    <t>cols.C1 losslG,lossyA,intra</t>
  </si>
  <si>
    <t>names!$B$110:$R$110</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</si>
  <si>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</si>
  <si>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</si>
  <si>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</si>
  <si>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</si>
  <si>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</si>
  <si>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</si>
  <si>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</si>
  <si>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</si>
  <si>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</si>
  <si>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t>
  </si>
  <si>
    <t>col.C2 lossyG,lossyA,intra.A.eqn.bpp.colour</t>
  </si>
  <si>
    <t>col.C2 lossyG,lossyA,intra.A.eqn.bpp.reflectance</t>
  </si>
  <si>
    <t>col.C2 lossyG,lossyA,intra.A.eqn.bpop</t>
  </si>
  <si>
    <t>col.C2 lossyG,lossyA,intra.A.dec.numpoints</t>
  </si>
  <si>
    <t>col.C2 lossyG,lossyA,intra.A.enc.ext.bits</t>
  </si>
  <si>
    <t>col.C2 lossyG,lossyA,intra.A.enc.bits.geometry</t>
  </si>
  <si>
    <t>col.C2 lossyG,lossyA,intra.A.enc.bits.colour</t>
  </si>
  <si>
    <t>col.C2 lossyG,lossyA,intra.A.enc.bits.reflectance</t>
  </si>
  <si>
    <t>Geometry PSNR [dB]</t>
  </si>
  <si>
    <t>D1</t>
  </si>
  <si>
    <t>A.dec.d1-psnr</t>
  </si>
  <si>
    <t>col.C2 lossyG,lossyA,intra.A.dec.d1-psnr</t>
  </si>
  <si>
    <t>D2</t>
  </si>
  <si>
    <t>A.dec.d2-psnr</t>
  </si>
  <si>
    <t>col.C2 lossyG,lossyA,intra.A.dec.d2-psnr</t>
  </si>
  <si>
    <t>col.C2 lossyG,lossyA,intra.A.dec.y-psnr</t>
  </si>
  <si>
    <t>col.C2 lossyG,lossyA,intra.A.dec.cb-psnr</t>
  </si>
  <si>
    <t>col.C2 lossyG,lossyA,intra.A.dec.cr-psnr</t>
  </si>
  <si>
    <t>col.C2 lossyG,lossyA,intra.A.dec.reflectance-psnr</t>
  </si>
  <si>
    <t>col.C2 lossyG,lossyA,intra.A.enc.utime</t>
  </si>
  <si>
    <t>col.C2 lossyG,lossyA,intra.A.dec.utime</t>
  </si>
  <si>
    <t>col.C2 lossyG,lossyA,intra.B.eqn.bitrate</t>
  </si>
  <si>
    <t>col.C2 lossyG,lossyA,intra.B.eqn.bpp</t>
  </si>
  <si>
    <t>col.C2 lossyG,lossyA,intra.B.eqn.bpp.geometry</t>
  </si>
  <si>
    <t>col.C2 lossyG,lossyA,intra.B.eqn.bpp.colour</t>
  </si>
  <si>
    <t>col.C2 lossyG,lossyA,intra.B.eqn.bpp.reflectance</t>
  </si>
  <si>
    <t>col.C2 lossyG,lossyA,intra.B.eqn.bpop</t>
  </si>
  <si>
    <t>col.C2 lossyG,lossyA,intra.B.dec.numpoints</t>
  </si>
  <si>
    <t>col.C2 lossyG,lossyA,intra.B.enc.ext.bits</t>
  </si>
  <si>
    <t>col.C2 lossyG,lossyA,intra.B.enc.bits.geometry</t>
  </si>
  <si>
    <t>col.C2 lossyG,lossyA,intra.B.enc.bits.colour</t>
  </si>
  <si>
    <t>col.C2 lossyG,lossyA,intra.B.enc.bits.reflectance</t>
  </si>
  <si>
    <t>B.dec.d1-psnr</t>
  </si>
  <si>
    <t>col.C2 lossyG,lossyA,intra.B.dec.d1-psnr</t>
  </si>
  <si>
    <t>B.dec.d2-psnr</t>
  </si>
  <si>
    <t>col.C2 lossyG,lossyA,intra.B.dec.d2-psnr</t>
  </si>
  <si>
    <t>col.C2 lossyG,lossyA,intra.B.dec.y-psnr</t>
  </si>
  <si>
    <t>col.C2 lossyG,lossyA,intra.B.dec.cb-psnr</t>
  </si>
  <si>
    <t>col.C2 lossyG,lossyA,intra.B.dec.cr-psnr</t>
  </si>
  <si>
    <t>col.C2 lossyG,lossyA,intra.B.dec.reflectance-psnr</t>
  </si>
  <si>
    <t>col.C2 lossyG,lossyA,intra.B.enc.utime</t>
  </si>
  <si>
    <t>col.C2 lossyG,lossyA,intra.B.dec.utime</t>
  </si>
  <si>
    <t>col.C2 lossyG,lossyA,intra.eqn.ab.delta-geom_texture_bits_ratio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</si>
  <si>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</si>
  <si>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</si>
  <si>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</si>
  <si>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</si>
  <si>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</si>
  <si>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</si>
  <si>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col.C2 lossyG,lossyA,intra.eqn.ab.bdrate-y-attrrate</t>
  </si>
  <si>
    <t>col.C2 lossyG,lossyA,intra.eqn.ab.bdrate-cb-attrrate</t>
  </si>
  <si>
    <t>col.C2 lossyG,lossyA,intra.eqn.ab.bdrate-cr-attrrate</t>
  </si>
  <si>
    <t>col.C2 lossyG,lossyA,intra.eqn.ab.bdrate-reflectance-attrrate</t>
  </si>
  <si>
    <t>Geom. BD‑TotalRate [%]</t>
  </si>
  <si>
    <t>eqn.ab.bdrate-d1</t>
  </si>
  <si>
    <t>col.C2 lossyG,lossyA,intra.eqn.ab.bdrate-d1</t>
  </si>
  <si>
    <t>eqn.ab.bdrate-d2</t>
  </si>
  <si>
    <t>col.C2 lossyG,lossyA,intra.eqn.ab.bdrate-d2</t>
  </si>
  <si>
    <t>col.C2 lossyG,lossyA,intra.eqn.ab.bdrate-y</t>
  </si>
  <si>
    <t>col.C2 lossyG,lossyA,intra.eqn.ab.bdrate-cb</t>
  </si>
  <si>
    <t>col.C2 lossyG,lossyA,intra.eqn.ab.bdrate-cr</t>
  </si>
  <si>
    <t>col.C2 lossyG,lossyA,intra.eqn.ab.bdrate-reflectance</t>
  </si>
  <si>
    <t>C2_ai — lossy geometry, lossy attributes [all intra]</t>
  </si>
  <si>
    <t>name.A.C2 lossyG,lossyA,intra</t>
  </si>
  <si>
    <t>'C2 lossyG,lossyA,intra'!$I$1</t>
  </si>
  <si>
    <t>name.B.C2 lossyG,lossyA,intra</t>
  </si>
  <si>
    <t>'C2 lossyG,lossyA,intra'!$AC$1</t>
  </si>
  <si>
    <t>range.C2 lossyG,lossyA,intra.basketball_player_vox11_00000200</t>
  </si>
  <si>
    <t>'C2 lossyG,lossyA,intra'!$A$5:$BL$10</t>
  </si>
  <si>
    <t>range.C2 lossyG,lossyA,intra.boxer_viewdep_vox12</t>
  </si>
  <si>
    <t>'C2 lossyG,lossyA,intra'!$A$11:$BL$16</t>
  </si>
  <si>
    <t>range.C2 lossyG,lossyA,intra.dancer_vox11_00000001</t>
  </si>
  <si>
    <t>'C2 lossyG,lossyA,intra'!$A$17:$BL$22</t>
  </si>
  <si>
    <t>range.C2 lossyG,lossyA,intra.egyptian_mask_vox12</t>
  </si>
  <si>
    <t>'C2 lossyG,lossyA,intra'!$A$23:$BL$28</t>
  </si>
  <si>
    <t>range.C2 lossyG,lossyA,intra.facade_00009_vox12</t>
  </si>
  <si>
    <t>'C2 lossyG,lossyA,intra'!$A$29:$BL$34</t>
  </si>
  <si>
    <t>range.C2 lossyG,lossyA,intra.facade_00015_vox14</t>
  </si>
  <si>
    <t>'C2 lossyG,lossyA,intra'!$A$35:$BL$40</t>
  </si>
  <si>
    <t>range.C2 lossyG,lossyA,intra.facade_00064_vox11</t>
  </si>
  <si>
    <t>'C2 lossyG,lossyA,intra'!$A$41:$BL$46</t>
  </si>
  <si>
    <t>range.C2 lossyG,lossyA,intra.frog_00067_vox12</t>
  </si>
  <si>
    <t>'C2 lossyG,lossyA,intra'!$A$47:$BL$52</t>
  </si>
  <si>
    <t>range.C2 lossyG,lossyA,intra.head_00039_vox12</t>
  </si>
  <si>
    <t>'C2 lossyG,lossyA,intra'!$A$53:$BL$58</t>
  </si>
  <si>
    <t>range.C2 lossyG,lossyA,intra.house_without_roof_00057_vox12</t>
  </si>
  <si>
    <t>'C2 lossyG,lossyA,intra'!$A$59:$BL$64</t>
  </si>
  <si>
    <t>range.C2 lossyG,lossyA,intra.longdress_viewdep_vox12</t>
  </si>
  <si>
    <t>'C2 lossyG,lossyA,intra'!$A$65:$BL$70</t>
  </si>
  <si>
    <t>range.C2 lossyG,lossyA,intra.longdress_vox10_1300</t>
  </si>
  <si>
    <t>'C2 lossyG,lossyA,intra'!$A$71:$BL$76</t>
  </si>
  <si>
    <t>range.C2 lossyG,lossyA,intra.loot_viewdep_vox12</t>
  </si>
  <si>
    <t>'C2 lossyG,lossyA,intra'!$A$77:$BL$82</t>
  </si>
  <si>
    <t>range.C2 lossyG,lossyA,intra.loot_vox10_1200</t>
  </si>
  <si>
    <t>'C2 lossyG,lossyA,intra'!$A$83:$BL$88</t>
  </si>
  <si>
    <t>range.C2 lossyG,lossyA,intra.queen_0200</t>
  </si>
  <si>
    <t>'C2 lossyG,lossyA,intra'!$A$89:$BL$94</t>
  </si>
  <si>
    <t>range.C2 lossyG,lossyA,intra.redandblack_viewdep_vox12</t>
  </si>
  <si>
    <t>'C2 lossyG,lossyA,intra'!$A$95:$BL$100</t>
  </si>
  <si>
    <t>range.C2 lossyG,lossyA,intra.redandblack_vox10_1550</t>
  </si>
  <si>
    <t>'C2 lossyG,lossyA,intra'!$A$101:$BL$106</t>
  </si>
  <si>
    <t>range.C2 lossyG,lossyA,intra.shiva_00035_vox12</t>
  </si>
  <si>
    <t>'C2 lossyG,lossyA,intra'!$A$107:$BL$112</t>
  </si>
  <si>
    <t>range.C2 lossyG,lossyA,intra.soldier_viewdep_vox12</t>
  </si>
  <si>
    <t>'C2 lossyG,lossyA,intra'!$A$113:$BL$118</t>
  </si>
  <si>
    <t>range.C2 lossyG,lossyA,intra.soldier_vox10_0690</t>
  </si>
  <si>
    <t>'C2 lossyG,lossyA,intra'!$A$119:$BL$124</t>
  </si>
  <si>
    <t>range.C2 lossyG,lossyA,intra.thaidancer_viewdep_vox12</t>
  </si>
  <si>
    <t>'C2 lossyG,lossyA,intra'!$A$125:$BL$130</t>
  </si>
  <si>
    <t>range.C2 lossyG,lossyA,intra.ulb_unicorn_vox13</t>
  </si>
  <si>
    <t>'C2 lossyG,lossyA,intra'!$A$131:$BL$136</t>
  </si>
  <si>
    <t>range.C2 lossyG,lossyA,intra.arco_valentino_dense_vox12</t>
  </si>
  <si>
    <t>'C2 lossyG,lossyA,intra'!$A$137:$BL$142</t>
  </si>
  <si>
    <t>range.C2 lossyG,lossyA,intra.arco_valentino_dense_vox20</t>
  </si>
  <si>
    <t>'C2 lossyG,lossyA,intra'!$A$143:$BL$148</t>
  </si>
  <si>
    <t>range.C2 lossyG,lossyA,intra.egyptian_mask_vox20</t>
  </si>
  <si>
    <t>'C2 lossyG,lossyA,intra'!$A$149:$BL$154</t>
  </si>
  <si>
    <t>range.C2 lossyG,lossyA,intra.facade_00009_vox20</t>
  </si>
  <si>
    <t>'C2 lossyG,lossyA,intra'!$A$155:$BL$160</t>
  </si>
  <si>
    <t>range.C2 lossyG,lossyA,intra.facade_00015_vox20</t>
  </si>
  <si>
    <t>'C2 lossyG,lossyA,intra'!$A$161:$BL$166</t>
  </si>
  <si>
    <t>range.C2 lossyG,lossyA,intra.facade_00064_vox14</t>
  </si>
  <si>
    <t>'C2 lossyG,lossyA,intra'!$A$167:$BL$172</t>
  </si>
  <si>
    <t>range.C2 lossyG,lossyA,intra.facade_00064_vox20</t>
  </si>
  <si>
    <t>'C2 lossyG,lossyA,intra'!$A$173:$BL$178</t>
  </si>
  <si>
    <t>range.C2 lossyG,lossyA,intra.frog_00067_vox20</t>
  </si>
  <si>
    <t>'C2 lossyG,lossyA,intra'!$A$179:$BL$184</t>
  </si>
  <si>
    <t>range.C2 lossyG,lossyA,intra.head_00039_vox20</t>
  </si>
  <si>
    <t>'C2 lossyG,lossyA,intra'!$A$185:$BL$190</t>
  </si>
  <si>
    <t>range.C2 lossyG,lossyA,intra.house_without_roof_00057_vox20</t>
  </si>
  <si>
    <t>'C2 lossyG,lossyA,intra'!$A$191:$BL$196</t>
  </si>
  <si>
    <t>range.C2 lossyG,lossyA,intra.landscape_00014_vox14</t>
  </si>
  <si>
    <t>'C2 lossyG,lossyA,intra'!$A$197:$BL$202</t>
  </si>
  <si>
    <t>range.C2 lossyG,lossyA,intra.landscape_00014_vox20</t>
  </si>
  <si>
    <t>'C2 lossyG,lossyA,intra'!$A$203:$BL$208</t>
  </si>
  <si>
    <t>range.C2 lossyG,lossyA,intra.palazzo_carignano_dense_vox14</t>
  </si>
  <si>
    <t>'C2 lossyG,lossyA,intra'!$A$209:$BL$214</t>
  </si>
  <si>
    <t>range.C2 lossyG,lossyA,intra.palazzo_carignano_dense_vox20</t>
  </si>
  <si>
    <t>'C2 lossyG,lossyA,intra'!$A$215:$BL$220</t>
  </si>
  <si>
    <t>range.C2 lossyG,lossyA,intra.shiva_00035_vox20</t>
  </si>
  <si>
    <t>'C2 lossyG,lossyA,intra'!$A$221:$BL$226</t>
  </si>
  <si>
    <t>range.C2 lossyG,lossyA,intra.stanford_area_2_vox16</t>
  </si>
  <si>
    <t>'C2 lossyG,lossyA,intra'!$A$227:$BL$232</t>
  </si>
  <si>
    <t>range.C2 lossyG,lossyA,intra.stanford_area_2_vox20</t>
  </si>
  <si>
    <t>'C2 lossyG,lossyA,intra'!$A$233:$BL$238</t>
  </si>
  <si>
    <t>range.C2 lossyG,lossyA,intra.stanford_area_4_vox16</t>
  </si>
  <si>
    <t>'C2 lossyG,lossyA,intra'!$A$239:$BL$244</t>
  </si>
  <si>
    <t>range.C2 lossyG,lossyA,intra.stanford_area_4_vox20</t>
  </si>
  <si>
    <t>'C2 lossyG,lossyA,intra'!$A$245:$BL$250</t>
  </si>
  <si>
    <t>range.C2 lossyG,lossyA,intra.staue_klimt_vox12</t>
  </si>
  <si>
    <t>'C2 lossyG,lossyA,intra'!$A$251:$BL$256</t>
  </si>
  <si>
    <t>range.C2 lossyG,lossyA,intra.staue_klimt_vox20</t>
  </si>
  <si>
    <t>'C2 lossyG,lossyA,intra'!$A$257:$BL$262</t>
  </si>
  <si>
    <t>range.C2 lossyG,lossyA,intra.ulb_unicorn_hires_vox15</t>
  </si>
  <si>
    <t>'C2 lossyG,lossyA,intra'!$A$263:$BL$268</t>
  </si>
  <si>
    <t>range.C2 lossyG,lossyA,intra.ulb_unicorn_hires_vox20</t>
  </si>
  <si>
    <t>'C2 lossyG,lossyA,intra'!$A$269:$BL$274</t>
  </si>
  <si>
    <t>range.C2 lossyG,lossyA,intra.ulb_unicorn_vox20</t>
  </si>
  <si>
    <t>'C2 lossyG,lossyA,intra'!$A$275:$BL$280</t>
  </si>
  <si>
    <t>range.C2 lossyG,lossyA,intra.citytunnel_q1mm</t>
  </si>
  <si>
    <t>'C2 lossyG,lossyA,intra'!$A$281:$BL$286</t>
  </si>
  <si>
    <t>range.C2 lossyG,lossyA,intra.overpass_q1mm</t>
  </si>
  <si>
    <t>'C2 lossyG,lossyA,intra'!$A$287:$BL$292</t>
  </si>
  <si>
    <t>range.C2 lossyG,lossyA,intra.tollbooth_q1mm</t>
  </si>
  <si>
    <t>'C2 lossyG,lossyA,intra'!$A$293:$BL$298</t>
  </si>
  <si>
    <t>range.C2 lossyG,lossyA,intra.ford_01_q1mm</t>
  </si>
  <si>
    <t>'C2 lossyG,lossyA,intra'!$A$299:$BL$304</t>
  </si>
  <si>
    <t>range.C2 lossyG,lossyA,intra.ford_02_q1mm</t>
  </si>
  <si>
    <t>'C2 lossyG,lossyA,intra'!$A$305:$BL$310</t>
  </si>
  <si>
    <t>range.C2 lossyG,lossyA,intra.ford_03_q1mm</t>
  </si>
  <si>
    <t>'C2 lossyG,lossyA,intra'!$A$311:$BL$316</t>
  </si>
  <si>
    <t>range.C2 lossyG,lossyA,intra.qnxadas-junction-approach</t>
  </si>
  <si>
    <t>'C2 lossyG,lossyA,intra'!$A$317:$BL$322</t>
  </si>
  <si>
    <t>range.C2 lossyG,lossyA,intra.qnxadas-junction-exit</t>
  </si>
  <si>
    <t>'C2 lossyG,lossyA,intra'!$A$323:$BL$328</t>
  </si>
  <si>
    <t>range.C2 lossyG,lossyA,intra.qnxadas-motorway-join</t>
  </si>
  <si>
    <t>'C2 lossyG,lossyA,intra'!$A$329:$BL$334</t>
  </si>
  <si>
    <t>range.C2 lossyG,lossyA,intra.qnxadas-navigating-bends</t>
  </si>
  <si>
    <t>'C2 lossyG,lossyA,intra'!$A$335:$BL$340</t>
  </si>
  <si>
    <t>C2_ai</t>
  </si>
  <si>
    <t>lossy geometry, lossy attributes [all intra]</t>
  </si>
  <si>
    <t>C2 lossyG,lossyA,intra</t>
  </si>
  <si>
    <t>cols.C2 lossyG,lossyA,intra</t>
  </si>
  <si>
    <t>names!$B$228:$T$228</t>
  </si>
  <si>
    <t>col.CW losslG,losslA,intra.class</t>
  </si>
  <si>
    <t>col.CW losslG,losslA,intra.sequence</t>
  </si>
  <si>
    <t>col.CW losslG,losslA,intra.src.numpoints</t>
  </si>
  <si>
    <t>col.CW losslG,losslA,intra.src.geometry-precision</t>
  </si>
  <si>
    <t>col.CW losslG,losslA,intra.src.framecount</t>
  </si>
  <si>
    <t>col.CW losslG,losslA,intra.src.framerate</t>
  </si>
  <si>
    <t>Comp. ratio [%]</t>
  </si>
  <si>
    <t>A.eqn.compratio</t>
  </si>
  <si>
    <t>col.CW losslG,losslA,intra.A.eqn.compratio</t>
  </si>
  <si>
    <t>col.CW losslG,losslA,intra.A.eqn.bitrate</t>
  </si>
  <si>
    <t>col.CW losslG,losslA,intra.A.eqn.bpp</t>
  </si>
  <si>
    <t>col.CW losslG,losslA,intra.A.eqn.bpp.geometry</t>
  </si>
  <si>
    <t>col.CW losslG,losslA,intra.A.eqn.bpp.colour</t>
  </si>
  <si>
    <t>col.CW losslG,losslA,intra.A.eqn.bpp.reflectance</t>
  </si>
  <si>
    <t>col.CW losslG,losslA,intra.A.eqn.bpop</t>
  </si>
  <si>
    <t>col.CW losslG,losslA,intra.A.dec.numpoints</t>
  </si>
  <si>
    <t>col.CW losslG,losslA,intra.A.enc.ext.bits</t>
  </si>
  <si>
    <t>col.CW losslG,losslA,intra.A.enc.bits.geometry</t>
  </si>
  <si>
    <t>col.CW losslG,losslA,intra.A.enc.bits.colour</t>
  </si>
  <si>
    <t>col.CW losslG,losslA,intra.A.enc.bits.reflectance</t>
  </si>
  <si>
    <t>col.CW losslG,losslA,intra.A.enc.utime</t>
  </si>
  <si>
    <t>col.CW losslG,losslA,intra.A.dec.utime</t>
  </si>
  <si>
    <t>B.eqn.compratio</t>
  </si>
  <si>
    <t>col.CW losslG,losslA,intra.B.eqn.compratio</t>
  </si>
  <si>
    <t>col.CW losslG,losslA,intra.B.eqn.bitrate</t>
  </si>
  <si>
    <t>col.CW losslG,losslA,intra.B.eqn.bpp</t>
  </si>
  <si>
    <t>col.CW losslG,losslA,intra.B.eqn.bpp.geometry</t>
  </si>
  <si>
    <t>col.CW losslG,losslA,intra.B.eqn.bpp.colour</t>
  </si>
  <si>
    <t>col.CW losslG,losslA,intra.B.eqn.bpp.reflectance</t>
  </si>
  <si>
    <t>col.CW losslG,losslA,intra.B.eqn.bpop</t>
  </si>
  <si>
    <t>col.CW losslG,losslA,intra.B.dec.numpoints</t>
  </si>
  <si>
    <t>col.CW losslG,losslA,intra.B.enc.ext.bits</t>
  </si>
  <si>
    <t>col.CW losslG,losslA,intra.B.enc.bits.geometry</t>
  </si>
  <si>
    <t>col.CW losslG,losslA,intra.B.enc.bits.colour</t>
  </si>
  <si>
    <t>col.CW losslG,losslA,intra.B.enc.bits.reflectance</t>
  </si>
  <si>
    <t>col.CW losslG,losslA,intra.B.enc.utime</t>
  </si>
  <si>
    <t>col.CW losslG,losslA,intra.B.dec.utime</t>
  </si>
  <si>
    <t>bpip ratio [%]</t>
  </si>
  <si>
    <t>eqn.ab.ratio-bpp</t>
  </si>
  <si>
    <t>col.CW losslG,losslA,intra.eqn.ab.ratio-bpp</t>
  </si>
  <si>
    <t>eqn.ab.ratio-bpp-geometry</t>
  </si>
  <si>
    <t>col.CW losslG,losslA,intra.eqn.ab.ratio-bpp-geometry</t>
  </si>
  <si>
    <t>eqn.ab.ratio-bpp-colour</t>
  </si>
  <si>
    <t>col.CW losslG,losslA,intra.eqn.ab.ratio-bpp-colour</t>
  </si>
  <si>
    <t>eqn.ab.ratio-bpp-reflectance</t>
  </si>
  <si>
    <t>col.CW losslG,losslA,intra.eqn.ab.ratio-bpp-reflectance</t>
  </si>
  <si>
    <t>col.CW losslG,losslA,intra.eqn.ab.delta-geom_texture_bits_ratio</t>
  </si>
  <si>
    <t>col.CW losslG,losslA,intra.eqn.ab.summary-delta-geom_texture_bits_ratio</t>
  </si>
  <si>
    <t>CW_ai — lossless geometry, lossless attributes [all intra]</t>
  </si>
  <si>
    <t>name.A.CW losslG,losslA,intra</t>
  </si>
  <si>
    <t>'CW losslG,losslA,intra'!$H$1</t>
  </si>
  <si>
    <t>name.B.CW losslG,losslA,intra</t>
  </si>
  <si>
    <t>'CW losslG,losslA,intra'!$W$1</t>
  </si>
  <si>
    <t>range.CW losslG,losslA,intra.basketball_player_vox11_00000200</t>
  </si>
  <si>
    <t>'CW losslG,losslA,intra'!$A$5:$AQ$5</t>
  </si>
  <si>
    <t>range.CW losslG,losslA,intra.boxer_viewdep_vox12</t>
  </si>
  <si>
    <t>'CW losslG,losslA,intra'!$A$6:$AQ$6</t>
  </si>
  <si>
    <t>range.CW losslG,losslA,intra.dancer_vox11_00000001</t>
  </si>
  <si>
    <t>'CW losslG,losslA,intra'!$A$7:$AQ$7</t>
  </si>
  <si>
    <t>range.CW losslG,losslA,intra.egyptian_mask_vox12</t>
  </si>
  <si>
    <t>'CW losslG,losslA,intra'!$A$8:$AQ$8</t>
  </si>
  <si>
    <t>range.CW losslG,losslA,intra.facade_00009_vox12</t>
  </si>
  <si>
    <t>'CW losslG,losslA,intra'!$A$9:$AQ$9</t>
  </si>
  <si>
    <t>range.CW losslG,losslA,intra.facade_00015_vox14</t>
  </si>
  <si>
    <t>'CW losslG,losslA,intra'!$A$10:$AQ$10</t>
  </si>
  <si>
    <t>range.CW losslG,losslA,intra.facade_00064_vox11</t>
  </si>
  <si>
    <t>'CW losslG,losslA,intra'!$A$11:$AQ$11</t>
  </si>
  <si>
    <t>range.CW losslG,losslA,intra.frog_00067_vox12</t>
  </si>
  <si>
    <t>'CW losslG,losslA,intra'!$A$12:$AQ$12</t>
  </si>
  <si>
    <t>range.CW losslG,losslA,intra.head_00039_vox12</t>
  </si>
  <si>
    <t>'CW losslG,losslA,intra'!$A$13:$AQ$13</t>
  </si>
  <si>
    <t>range.CW losslG,losslA,intra.house_without_roof_00057_vox12</t>
  </si>
  <si>
    <t>'CW losslG,losslA,intra'!$A$14:$AQ$14</t>
  </si>
  <si>
    <t>range.CW losslG,losslA,intra.longdress_viewdep_vox12</t>
  </si>
  <si>
    <t>'CW losslG,losslA,intra'!$A$15:$AQ$15</t>
  </si>
  <si>
    <t>range.CW losslG,losslA,intra.longdress_vox10_1300</t>
  </si>
  <si>
    <t>'CW losslG,losslA,intra'!$A$16:$AQ$16</t>
  </si>
  <si>
    <t>range.CW losslG,losslA,intra.loot_viewdep_vox12</t>
  </si>
  <si>
    <t>'CW losslG,losslA,intra'!$A$17:$AQ$17</t>
  </si>
  <si>
    <t>range.CW losslG,losslA,intra.loot_vox10_1200</t>
  </si>
  <si>
    <t>'CW losslG,losslA,intra'!$A$18:$AQ$18</t>
  </si>
  <si>
    <t>range.CW losslG,losslA,intra.queen_0200</t>
  </si>
  <si>
    <t>'CW losslG,losslA,intra'!$A$19:$AQ$19</t>
  </si>
  <si>
    <t>range.CW losslG,losslA,intra.redandblack_viewdep_vox12</t>
  </si>
  <si>
    <t>'CW losslG,losslA,intra'!$A$20:$AQ$20</t>
  </si>
  <si>
    <t>range.CW losslG,losslA,intra.redandblack_vox10_1550</t>
  </si>
  <si>
    <t>'CW losslG,losslA,intra'!$A$21:$AQ$21</t>
  </si>
  <si>
    <t>range.CW losslG,losslA,intra.shiva_00035_vox12</t>
  </si>
  <si>
    <t>'CW losslG,losslA,intra'!$A$22:$AQ$22</t>
  </si>
  <si>
    <t>range.CW losslG,losslA,intra.soldier_viewdep_vox12</t>
  </si>
  <si>
    <t>'CW losslG,losslA,intra'!$A$23:$AQ$23</t>
  </si>
  <si>
    <t>range.CW losslG,losslA,intra.soldier_vox10_0690</t>
  </si>
  <si>
    <t>'CW losslG,losslA,intra'!$A$24:$AQ$24</t>
  </si>
  <si>
    <t>range.CW losslG,losslA,intra.thaidancer_viewdep_vox12</t>
  </si>
  <si>
    <t>'CW losslG,losslA,intra'!$A$25:$AQ$25</t>
  </si>
  <si>
    <t>range.CW losslG,losslA,intra.ulb_unicorn_vox13</t>
  </si>
  <si>
    <t>'CW losslG,losslA,intra'!$A$26:$AQ$26</t>
  </si>
  <si>
    <t>range.CW losslG,losslA,intra.arco_valentino_dense_vox12</t>
  </si>
  <si>
    <t>'CW losslG,losslA,intra'!$A$27:$AQ$27</t>
  </si>
  <si>
    <t>range.CW losslG,losslA,intra.arco_valentino_dense_vox20</t>
  </si>
  <si>
    <t>'CW losslG,losslA,intra'!$A$28:$AQ$28</t>
  </si>
  <si>
    <t>range.CW losslG,losslA,intra.egyptian_mask_vox20</t>
  </si>
  <si>
    <t>'CW losslG,losslA,intra'!$A$29:$AQ$29</t>
  </si>
  <si>
    <t>range.CW losslG,losslA,intra.facade_00009_vox20</t>
  </si>
  <si>
    <t>'CW losslG,losslA,intra'!$A$30:$AQ$30</t>
  </si>
  <si>
    <t>range.CW losslG,losslA,intra.facade_00015_vox20</t>
  </si>
  <si>
    <t>'CW losslG,losslA,intra'!$A$31:$AQ$31</t>
  </si>
  <si>
    <t>range.CW losslG,losslA,intra.facade_00064_vox14</t>
  </si>
  <si>
    <t>'CW losslG,losslA,intra'!$A$32:$AQ$32</t>
  </si>
  <si>
    <t>range.CW losslG,losslA,intra.facade_00064_vox20</t>
  </si>
  <si>
    <t>'CW losslG,losslA,intra'!$A$33:$AQ$33</t>
  </si>
  <si>
    <t>range.CW losslG,losslA,intra.frog_00067_vox20</t>
  </si>
  <si>
    <t>'CW losslG,losslA,intra'!$A$34:$AQ$34</t>
  </si>
  <si>
    <t>range.CW losslG,losslA,intra.head_00039_vox20</t>
  </si>
  <si>
    <t>'CW losslG,losslA,intra'!$A$35:$AQ$35</t>
  </si>
  <si>
    <t>range.CW losslG,losslA,intra.house_without_roof_00057_vox20</t>
  </si>
  <si>
    <t>'CW losslG,losslA,intra'!$A$36:$AQ$36</t>
  </si>
  <si>
    <t>range.CW losslG,losslA,intra.landscape_00014_vox14</t>
  </si>
  <si>
    <t>'CW losslG,losslA,intra'!$A$37:$AQ$37</t>
  </si>
  <si>
    <t>range.CW losslG,losslA,intra.landscape_00014_vox20</t>
  </si>
  <si>
    <t>'CW losslG,losslA,intra'!$A$38:$AQ$38</t>
  </si>
  <si>
    <t>range.CW losslG,losslA,intra.palazzo_carignano_dense_vox14</t>
  </si>
  <si>
    <t>'CW losslG,losslA,intra'!$A$39:$AQ$39</t>
  </si>
  <si>
    <t>range.CW losslG,losslA,intra.palazzo_carignano_dense_vox20</t>
  </si>
  <si>
    <t>'CW losslG,losslA,intra'!$A$40:$AQ$40</t>
  </si>
  <si>
    <t>range.CW losslG,losslA,intra.shiva_00035_vox20</t>
  </si>
  <si>
    <t>'CW losslG,losslA,intra'!$A$41:$AQ$41</t>
  </si>
  <si>
    <t>range.CW losslG,losslA,intra.stanford_area_2_vox16</t>
  </si>
  <si>
    <t>'CW losslG,losslA,intra'!$A$42:$AQ$42</t>
  </si>
  <si>
    <t>range.CW losslG,losslA,intra.stanford_area_2_vox20</t>
  </si>
  <si>
    <t>'CW losslG,losslA,intra'!$A$43:$AQ$43</t>
  </si>
  <si>
    <t>range.CW losslG,losslA,intra.stanford_area_4_vox16</t>
  </si>
  <si>
    <t>'CW losslG,losslA,intra'!$A$44:$AQ$44</t>
  </si>
  <si>
    <t>range.CW losslG,losslA,intra.stanford_area_4_vox20</t>
  </si>
  <si>
    <t>'CW losslG,losslA,intra'!$A$45:$AQ$45</t>
  </si>
  <si>
    <t>range.CW losslG,losslA,intra.staue_klimt_vox12</t>
  </si>
  <si>
    <t>'CW losslG,losslA,intra'!$A$46:$AQ$46</t>
  </si>
  <si>
    <t>range.CW losslG,losslA,intra.staue_klimt_vox20</t>
  </si>
  <si>
    <t>'CW losslG,losslA,intra'!$A$47:$AQ$47</t>
  </si>
  <si>
    <t>range.CW losslG,losslA,intra.ulb_unicorn_hires_vox15</t>
  </si>
  <si>
    <t>'CW losslG,losslA,intra'!$A$48:$AQ$48</t>
  </si>
  <si>
    <t>range.CW losslG,losslA,intra.ulb_unicorn_hires_vox20</t>
  </si>
  <si>
    <t>'CW losslG,losslA,intra'!$A$49:$AQ$49</t>
  </si>
  <si>
    <t>range.CW losslG,losslA,intra.ulb_unicorn_vox20</t>
  </si>
  <si>
    <t>'CW losslG,losslA,intra'!$A$50:$AQ$50</t>
  </si>
  <si>
    <t>range.CW losslG,losslA,intra.citytunnel_q1mm</t>
  </si>
  <si>
    <t>'CW losslG,losslA,intra'!$A$51:$AQ$51</t>
  </si>
  <si>
    <t>range.CW losslG,losslA,intra.overpass_q1mm</t>
  </si>
  <si>
    <t>'CW losslG,losslA,intra'!$A$52:$AQ$52</t>
  </si>
  <si>
    <t>range.CW losslG,losslA,intra.tollbooth_q1mm</t>
  </si>
  <si>
    <t>'CW losslG,losslA,intra'!$A$53:$AQ$53</t>
  </si>
  <si>
    <t>range.CW losslG,losslA,intra.ford_01_q1mm</t>
  </si>
  <si>
    <t>'CW losslG,losslA,intra'!$A$54:$AQ$54</t>
  </si>
  <si>
    <t>range.CW losslG,losslA,intra.ford_02_q1mm</t>
  </si>
  <si>
    <t>'CW losslG,losslA,intra'!$A$55:$AQ$55</t>
  </si>
  <si>
    <t>range.CW losslG,losslA,intra.ford_03_q1mm</t>
  </si>
  <si>
    <t>'CW losslG,losslA,intra'!$A$56:$AQ$56</t>
  </si>
  <si>
    <t>range.CW losslG,losslA,intra.qnxadas-junction-approach</t>
  </si>
  <si>
    <t>'CW losslG,losslA,intra'!$A$57:$AQ$57</t>
  </si>
  <si>
    <t>range.CW losslG,losslA,intra.qnxadas-junction-exit</t>
  </si>
  <si>
    <t>'CW losslG,losslA,intra'!$A$58:$AQ$58</t>
  </si>
  <si>
    <t>range.CW losslG,losslA,intra.qnxadas-motorway-join</t>
  </si>
  <si>
    <t>'CW losslG,losslA,intra'!$A$59:$AQ$59</t>
  </si>
  <si>
    <t>range.CW losslG,losslA,intra.qnxadas-navigating-bends</t>
  </si>
  <si>
    <t>'CW losslG,losslA,intra'!$A$60:$AQ$60</t>
  </si>
  <si>
    <t>CW_ai</t>
  </si>
  <si>
    <t>lossless geometry, lossless attributes [all intra]</t>
  </si>
  <si>
    <t>CW losslG,losslA,intra</t>
  </si>
  <si>
    <t>cols.CW losslG,losslA,intra</t>
  </si>
  <si>
    <t>names!$B$327:$O$327</t>
  </si>
  <si>
    <t>col.CY losslG,nearllA,intra.class</t>
  </si>
  <si>
    <t>col.CY losslG,nearllA,intra.sequence</t>
  </si>
  <si>
    <t>col.CY losslG,nearllA,intra.variant</t>
  </si>
  <si>
    <t>col.CY losslG,nearllA,intra.src.numpoints</t>
  </si>
  <si>
    <t>col.CY losslG,nearllA,intra.src.geometry-precision</t>
  </si>
  <si>
    <t>col.CY losslG,nearllA,intra.src.framecount</t>
  </si>
  <si>
    <t>col.CY losslG,nearllA,intra.src.framerate</t>
  </si>
  <si>
    <t>col.CY losslG,nearllA,intra.A.eqn.bitrate</t>
  </si>
  <si>
    <t>col.CY losslG,nearllA,intra.A.eqn.bpp</t>
  </si>
  <si>
    <t>col.CY losslG,nearllA,intra.A.eqn.bpp.geometry</t>
  </si>
  <si>
    <t>col.CY losslG,nearllA,intra.A.eqn.bpp.colour</t>
  </si>
  <si>
    <t>col.CY losslG,nearllA,intra.A.eqn.bpp.reflectance</t>
  </si>
  <si>
    <t>col.CY losslG,nearllA,intra.A.eqn.bpop</t>
  </si>
  <si>
    <t>col.CY losslG,nearllA,intra.A.dec.numpoints</t>
  </si>
  <si>
    <t>col.CY losslG,nearllA,intra.A.enc.ext.bits</t>
  </si>
  <si>
    <t>col.CY losslG,nearllA,intra.A.enc.bits.geometry</t>
  </si>
  <si>
    <t>col.CY losslG,nearllA,intra.A.enc.bits.colour</t>
  </si>
  <si>
    <t>col.CY losslG,nearllA,intra.A.enc.bits.reflectance</t>
  </si>
  <si>
    <t>col.CY losslG,nearllA,intra.A.dec.y-psnr</t>
  </si>
  <si>
    <t>col.CY losslG,nearllA,intra.A.dec.cb-psnr</t>
  </si>
  <si>
    <t>col.CY losslG,nearllA,intra.A.dec.cr-psnr</t>
  </si>
  <si>
    <t>col.CY losslG,nearllA,intra.A.dec.reflectance-psnr</t>
  </si>
  <si>
    <t>EtE Hausdorff PSNR [dB]</t>
  </si>
  <si>
    <t>A.dec.y-hpsnr</t>
  </si>
  <si>
    <t>col.CY losslG,nearllA,intra.A.dec.y-hpsnr</t>
  </si>
  <si>
    <t>A.dec.cb-hpsnr</t>
  </si>
  <si>
    <t>col.CY losslG,nearllA,intra.A.dec.cb-hpsnr</t>
  </si>
  <si>
    <t>A.dec.cr-hpsnr</t>
  </si>
  <si>
    <t>col.CY losslG,nearllA,intra.A.dec.cr-hpsnr</t>
  </si>
  <si>
    <t>A.dec.reflectance-hpsnr</t>
  </si>
  <si>
    <t>col.CY losslG,nearllA,intra.A.dec.reflectance-hpsnr</t>
  </si>
  <si>
    <t>col.CY losslG,nearllA,intra.A.enc.utime</t>
  </si>
  <si>
    <t>col.CY losslG,nearllA,intra.A.dec.utime</t>
  </si>
  <si>
    <t>col.CY losslG,nearllA,intra.B.eqn.bitrate</t>
  </si>
  <si>
    <t>col.CY losslG,nearllA,intra.B.eqn.bpp</t>
  </si>
  <si>
    <t>col.CY losslG,nearllA,intra.B.eqn.bpp.geometry</t>
  </si>
  <si>
    <t>col.CY losslG,nearllA,intra.B.eqn.bpp.colour</t>
  </si>
  <si>
    <t>col.CY losslG,nearllA,intra.B.eqn.bpp.reflectance</t>
  </si>
  <si>
    <t>col.CY losslG,nearllA,intra.B.eqn.bpop</t>
  </si>
  <si>
    <t>col.CY losslG,nearllA,intra.B.dec.numpoints</t>
  </si>
  <si>
    <t>col.CY losslG,nearllA,intra.B.enc.ext.bits</t>
  </si>
  <si>
    <t>col.CY losslG,nearllA,intra.B.enc.bits.geometry</t>
  </si>
  <si>
    <t>col.CY losslG,nearllA,intra.B.enc.bits.colour</t>
  </si>
  <si>
    <t>col.CY losslG,nearllA,intra.B.enc.bits.reflectance</t>
  </si>
  <si>
    <t>col.CY losslG,nearllA,intra.B.dec.y-psnr</t>
  </si>
  <si>
    <t>col.CY losslG,nearllA,intra.B.dec.cb-psnr</t>
  </si>
  <si>
    <t>col.CY losslG,nearllA,intra.B.dec.cr-psnr</t>
  </si>
  <si>
    <t>col.CY losslG,nearllA,intra.B.dec.reflectance-psnr</t>
  </si>
  <si>
    <t>B.dec.y-hpsnr</t>
  </si>
  <si>
    <t>col.CY losslG,nearllA,intra.B.dec.y-hpsnr</t>
  </si>
  <si>
    <t>B.dec.cb-hpsnr</t>
  </si>
  <si>
    <t>col.CY losslG,nearllA,intra.B.dec.cb-hpsnr</t>
  </si>
  <si>
    <t>B.dec.cr-hpsnr</t>
  </si>
  <si>
    <t>col.CY losslG,nearllA,intra.B.dec.cr-hpsnr</t>
  </si>
  <si>
    <t>B.dec.reflectance-hpsnr</t>
  </si>
  <si>
    <t>col.CY losslG,nearllA,intra.B.dec.reflectance-hpsnr</t>
  </si>
  <si>
    <t>col.CY losslG,nearllA,intra.B.enc.utime</t>
  </si>
  <si>
    <t>col.CY losslG,nearllA,intra.B.dec.utime</t>
  </si>
  <si>
    <t>col.CY losslG,nearllA,intra.eqn.ab.delta-geom_texture_bits_ratio</t>
  </si>
  <si>
    <t>col.CY losslG,nearllA,intra.eqn.ab.summary-delta-geom_texture_bits_ratio</t>
  </si>
  <si>
    <t>col.CY losslG,nearllA,intra.eqn.ab.bdrate-y-attrrate</t>
  </si>
  <si>
    <t>col.CY losslG,nearllA,intra.eqn.ab.bdrate-cb-attrrate</t>
  </si>
  <si>
    <t>col.CY losslG,nearllA,intra.eqn.ab.bdrate-cr-attrrate</t>
  </si>
  <si>
    <t>col.CY losslG,nearllA,intra.eqn.ab.bdrate-reflectance-attrrate</t>
  </si>
  <si>
    <t>EtE Hausdorff BD‑AttrRate [%]</t>
  </si>
  <si>
    <t>eqn.ab.bdrate-hy-attrrate</t>
  </si>
  <si>
    <t>col.CY losslG,nearllA,intra.eqn.ab.bdrate-hy-attrrate</t>
  </si>
  <si>
    <t>eqn.ab.bdrate-hcb-attrrate</t>
  </si>
  <si>
    <t>col.CY losslG,nearllA,intra.eqn.ab.bdrate-hcb-attrrate</t>
  </si>
  <si>
    <t>eqn.ab.bdrate-hcr-attrrate</t>
  </si>
  <si>
    <t>col.CY losslG,nearllA,intra.eqn.ab.bdrate-hcr-attrrate</t>
  </si>
  <si>
    <t>eqn.ab.bdrate-hreflectance-attrrate</t>
  </si>
  <si>
    <t>col.CY losslG,nearllA,intra.eqn.ab.bdrate-hreflectance-attrrate</t>
  </si>
  <si>
    <t>col.CY losslG,nearllA,intra.eqn.ab.bdrate-y</t>
  </si>
  <si>
    <t>col.CY losslG,nearllA,intra.eqn.ab.bdrate-cb</t>
  </si>
  <si>
    <t>col.CY losslG,nearllA,intra.eqn.ab.bdrate-cr</t>
  </si>
  <si>
    <t>col.CY losslG,nearllA,intra.eqn.ab.bdrate-reflectance</t>
  </si>
  <si>
    <t>EtE Hausdorff BD‑TotalRate [%]</t>
  </si>
  <si>
    <t>eqn.ab.bdrate-hy</t>
  </si>
  <si>
    <t>col.CY losslG,nearllA,intra.eqn.ab.bdrate-hy</t>
  </si>
  <si>
    <t>eqn.ab.bdrate-hcb</t>
  </si>
  <si>
    <t>col.CY losslG,nearllA,intra.eqn.ab.bdrate-hcb</t>
  </si>
  <si>
    <t>eqn.ab.bdrate-hcr</t>
  </si>
  <si>
    <t>col.CY losslG,nearllA,intra.eqn.ab.bdrate-hcr</t>
  </si>
  <si>
    <t>eqn.ab.bdrate-hreflectance</t>
  </si>
  <si>
    <t>col.CY losslG,nearllA,intra.eqn.ab.bdrate-hreflectance</t>
  </si>
  <si>
    <t>name.A.CY losslG,nearllA,intra</t>
  </si>
  <si>
    <t>'CY losslG,nearllA,intra'!$I$1</t>
  </si>
  <si>
    <t>name.B.CY losslG,nearllA,intra</t>
  </si>
  <si>
    <t>'CY losslG,nearllA,intra'!$AE$1</t>
  </si>
  <si>
    <t>range.CY losslG,nearllA,intra.basketball_player_vox11_00000200</t>
  </si>
  <si>
    <t>'CY losslG,nearllA,intra'!$A$5:$BV$9</t>
  </si>
  <si>
    <t>range.CY losslG,nearllA,intra.boxer_viewdep_vox12</t>
  </si>
  <si>
    <t>'CY losslG,nearllA,intra'!$A$10:$BV$14</t>
  </si>
  <si>
    <t>range.CY losslG,nearllA,intra.dancer_vox11_00000001</t>
  </si>
  <si>
    <t>'CY losslG,nearllA,intra'!$A$15:$BV$19</t>
  </si>
  <si>
    <t>range.CY losslG,nearllA,intra.egyptian_mask_vox12</t>
  </si>
  <si>
    <t>'CY losslG,nearllA,intra'!$A$20:$BV$24</t>
  </si>
  <si>
    <t>range.CY losslG,nearllA,intra.facade_00009_vox12</t>
  </si>
  <si>
    <t>'CY losslG,nearllA,intra'!$A$25:$BV$29</t>
  </si>
  <si>
    <t>range.CY losslG,nearllA,intra.facade_00015_vox14</t>
  </si>
  <si>
    <t>'CY losslG,nearllA,intra'!$A$30:$BV$34</t>
  </si>
  <si>
    <t>range.CY losslG,nearllA,intra.facade_00064_vox11</t>
  </si>
  <si>
    <t>'CY losslG,nearllA,intra'!$A$35:$BV$39</t>
  </si>
  <si>
    <t>range.CY losslG,nearllA,intra.frog_00067_vox12</t>
  </si>
  <si>
    <t>'CY losslG,nearllA,intra'!$A$40:$BV$44</t>
  </si>
  <si>
    <t>range.CY losslG,nearllA,intra.head_00039_vox12</t>
  </si>
  <si>
    <t>'CY losslG,nearllA,intra'!$A$45:$BV$49</t>
  </si>
  <si>
    <t>range.CY losslG,nearllA,intra.house_without_roof_00057_vox12</t>
  </si>
  <si>
    <t>'CY losslG,nearllA,intra'!$A$50:$BV$54</t>
  </si>
  <si>
    <t>range.CY losslG,nearllA,intra.longdress_viewdep_vox12</t>
  </si>
  <si>
    <t>'CY losslG,nearllA,intra'!$A$55:$BV$59</t>
  </si>
  <si>
    <t>range.CY losslG,nearllA,intra.longdress_vox10_1300</t>
  </si>
  <si>
    <t>'CY losslG,nearllA,intra'!$A$60:$BV$64</t>
  </si>
  <si>
    <t>range.CY losslG,nearllA,intra.loot_viewdep_vox12</t>
  </si>
  <si>
    <t>'CY losslG,nearllA,intra'!$A$65:$BV$69</t>
  </si>
  <si>
    <t>range.CY losslG,nearllA,intra.loot_vox10_1200</t>
  </si>
  <si>
    <t>'CY losslG,nearllA,intra'!$A$70:$BV$74</t>
  </si>
  <si>
    <t>range.CY losslG,nearllA,intra.queen_0200</t>
  </si>
  <si>
    <t>'CY losslG,nearllA,intra'!$A$75:$BV$79</t>
  </si>
  <si>
    <t>range.CY losslG,nearllA,intra.redandblack_viewdep_vox12</t>
  </si>
  <si>
    <t>'CY losslG,nearllA,intra'!$A$80:$BV$84</t>
  </si>
  <si>
    <t>range.CY losslG,nearllA,intra.redandblack_vox10_1550</t>
  </si>
  <si>
    <t>'CY losslG,nearllA,intra'!$A$85:$BV$89</t>
  </si>
  <si>
    <t>range.CY losslG,nearllA,intra.shiva_00035_vox12</t>
  </si>
  <si>
    <t>'CY losslG,nearllA,intra'!$A$90:$BV$94</t>
  </si>
  <si>
    <t>range.CY losslG,nearllA,intra.soldier_viewdep_vox12</t>
  </si>
  <si>
    <t>'CY losslG,nearllA,intra'!$A$95:$BV$99</t>
  </si>
  <si>
    <t>range.CY losslG,nearllA,intra.soldier_vox10_0690</t>
  </si>
  <si>
    <t>'CY losslG,nearllA,intra'!$A$100:$BV$104</t>
  </si>
  <si>
    <t>range.CY losslG,nearllA,intra.thaidancer_viewdep_vox12</t>
  </si>
  <si>
    <t>'CY losslG,nearllA,intra'!$A$105:$BV$109</t>
  </si>
  <si>
    <t>range.CY losslG,nearllA,intra.ulb_unicorn_vox13</t>
  </si>
  <si>
    <t>'CY losslG,nearllA,intra'!$A$110:$BV$114</t>
  </si>
  <si>
    <t>range.CY losslG,nearllA,intra.arco_valentino_dense_vox12</t>
  </si>
  <si>
    <t>'CY losslG,nearllA,intra'!$A$115:$BV$119</t>
  </si>
  <si>
    <t>range.CY losslG,nearllA,intra.arco_valentino_dense_vox20</t>
  </si>
  <si>
    <t>'CY losslG,nearllA,intra'!$A$120:$BV$124</t>
  </si>
  <si>
    <t>range.CY losslG,nearllA,intra.egyptian_mask_vox20</t>
  </si>
  <si>
    <t>'CY losslG,nearllA,intra'!$A$125:$BV$129</t>
  </si>
  <si>
    <t>range.CY losslG,nearllA,intra.facade_00009_vox20</t>
  </si>
  <si>
    <t>'CY losslG,nearllA,intra'!$A$130:$BV$134</t>
  </si>
  <si>
    <t>range.CY losslG,nearllA,intra.facade_00015_vox20</t>
  </si>
  <si>
    <t>'CY losslG,nearllA,intra'!$A$135:$BV$139</t>
  </si>
  <si>
    <t>range.CY losslG,nearllA,intra.facade_00064_vox14</t>
  </si>
  <si>
    <t>'CY losslG,nearllA,intra'!$A$140:$BV$144</t>
  </si>
  <si>
    <t>range.CY losslG,nearllA,intra.facade_00064_vox20</t>
  </si>
  <si>
    <t>'CY losslG,nearllA,intra'!$A$145:$BV$149</t>
  </si>
  <si>
    <t>range.CY losslG,nearllA,intra.frog_00067_vox20</t>
  </si>
  <si>
    <t>'CY losslG,nearllA,intra'!$A$150:$BV$154</t>
  </si>
  <si>
    <t>range.CY losslG,nearllA,intra.head_00039_vox20</t>
  </si>
  <si>
    <t>'CY losslG,nearllA,intra'!$A$155:$BV$159</t>
  </si>
  <si>
    <t>range.CY losslG,nearllA,intra.house_without_roof_00057_vox20</t>
  </si>
  <si>
    <t>'CY losslG,nearllA,intra'!$A$160:$BV$164</t>
  </si>
  <si>
    <t>range.CY losslG,nearllA,intra.landscape_00014_vox14</t>
  </si>
  <si>
    <t>'CY losslG,nearllA,intra'!$A$165:$BV$169</t>
  </si>
  <si>
    <t>range.CY losslG,nearllA,intra.landscape_00014_vox20</t>
  </si>
  <si>
    <t>'CY losslG,nearllA,intra'!$A$170:$BV$174</t>
  </si>
  <si>
    <t>range.CY losslG,nearllA,intra.palazzo_carignano_dense_vox14</t>
  </si>
  <si>
    <t>'CY losslG,nearllA,intra'!$A$175:$BV$179</t>
  </si>
  <si>
    <t>range.CY losslG,nearllA,intra.palazzo_carignano_dense_vox20</t>
  </si>
  <si>
    <t>'CY losslG,nearllA,intra'!$A$180:$BV$184</t>
  </si>
  <si>
    <t>range.CY losslG,nearllA,intra.shiva_00035_vox20</t>
  </si>
  <si>
    <t>'CY losslG,nearllA,intra'!$A$185:$BV$189</t>
  </si>
  <si>
    <t>range.CY losslG,nearllA,intra.stanford_area_2_vox16</t>
  </si>
  <si>
    <t>'CY losslG,nearllA,intra'!$A$190:$BV$194</t>
  </si>
  <si>
    <t>range.CY losslG,nearllA,intra.stanford_area_2_vox20</t>
  </si>
  <si>
    <t>'CY losslG,nearllA,intra'!$A$195:$BV$199</t>
  </si>
  <si>
    <t>range.CY losslG,nearllA,intra.stanford_area_4_vox16</t>
  </si>
  <si>
    <t>'CY losslG,nearllA,intra'!$A$200:$BV$204</t>
  </si>
  <si>
    <t>range.CY losslG,nearllA,intra.stanford_area_4_vox20</t>
  </si>
  <si>
    <t>'CY losslG,nearllA,intra'!$A$205:$BV$209</t>
  </si>
  <si>
    <t>range.CY losslG,nearllA,intra.staue_klimt_vox12</t>
  </si>
  <si>
    <t>'CY losslG,nearllA,intra'!$A$210:$BV$214</t>
  </si>
  <si>
    <t>range.CY losslG,nearllA,intra.staue_klimt_vox20</t>
  </si>
  <si>
    <t>'CY losslG,nearllA,intra'!$A$215:$BV$219</t>
  </si>
  <si>
    <t>range.CY losslG,nearllA,intra.ulb_unicorn_hires_vox15</t>
  </si>
  <si>
    <t>'CY losslG,nearllA,intra'!$A$220:$BV$224</t>
  </si>
  <si>
    <t>range.CY losslG,nearllA,intra.ulb_unicorn_hires_vox20</t>
  </si>
  <si>
    <t>'CY losslG,nearllA,intra'!$A$225:$BV$229</t>
  </si>
  <si>
    <t>range.CY losslG,nearllA,intra.ulb_unicorn_vox20</t>
  </si>
  <si>
    <t>'CY losslG,nearllA,intra'!$A$230:$BV$234</t>
  </si>
  <si>
    <t>range.CY losslG,nearllA,intra.citytunnel_q1mm</t>
  </si>
  <si>
    <t>'CY losslG,nearllA,intra'!$A$235:$BV$239</t>
  </si>
  <si>
    <t>range.CY losslG,nearllA,intra.overpass_q1mm</t>
  </si>
  <si>
    <t>'CY losslG,nearllA,intra'!$A$240:$BV$244</t>
  </si>
  <si>
    <t>range.CY losslG,nearllA,intra.tollbooth_q1mm</t>
  </si>
  <si>
    <t>'CY losslG,nearllA,intra'!$A$245:$BV$249</t>
  </si>
  <si>
    <t>range.CY losslG,nearllA,intra.ford_01_q1mm</t>
  </si>
  <si>
    <t>'CY losslG,nearllA,intra'!$A$250:$BV$254</t>
  </si>
  <si>
    <t>range.CY losslG,nearllA,intra.ford_02_q1mm</t>
  </si>
  <si>
    <t>'CY losslG,nearllA,intra'!$A$255:$BV$259</t>
  </si>
  <si>
    <t>range.CY losslG,nearllA,intra.ford_03_q1mm</t>
  </si>
  <si>
    <t>'CY losslG,nearllA,intra'!$A$260:$BV$264</t>
  </si>
  <si>
    <t>range.CY losslG,nearllA,intra.qnxadas-junction-approach</t>
  </si>
  <si>
    <t>'CY losslG,nearllA,intra'!$A$265:$BV$269</t>
  </si>
  <si>
    <t>range.CY losslG,nearllA,intra.qnxadas-junction-exit</t>
  </si>
  <si>
    <t>'CY losslG,nearllA,intra'!$A$270:$BV$274</t>
  </si>
  <si>
    <t>range.CY losslG,nearllA,intra.qnxadas-motorway-join</t>
  </si>
  <si>
    <t>'CY losslG,nearllA,intra'!$A$275:$BV$279</t>
  </si>
  <si>
    <t>range.CY losslG,nearllA,intra.qnxadas-navigating-bends</t>
  </si>
  <si>
    <t>'CY losslG,nearllA,intra'!$A$280:$BV$284</t>
  </si>
  <si>
    <t>CY_ai</t>
  </si>
  <si>
    <t>lossless geometry, near-lossless attributes [all intra]</t>
  </si>
  <si>
    <t>CY losslG,nearllA,intra</t>
  </si>
  <si>
    <t>cols.CY losslG,nearllA,intra</t>
  </si>
  <si>
    <t>names!$B$453:$V$453</t>
  </si>
  <si>
    <t>tmc13v11.0-rc1_octree_predlift_mr2</t>
  </si>
  <si>
    <t>tmc13v11.0-rc1_octree_raht_mr2</t>
  </si>
  <si>
    <t>CY_ai — lossless geometry, near-lossless attributes [all intra]</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</si>
</sst>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
    <numFmt numFmtId="177" formatCode="0.000"/>
    <numFmt numFmtId="178" formatCode="[&gt;1000]0;[&gt;100]0.0;0.00"/>
  </numFmts>
  <fonts count="3" x14ac:knownFonts="1">
    <font>
      <sz val="11"/>
      <color theme="1"/>
      <name val="宋体"/>
      <family val="2"/>
      <scheme val="minor"/>
    </font>
    <font>
      <b/>
      <sz val="11"/>
      <color theme="1"/>
      <name val="宋体"/>
      <family val="2"/>
      <scheme val="minor"/>
    </font>
    <font>
      <sz val="9"/>
      <name val="宋体"/>
      <family val="3"/>
      <charset val="134"/>
      <scheme val="minor"/>
    </font>
  </fonts>
  <fills count="17">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lightUp">
        <fgColor rgb="FF404040"/>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lightUp">
        <fgColor rgb="FF404040"/>
        <bgColor rgb="FFF2F2F2"/>
      </patternFill>
    </fill>
    <fill>
      <patternFill patternType="solid">
        <fgColor rgb="FFDCE6F1"/>
        <bgColor auto="1"/>
      </patternFill>
    </fill>
    <fill>
      <patternFill patternType="lightUp">
        <fgColor rgb="FF404040"/>
        <bgColor rgb="FFDCE6F1"/>
      </patternFill>
    </fill>
    <fill>
      <patternFill patternType="solid">
        <fgColor rgb="FFD9D9D9"/>
        <bgColor auto="1"/>
      </patternFill>
    </fill>
    <fill>
      <patternFill patternType="lightUp">
        <fgColor rgb="FF404040"/>
        <bgColor rgb="FFD9D9D9"/>
      </patternFill>
    </fill>
    <fill>
      <patternFill patternType="solid">
        <fgColor rgb="FFB8CCE4"/>
        <bgColor auto="1"/>
      </patternFill>
    </fill>
    <fill>
      <patternFill patternType="lightUp">
        <fgColor rgb="FF404040"/>
        <bgColor rgb="FFB8CCE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93">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76" fontId="0" fillId="0" borderId="0" xfId="0" applyNumberFormat="1" applyAlignment="1">
      <alignment horizontal="center"/>
    </xf>
    <xf numFmtId="176" fontId="0" fillId="5" borderId="0" xfId="0" applyNumberFormat="1" applyFill="1" applyAlignment="1">
      <alignment horizontal="center"/>
    </xf>
    <xf numFmtId="0" fontId="1" fillId="0" borderId="4" xfId="0" applyFont="1" applyBorder="1"/>
    <xf numFmtId="176"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1" fillId="6" borderId="3" xfId="0" applyFont="1" applyFill="1" applyBorder="1" applyAlignment="1">
      <alignment horizontal="center" vertical="center" wrapText="1"/>
    </xf>
    <xf numFmtId="0" fontId="0" fillId="7" borderId="0" xfId="0" applyFill="1"/>
    <xf numFmtId="0" fontId="1" fillId="6" borderId="3" xfId="0" applyFont="1" applyFill="1" applyBorder="1" applyAlignment="1">
      <alignment horizontal="center" wrapText="1"/>
    </xf>
    <xf numFmtId="0" fontId="1" fillId="4" borderId="3" xfId="0" applyFont="1" applyFill="1" applyBorder="1" applyAlignment="1">
      <alignment horizontal="center" wrapText="1"/>
    </xf>
    <xf numFmtId="0" fontId="1" fillId="6"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9" borderId="0" xfId="0" applyFill="1"/>
    <xf numFmtId="0" fontId="0" fillId="9" borderId="0" xfId="0" applyFill="1" applyAlignment="1">
      <alignment horizontal="center"/>
    </xf>
    <xf numFmtId="1" fontId="0" fillId="9" borderId="0" xfId="0" applyNumberFormat="1" applyFill="1" applyAlignment="1">
      <alignment horizontal="center"/>
    </xf>
    <xf numFmtId="177" fontId="0" fillId="9" borderId="0" xfId="0" applyNumberFormat="1" applyFill="1" applyAlignment="1">
      <alignment horizontal="center"/>
    </xf>
    <xf numFmtId="2" fontId="0" fillId="9"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1" fontId="0" fillId="11" borderId="0" xfId="0" applyNumberFormat="1" applyFill="1" applyAlignment="1">
      <alignment horizontal="center"/>
    </xf>
    <xf numFmtId="1" fontId="0" fillId="12" borderId="0" xfId="0" applyNumberFormat="1" applyFill="1" applyAlignment="1">
      <alignment horizontal="center"/>
    </xf>
    <xf numFmtId="2" fontId="0" fillId="11" borderId="0" xfId="0" applyNumberFormat="1" applyFill="1" applyAlignment="1">
      <alignment horizontal="center"/>
    </xf>
    <xf numFmtId="2" fontId="0" fillId="12" borderId="0" xfId="0" applyNumberFormat="1" applyFill="1" applyAlignment="1">
      <alignment horizontal="center"/>
    </xf>
    <xf numFmtId="178" fontId="0" fillId="11" borderId="0" xfId="0" applyNumberFormat="1" applyFill="1" applyAlignment="1">
      <alignment horizontal="center"/>
    </xf>
    <xf numFmtId="9" fontId="0" fillId="9" borderId="0" xfId="0" applyNumberFormat="1" applyFill="1" applyAlignment="1">
      <alignment horizontal="center"/>
    </xf>
    <xf numFmtId="176" fontId="0" fillId="9" borderId="0" xfId="0" applyNumberFormat="1" applyFill="1" applyAlignment="1">
      <alignment horizontal="center"/>
    </xf>
    <xf numFmtId="176" fontId="0" fillId="10" borderId="0" xfId="0" applyNumberFormat="1" applyFill="1" applyAlignment="1">
      <alignment horizontal="center"/>
    </xf>
    <xf numFmtId="0" fontId="0" fillId="13" borderId="0" xfId="0" applyFill="1"/>
    <xf numFmtId="0" fontId="0" fillId="13" borderId="0" xfId="0" applyFill="1" applyAlignment="1">
      <alignment horizontal="center"/>
    </xf>
    <xf numFmtId="1" fontId="0" fillId="13" borderId="0" xfId="0" applyNumberFormat="1" applyFill="1" applyAlignment="1">
      <alignment horizontal="center"/>
    </xf>
    <xf numFmtId="177" fontId="0" fillId="13" borderId="0" xfId="0" applyNumberFormat="1" applyFill="1" applyAlignment="1">
      <alignment horizontal="center"/>
    </xf>
    <xf numFmtId="2" fontId="0" fillId="13" borderId="0" xfId="0" applyNumberFormat="1" applyFill="1" applyAlignment="1">
      <alignment horizontal="center"/>
    </xf>
    <xf numFmtId="2" fontId="0" fillId="14" borderId="0" xfId="0" applyNumberFormat="1" applyFill="1" applyAlignment="1">
      <alignment horizontal="center"/>
    </xf>
    <xf numFmtId="0" fontId="0" fillId="15" borderId="0" xfId="0" applyFill="1"/>
    <xf numFmtId="1" fontId="0" fillId="15" borderId="0" xfId="0" applyNumberFormat="1" applyFill="1" applyAlignment="1">
      <alignment horizontal="center"/>
    </xf>
    <xf numFmtId="1" fontId="0" fillId="16" borderId="0" xfId="0" applyNumberFormat="1" applyFill="1" applyAlignment="1">
      <alignment horizontal="center"/>
    </xf>
    <xf numFmtId="2" fontId="0" fillId="15" borderId="0" xfId="0" applyNumberFormat="1" applyFill="1" applyAlignment="1">
      <alignment horizontal="center"/>
    </xf>
    <xf numFmtId="2" fontId="0" fillId="16" borderId="0" xfId="0" applyNumberFormat="1" applyFill="1" applyAlignment="1">
      <alignment horizontal="center"/>
    </xf>
    <xf numFmtId="178" fontId="0" fillId="15" borderId="0" xfId="0" applyNumberFormat="1" applyFill="1" applyAlignment="1">
      <alignment horizontal="center"/>
    </xf>
    <xf numFmtId="9" fontId="0" fillId="13" borderId="0" xfId="0" applyNumberFormat="1" applyFill="1" applyAlignment="1">
      <alignment horizontal="center"/>
    </xf>
    <xf numFmtId="176" fontId="0" fillId="13" borderId="0" xfId="0" applyNumberFormat="1" applyFill="1" applyAlignment="1">
      <alignment horizontal="center"/>
    </xf>
    <xf numFmtId="176" fontId="0" fillId="14" borderId="0" xfId="0" applyNumberFormat="1" applyFill="1" applyAlignment="1">
      <alignment horizontal="center"/>
    </xf>
    <xf numFmtId="0" fontId="0" fillId="13" borderId="3" xfId="0" applyFill="1" applyBorder="1"/>
    <xf numFmtId="0" fontId="0" fillId="13" borderId="3" xfId="0" applyFill="1" applyBorder="1" applyAlignment="1">
      <alignment horizontal="center"/>
    </xf>
    <xf numFmtId="1" fontId="0" fillId="13" borderId="3" xfId="0" applyNumberFormat="1" applyFill="1" applyBorder="1" applyAlignment="1">
      <alignment horizontal="center"/>
    </xf>
    <xf numFmtId="177" fontId="0" fillId="13" borderId="3" xfId="0" applyNumberFormat="1" applyFill="1" applyBorder="1" applyAlignment="1">
      <alignment horizontal="center"/>
    </xf>
    <xf numFmtId="2" fontId="0" fillId="13" borderId="3" xfId="0" applyNumberFormat="1" applyFill="1" applyBorder="1" applyAlignment="1">
      <alignment horizontal="center"/>
    </xf>
    <xf numFmtId="2" fontId="0" fillId="14" borderId="3" xfId="0" applyNumberFormat="1" applyFill="1" applyBorder="1" applyAlignment="1">
      <alignment horizontal="center"/>
    </xf>
    <xf numFmtId="0" fontId="0" fillId="15" borderId="3" xfId="0" applyFill="1" applyBorder="1"/>
    <xf numFmtId="1" fontId="0" fillId="15" borderId="3" xfId="0" applyNumberFormat="1" applyFill="1" applyBorder="1" applyAlignment="1">
      <alignment horizontal="center"/>
    </xf>
    <xf numFmtId="1" fontId="0" fillId="16" borderId="3" xfId="0" applyNumberFormat="1" applyFill="1" applyBorder="1" applyAlignment="1">
      <alignment horizontal="center"/>
    </xf>
    <xf numFmtId="2" fontId="0" fillId="15" borderId="3" xfId="0" applyNumberFormat="1" applyFill="1" applyBorder="1" applyAlignment="1">
      <alignment horizontal="center"/>
    </xf>
    <xf numFmtId="2" fontId="0" fillId="16" borderId="3" xfId="0" applyNumberFormat="1" applyFill="1" applyBorder="1" applyAlignment="1">
      <alignment horizontal="center"/>
    </xf>
    <xf numFmtId="178" fontId="0" fillId="15" borderId="3" xfId="0" applyNumberFormat="1" applyFill="1" applyBorder="1" applyAlignment="1">
      <alignment horizontal="center"/>
    </xf>
    <xf numFmtId="9" fontId="0" fillId="13" borderId="3" xfId="0" applyNumberFormat="1" applyFill="1" applyBorder="1" applyAlignment="1">
      <alignment horizontal="center"/>
    </xf>
    <xf numFmtId="176" fontId="0" fillId="13" borderId="3" xfId="0" applyNumberFormat="1" applyFill="1" applyBorder="1" applyAlignment="1">
      <alignment horizontal="center"/>
    </xf>
    <xf numFmtId="176" fontId="0" fillId="14"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2" fontId="0" fillId="5" borderId="0" xfId="0" applyNumberFormat="1" applyFill="1" applyAlignment="1">
      <alignment horizontal="center"/>
    </xf>
    <xf numFmtId="178" fontId="0" fillId="0" borderId="0" xfId="0" applyNumberFormat="1" applyAlignment="1">
      <alignment horizontal="center"/>
    </xf>
    <xf numFmtId="0" fontId="0" fillId="9" borderId="3" xfId="0" applyFill="1" applyBorder="1"/>
    <xf numFmtId="1" fontId="0" fillId="9" borderId="3" xfId="0" applyNumberFormat="1" applyFill="1" applyBorder="1" applyAlignment="1">
      <alignment horizontal="center"/>
    </xf>
    <xf numFmtId="0" fontId="0" fillId="9" borderId="3" xfId="0" applyFill="1" applyBorder="1" applyAlignment="1">
      <alignment horizontal="center"/>
    </xf>
    <xf numFmtId="9" fontId="0" fillId="9" borderId="3" xfId="0" applyNumberFormat="1" applyFill="1" applyBorder="1" applyAlignment="1">
      <alignment horizontal="center"/>
    </xf>
    <xf numFmtId="177" fontId="0" fillId="9" borderId="3" xfId="0" applyNumberFormat="1" applyFill="1" applyBorder="1" applyAlignment="1">
      <alignment horizontal="center"/>
    </xf>
    <xf numFmtId="2" fontId="0" fillId="9" borderId="3" xfId="0" applyNumberFormat="1" applyFill="1" applyBorder="1" applyAlignment="1">
      <alignment horizontal="center"/>
    </xf>
    <xf numFmtId="0" fontId="0" fillId="11" borderId="3" xfId="0" applyFill="1" applyBorder="1"/>
    <xf numFmtId="1" fontId="0" fillId="11" borderId="3" xfId="0" applyNumberFormat="1" applyFill="1" applyBorder="1" applyAlignment="1">
      <alignment horizontal="center"/>
    </xf>
    <xf numFmtId="178" fontId="0" fillId="11" borderId="3" xfId="0" applyNumberFormat="1" applyFill="1" applyBorder="1" applyAlignment="1">
      <alignment horizontal="center"/>
    </xf>
    <xf numFmtId="176" fontId="0" fillId="9" borderId="3" xfId="0" applyNumberFormat="1" applyFill="1" applyBorder="1" applyAlignment="1">
      <alignment horizontal="center"/>
    </xf>
    <xf numFmtId="2" fontId="0" fillId="10" borderId="3" xfId="0" applyNumberFormat="1" applyFill="1" applyBorder="1" applyAlignment="1">
      <alignment horizontal="center"/>
    </xf>
    <xf numFmtId="1" fontId="0" fillId="12" borderId="3" xfId="0" applyNumberFormat="1" applyFill="1" applyBorder="1" applyAlignment="1">
      <alignment horizontal="center"/>
    </xf>
    <xf numFmtId="2" fontId="0" fillId="11" borderId="3" xfId="0" applyNumberFormat="1" applyFill="1" applyBorder="1" applyAlignment="1">
      <alignment horizontal="center"/>
    </xf>
    <xf numFmtId="2" fontId="0" fillId="12" borderId="3" xfId="0" applyNumberFormat="1" applyFill="1" applyBorder="1" applyAlignment="1">
      <alignment horizontal="center"/>
    </xf>
    <xf numFmtId="176" fontId="0" fillId="10" borderId="3" xfId="0" applyNumberFormat="1" applyFill="1" applyBorder="1" applyAlignment="1">
      <alignment horizontal="center"/>
    </xf>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6"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6" borderId="0" xfId="0" applyFont="1" applyFill="1" applyAlignment="1">
      <alignment horizontal="center" wrapText="1"/>
    </xf>
    <xf numFmtId="0" fontId="1" fillId="8" borderId="0" xfId="0" applyFont="1" applyFill="1" applyAlignment="1">
      <alignment horizontal="left" vertical="top"/>
    </xf>
    <xf numFmtId="0" fontId="1" fillId="4" borderId="3" xfId="0" applyFont="1" applyFill="1" applyBorder="1" applyAlignment="1">
      <alignment horizontal="center" wrapText="1"/>
    </xf>
    <xf numFmtId="0" fontId="1" fillId="6" borderId="3" xfId="0" applyFont="1" applyFill="1" applyBorder="1" applyAlignment="1">
      <alignment horizontal="center" wrapText="1"/>
    </xf>
  </cellXfs>
  <cellStyles count="1">
    <cellStyle name="常规" xfId="0" builtinId="0"/>
  </cellStyles>
  <dxfs count="118">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zh-CN"/>
        </a:p>
      </c:txPr>
    </c:title>
    <c:autoTitleDeleted val="0"/>
    <c:plotArea>
      <c:layout/>
      <c:scatterChart>
        <c:scatterStyle val="smoothMarker"/>
        <c:varyColors val="0"/>
        <c:ser>
          <c:idx val="0"/>
          <c:order val="0"/>
          <c:tx>
            <c:strRef>
              <c:f>Graphs!graph_a_A_title</c:f>
              <c:strCache>
                <c:ptCount val="1"/>
                <c:pt idx="0">
                  <c:v>tmc13v11.0-rc1_octree_predlift_mr2</c:v>
                </c:pt>
              </c:strCache>
            </c:strRef>
          </c:tx>
          <c:xVal>
            <c:numRef>
              <c:f>Graphs!graph_a_x_range_A</c:f>
              <c:numCache>
                <c:formatCode>0.00</c:formatCode>
                <c:ptCount val="6"/>
                <c:pt idx="0">
                  <c:v>0.89312715645865992</c:v>
                </c:pt>
                <c:pt idx="1">
                  <c:v>0.89312715645865992</c:v>
                </c:pt>
                <c:pt idx="2">
                  <c:v>0.89312715645865992</c:v>
                </c:pt>
                <c:pt idx="3">
                  <c:v>0.89312715645865992</c:v>
                </c:pt>
                <c:pt idx="4">
                  <c:v>0.89312715645865992</c:v>
                </c:pt>
                <c:pt idx="5">
                  <c:v>0.89312715645865992</c:v>
                </c:pt>
              </c:numCache>
            </c:numRef>
          </c:xVal>
          <c:yVal>
            <c:numRef>
              <c:f>Graphs!graph_a_y_range_A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0D3B-43FA-94B6-75B0F0906FBC}"/>
            </c:ext>
          </c:extLst>
        </c:ser>
        <c:ser>
          <c:idx val="1"/>
          <c:order val="1"/>
          <c:tx>
            <c:strRef>
              <c:f>Graphs!graph_a_B_title</c:f>
              <c:strCache>
                <c:ptCount val="1"/>
                <c:pt idx="0">
                  <c:v>tmc13v11.0-rc1_octree_raht_mr2</c:v>
                </c:pt>
              </c:strCache>
            </c:strRef>
          </c:tx>
          <c:xVal>
            <c:numRef>
              <c:f>Graphs!graph_a_x_range_B</c:f>
              <c:numCache>
                <c:formatCode>0.00</c:formatCode>
                <c:ptCount val="6"/>
                <c:pt idx="0">
                  <c:v>0.89312715645865992</c:v>
                </c:pt>
                <c:pt idx="1">
                  <c:v>0.89312715645865992</c:v>
                </c:pt>
                <c:pt idx="2">
                  <c:v>0.89312715645865992</c:v>
                </c:pt>
                <c:pt idx="3">
                  <c:v>0.89312715645865992</c:v>
                </c:pt>
                <c:pt idx="4">
                  <c:v>0.89312715645865992</c:v>
                </c:pt>
                <c:pt idx="5">
                  <c:v>0.89312715645865992</c:v>
                </c:pt>
              </c:numCache>
            </c:numRef>
          </c:xVal>
          <c:yVal>
            <c:numRef>
              <c:f>Graphs!graph_a_y_range_B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0D3B-43FA-94B6-75B0F0906FBC}"/>
            </c:ext>
          </c:extLst>
        </c:ser>
        <c:dLbls>
          <c:showLegendKey val="0"/>
          <c:showVal val="0"/>
          <c:showCatName val="0"/>
          <c:showSerName val="0"/>
          <c:showPercent val="0"/>
          <c:showBubbleSize val="0"/>
        </c:dLbls>
        <c:axId val="241975144"/>
        <c:axId val="241972008"/>
      </c:scatterChart>
      <c:valAx>
        <c:axId val="241975144"/>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zh-CN"/>
            </a:p>
          </c:txPr>
        </c:title>
        <c:numFmt formatCode="0.00" sourceLinked="1"/>
        <c:majorTickMark val="out"/>
        <c:minorTickMark val="none"/>
        <c:tickLblPos val="nextTo"/>
        <c:crossAx val="241972008"/>
        <c:crosses val="autoZero"/>
        <c:crossBetween val="midCat"/>
      </c:valAx>
      <c:valAx>
        <c:axId val="241972008"/>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zh-CN"/>
            </a:p>
          </c:txPr>
        </c:title>
        <c:numFmt formatCode="General" sourceLinked="1"/>
        <c:majorTickMark val="out"/>
        <c:minorTickMark val="none"/>
        <c:tickLblPos val="nextTo"/>
        <c:crossAx val="24197514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zh-CN"/>
        </a:p>
      </c:txPr>
    </c:title>
    <c:autoTitleDeleted val="0"/>
    <c:plotArea>
      <c:layout/>
      <c:scatterChart>
        <c:scatterStyle val="smoothMarker"/>
        <c:varyColors val="0"/>
        <c:ser>
          <c:idx val="0"/>
          <c:order val="0"/>
          <c:tx>
            <c:strRef>
              <c:f>Graphs!graph_b_A_title</c:f>
              <c:strCache>
                <c:ptCount val="1"/>
                <c:pt idx="0">
                  <c:v>tmc13v11.0-rc1_octree_predlift_mr2</c:v>
                </c:pt>
              </c:strCache>
            </c:strRef>
          </c:tx>
          <c:xVal>
            <c:numRef>
              <c:f>Graphs!graph_b_x_range_A</c:f>
              <c:numCache>
                <c:formatCode>0.00</c:formatCode>
                <c:ptCount val="6"/>
                <c:pt idx="0">
                  <c:v>0.89312715645865992</c:v>
                </c:pt>
                <c:pt idx="1">
                  <c:v>0.89312715645865992</c:v>
                </c:pt>
                <c:pt idx="2">
                  <c:v>0.89312715645865992</c:v>
                </c:pt>
                <c:pt idx="3">
                  <c:v>0.89312715645865992</c:v>
                </c:pt>
                <c:pt idx="4">
                  <c:v>0.89312715645865992</c:v>
                </c:pt>
                <c:pt idx="5">
                  <c:v>0.89312715645865992</c:v>
                </c:pt>
              </c:numCache>
            </c:numRef>
          </c:xVal>
          <c:yVal>
            <c:numRef>
              <c:f>Graphs!graph_b_y_range_A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C074-4175-A303-F5946F48B9DC}"/>
            </c:ext>
          </c:extLst>
        </c:ser>
        <c:ser>
          <c:idx val="1"/>
          <c:order val="1"/>
          <c:tx>
            <c:strRef>
              <c:f>Graphs!graph_b_B_title</c:f>
              <c:strCache>
                <c:ptCount val="1"/>
                <c:pt idx="0">
                  <c:v>tmc13v11.0-rc1_octree_raht_mr2</c:v>
                </c:pt>
              </c:strCache>
            </c:strRef>
          </c:tx>
          <c:xVal>
            <c:numRef>
              <c:f>Graphs!graph_b_x_range_B</c:f>
              <c:numCache>
                <c:formatCode>0.00</c:formatCode>
                <c:ptCount val="6"/>
                <c:pt idx="0">
                  <c:v>0.89312715645865992</c:v>
                </c:pt>
                <c:pt idx="1">
                  <c:v>0.89312715645865992</c:v>
                </c:pt>
                <c:pt idx="2">
                  <c:v>0.89312715645865992</c:v>
                </c:pt>
                <c:pt idx="3">
                  <c:v>0.89312715645865992</c:v>
                </c:pt>
                <c:pt idx="4">
                  <c:v>0.89312715645865992</c:v>
                </c:pt>
                <c:pt idx="5">
                  <c:v>0.89312715645865992</c:v>
                </c:pt>
              </c:numCache>
            </c:numRef>
          </c:xVal>
          <c:yVal>
            <c:numRef>
              <c:f>Graphs!graph_b_y_range_B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C074-4175-A303-F5946F48B9DC}"/>
            </c:ext>
          </c:extLst>
        </c:ser>
        <c:dLbls>
          <c:showLegendKey val="0"/>
          <c:showVal val="0"/>
          <c:showCatName val="0"/>
          <c:showSerName val="0"/>
          <c:showPercent val="0"/>
          <c:showBubbleSize val="0"/>
        </c:dLbls>
        <c:axId val="241972400"/>
        <c:axId val="241975536"/>
      </c:scatterChart>
      <c:valAx>
        <c:axId val="241972400"/>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zh-CN"/>
            </a:p>
          </c:txPr>
        </c:title>
        <c:numFmt formatCode="0.00" sourceLinked="1"/>
        <c:majorTickMark val="out"/>
        <c:minorTickMark val="none"/>
        <c:tickLblPos val="nextTo"/>
        <c:crossAx val="241975536"/>
        <c:crosses val="autoZero"/>
        <c:crossBetween val="midCat"/>
      </c:valAx>
      <c:valAx>
        <c:axId val="241975536"/>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zh-CN"/>
            </a:p>
          </c:txPr>
        </c:title>
        <c:numFmt formatCode="General" sourceLinked="1"/>
        <c:majorTickMark val="out"/>
        <c:minorTickMark val="none"/>
        <c:tickLblPos val="nextTo"/>
        <c:crossAx val="24197240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zh-CN"/>
        </a:p>
      </c:txPr>
    </c:title>
    <c:autoTitleDeleted val="0"/>
    <c:plotArea>
      <c:layout/>
      <c:scatterChart>
        <c:scatterStyle val="smoothMarker"/>
        <c:varyColors val="0"/>
        <c:ser>
          <c:idx val="0"/>
          <c:order val="0"/>
          <c:tx>
            <c:strRef>
              <c:f>Graphs!graph_c_A_title</c:f>
              <c:strCache>
                <c:ptCount val="1"/>
                <c:pt idx="0">
                  <c:v>tmc13v11.0-rc1_octree_predlift_mr2</c:v>
                </c:pt>
              </c:strCache>
            </c:strRef>
          </c:tx>
          <c:xVal>
            <c:numRef>
              <c:f>Graphs!graph_c_x_range_A</c:f>
              <c:numCache>
                <c:formatCode>0.00</c:formatCode>
                <c:ptCount val="6"/>
                <c:pt idx="0">
                  <c:v>1.6207750159459158E-2</c:v>
                </c:pt>
                <c:pt idx="1">
                  <c:v>3.0941571293112938E-2</c:v>
                </c:pt>
                <c:pt idx="2">
                  <c:v>6.599318957284088E-2</c:v>
                </c:pt>
                <c:pt idx="3">
                  <c:v>0.14588342424613249</c:v>
                </c:pt>
                <c:pt idx="4">
                  <c:v>0.33269777550201435</c:v>
                </c:pt>
                <c:pt idx="5">
                  <c:v>0.780014725617447</c:v>
                </c:pt>
              </c:numCache>
            </c:numRef>
          </c:xVal>
          <c:yVal>
            <c:numRef>
              <c:f>Graphs!graph_c_y_range_A</c:f>
              <c:numCache>
                <c:formatCode>0.00</c:formatCode>
                <c:ptCount val="6"/>
                <c:pt idx="0">
                  <c:v>32.659999999999997</c:v>
                </c:pt>
                <c:pt idx="1">
                  <c:v>35.179499999999997</c:v>
                </c:pt>
                <c:pt idx="2">
                  <c:v>37.514899999999997</c:v>
                </c:pt>
                <c:pt idx="3">
                  <c:v>39.802999999999997</c:v>
                </c:pt>
                <c:pt idx="4">
                  <c:v>42.042400000000001</c:v>
                </c:pt>
                <c:pt idx="5">
                  <c:v>44.504600000000003</c:v>
                </c:pt>
              </c:numCache>
            </c:numRef>
          </c:yVal>
          <c:smooth val="1"/>
          <c:extLst xmlns:c16r2="http://schemas.microsoft.com/office/drawing/2015/06/chart">
            <c:ext xmlns:c16="http://schemas.microsoft.com/office/drawing/2014/chart" uri="{C3380CC4-5D6E-409C-BE32-E72D297353CC}">
              <c16:uniqueId val="{00000000-1F5C-4F51-A292-7BC97A7C7DC3}"/>
            </c:ext>
          </c:extLst>
        </c:ser>
        <c:ser>
          <c:idx val="1"/>
          <c:order val="1"/>
          <c:tx>
            <c:strRef>
              <c:f>Graphs!graph_c_B_title</c:f>
              <c:strCache>
                <c:ptCount val="1"/>
                <c:pt idx="0">
                  <c:v>tmc13v11.0-rc1_octree_raht_mr2</c:v>
                </c:pt>
              </c:strCache>
            </c:strRef>
          </c:tx>
          <c:xVal>
            <c:numRef>
              <c:f>Graphs!graph_c_x_range_B</c:f>
              <c:numCache>
                <c:formatCode>0.00</c:formatCode>
                <c:ptCount val="6"/>
                <c:pt idx="0">
                  <c:v>9.0349935088329773E-3</c:v>
                </c:pt>
                <c:pt idx="1">
                  <c:v>1.8031703146865814E-2</c:v>
                </c:pt>
                <c:pt idx="2">
                  <c:v>4.0173453280346633E-2</c:v>
                </c:pt>
                <c:pt idx="3">
                  <c:v>8.8134939706321691E-2</c:v>
                </c:pt>
                <c:pt idx="4">
                  <c:v>0.20572658343115091</c:v>
                </c:pt>
                <c:pt idx="5">
                  <c:v>0.48743297758957915</c:v>
                </c:pt>
              </c:numCache>
            </c:numRef>
          </c:xVal>
          <c:yVal>
            <c:numRef>
              <c:f>Graphs!graph_c_y_range_B</c:f>
              <c:numCache>
                <c:formatCode>0.00</c:formatCode>
                <c:ptCount val="6"/>
                <c:pt idx="0">
                  <c:v>30.619199999999999</c:v>
                </c:pt>
                <c:pt idx="1">
                  <c:v>32.867600000000003</c:v>
                </c:pt>
                <c:pt idx="2">
                  <c:v>35.566099999999999</c:v>
                </c:pt>
                <c:pt idx="3">
                  <c:v>38.179299999999998</c:v>
                </c:pt>
                <c:pt idx="4">
                  <c:v>40.803600000000003</c:v>
                </c:pt>
                <c:pt idx="5">
                  <c:v>43.347099999999998</c:v>
                </c:pt>
              </c:numCache>
            </c:numRef>
          </c:yVal>
          <c:smooth val="1"/>
          <c:extLst xmlns:c16r2="http://schemas.microsoft.com/office/drawing/2015/06/chart">
            <c:ext xmlns:c16="http://schemas.microsoft.com/office/drawing/2014/chart" uri="{C3380CC4-5D6E-409C-BE32-E72D297353CC}">
              <c16:uniqueId val="{00000001-1F5C-4F51-A292-7BC97A7C7DC3}"/>
            </c:ext>
          </c:extLst>
        </c:ser>
        <c:dLbls>
          <c:showLegendKey val="0"/>
          <c:showVal val="0"/>
          <c:showCatName val="0"/>
          <c:showSerName val="0"/>
          <c:showPercent val="0"/>
          <c:showBubbleSize val="0"/>
        </c:dLbls>
        <c:axId val="241973184"/>
        <c:axId val="241970832"/>
      </c:scatterChart>
      <c:valAx>
        <c:axId val="241973184"/>
        <c:scaling>
          <c:orientation val="minMax"/>
        </c:scaling>
        <c:delete val="0"/>
        <c:axPos val="b"/>
        <c:title>
          <c:tx>
            <c:strRef>
              <c:f>Graphs!graph_c_x_title</c:f>
              <c:strCache>
                <c:ptCount val="1"/>
                <c:pt idx="0">
                  <c:v>Colour  Bits per input point</c:v>
                </c:pt>
              </c:strCache>
            </c:strRef>
          </c:tx>
          <c:overlay val="0"/>
          <c:txPr>
            <a:bodyPr/>
            <a:lstStyle/>
            <a:p>
              <a:pPr>
                <a:defRPr/>
              </a:pPr>
              <a:endParaRPr lang="zh-CN"/>
            </a:p>
          </c:txPr>
        </c:title>
        <c:numFmt formatCode="0.00" sourceLinked="1"/>
        <c:majorTickMark val="out"/>
        <c:minorTickMark val="none"/>
        <c:tickLblPos val="nextTo"/>
        <c:crossAx val="241970832"/>
        <c:crosses val="autoZero"/>
        <c:crossBetween val="midCat"/>
      </c:valAx>
      <c:valAx>
        <c:axId val="24197083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zh-CN"/>
            </a:p>
          </c:txPr>
        </c:title>
        <c:numFmt formatCode="0.00" sourceLinked="1"/>
        <c:majorTickMark val="out"/>
        <c:minorTickMark val="none"/>
        <c:tickLblPos val="nextTo"/>
        <c:crossAx val="2419731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zh-CN"/>
        </a:p>
      </c:txPr>
    </c:title>
    <c:autoTitleDeleted val="0"/>
    <c:plotArea>
      <c:layout/>
      <c:scatterChart>
        <c:scatterStyle val="smoothMarker"/>
        <c:varyColors val="0"/>
        <c:ser>
          <c:idx val="0"/>
          <c:order val="0"/>
          <c:tx>
            <c:strRef>
              <c:f>Graphs!graph_d_A_title</c:f>
              <c:strCache>
                <c:ptCount val="1"/>
                <c:pt idx="0">
                  <c:v>tmc13v11.0-rc1_octree_predlift_mr2</c:v>
                </c:pt>
              </c:strCache>
            </c:strRef>
          </c:tx>
          <c:xVal>
            <c:numRef>
              <c:f>Graphs!graph_d_x_range_A</c:f>
              <c:numCache>
                <c:formatCode>0.00</c:formatCode>
                <c:ptCount val="6"/>
                <c:pt idx="0">
                  <c:v>1.6207750159459158E-2</c:v>
                </c:pt>
                <c:pt idx="1">
                  <c:v>3.0941571293112938E-2</c:v>
                </c:pt>
                <c:pt idx="2">
                  <c:v>6.599318957284088E-2</c:v>
                </c:pt>
                <c:pt idx="3">
                  <c:v>0.14588342424613249</c:v>
                </c:pt>
                <c:pt idx="4">
                  <c:v>0.33269777550201435</c:v>
                </c:pt>
                <c:pt idx="5">
                  <c:v>0.780014725617447</c:v>
                </c:pt>
              </c:numCache>
            </c:numRef>
          </c:xVal>
          <c:yVal>
            <c:numRef>
              <c:f>Graphs!graph_d_y_range_A</c:f>
              <c:numCache>
                <c:formatCode>0.00</c:formatCode>
                <c:ptCount val="6"/>
                <c:pt idx="0">
                  <c:v>40.288200000000003</c:v>
                </c:pt>
                <c:pt idx="1">
                  <c:v>42.851300000000002</c:v>
                </c:pt>
                <c:pt idx="2">
                  <c:v>43.793999999999997</c:v>
                </c:pt>
                <c:pt idx="3">
                  <c:v>44.905900000000003</c:v>
                </c:pt>
                <c:pt idx="4">
                  <c:v>46.203299999999999</c:v>
                </c:pt>
                <c:pt idx="5">
                  <c:v>47.823999999999998</c:v>
                </c:pt>
              </c:numCache>
            </c:numRef>
          </c:yVal>
          <c:smooth val="1"/>
          <c:extLst xmlns:c16r2="http://schemas.microsoft.com/office/drawing/2015/06/chart">
            <c:ext xmlns:c16="http://schemas.microsoft.com/office/drawing/2014/chart" uri="{C3380CC4-5D6E-409C-BE32-E72D297353CC}">
              <c16:uniqueId val="{00000000-BFD9-4F95-80EC-F4992DA5391C}"/>
            </c:ext>
          </c:extLst>
        </c:ser>
        <c:ser>
          <c:idx val="1"/>
          <c:order val="1"/>
          <c:tx>
            <c:strRef>
              <c:f>Graphs!graph_d_B_title</c:f>
              <c:strCache>
                <c:ptCount val="1"/>
                <c:pt idx="0">
                  <c:v>tmc13v11.0-rc1_octree_raht_mr2</c:v>
                </c:pt>
              </c:strCache>
            </c:strRef>
          </c:tx>
          <c:xVal>
            <c:numRef>
              <c:f>Graphs!graph_d_x_range_B</c:f>
              <c:numCache>
                <c:formatCode>0.00</c:formatCode>
                <c:ptCount val="6"/>
                <c:pt idx="0">
                  <c:v>9.0349935088329773E-3</c:v>
                </c:pt>
                <c:pt idx="1">
                  <c:v>1.8031703146865814E-2</c:v>
                </c:pt>
                <c:pt idx="2">
                  <c:v>4.0173453280346633E-2</c:v>
                </c:pt>
                <c:pt idx="3">
                  <c:v>8.8134939706321691E-2</c:v>
                </c:pt>
                <c:pt idx="4">
                  <c:v>0.20572658343115091</c:v>
                </c:pt>
                <c:pt idx="5">
                  <c:v>0.48743297758957915</c:v>
                </c:pt>
              </c:numCache>
            </c:numRef>
          </c:xVal>
          <c:yVal>
            <c:numRef>
              <c:f>Graphs!graph_d_y_range_B</c:f>
              <c:numCache>
                <c:formatCode>0.00</c:formatCode>
                <c:ptCount val="6"/>
                <c:pt idx="0">
                  <c:v>40.993200000000002</c:v>
                </c:pt>
                <c:pt idx="1">
                  <c:v>41.884300000000003</c:v>
                </c:pt>
                <c:pt idx="2">
                  <c:v>42.864899999999999</c:v>
                </c:pt>
                <c:pt idx="3">
                  <c:v>43.851599999999998</c:v>
                </c:pt>
                <c:pt idx="4">
                  <c:v>45.112699999999997</c:v>
                </c:pt>
                <c:pt idx="5">
                  <c:v>46.664000000000001</c:v>
                </c:pt>
              </c:numCache>
            </c:numRef>
          </c:yVal>
          <c:smooth val="1"/>
          <c:extLst xmlns:c16r2="http://schemas.microsoft.com/office/drawing/2015/06/chart">
            <c:ext xmlns:c16="http://schemas.microsoft.com/office/drawing/2014/chart" uri="{C3380CC4-5D6E-409C-BE32-E72D297353CC}">
              <c16:uniqueId val="{00000001-BFD9-4F95-80EC-F4992DA5391C}"/>
            </c:ext>
          </c:extLst>
        </c:ser>
        <c:dLbls>
          <c:showLegendKey val="0"/>
          <c:showVal val="0"/>
          <c:showCatName val="0"/>
          <c:showSerName val="0"/>
          <c:showPercent val="0"/>
          <c:showBubbleSize val="0"/>
        </c:dLbls>
        <c:axId val="241973968"/>
        <c:axId val="241974360"/>
      </c:scatterChart>
      <c:valAx>
        <c:axId val="241973968"/>
        <c:scaling>
          <c:orientation val="minMax"/>
        </c:scaling>
        <c:delete val="0"/>
        <c:axPos val="b"/>
        <c:title>
          <c:tx>
            <c:strRef>
              <c:f>Graphs!graph_d_x_title</c:f>
              <c:strCache>
                <c:ptCount val="1"/>
                <c:pt idx="0">
                  <c:v>Colour  Bits per input point</c:v>
                </c:pt>
              </c:strCache>
            </c:strRef>
          </c:tx>
          <c:overlay val="0"/>
          <c:txPr>
            <a:bodyPr/>
            <a:lstStyle/>
            <a:p>
              <a:pPr>
                <a:defRPr/>
              </a:pPr>
              <a:endParaRPr lang="zh-CN"/>
            </a:p>
          </c:txPr>
        </c:title>
        <c:numFmt formatCode="0.00" sourceLinked="1"/>
        <c:majorTickMark val="out"/>
        <c:minorTickMark val="none"/>
        <c:tickLblPos val="nextTo"/>
        <c:crossAx val="241974360"/>
        <c:crosses val="autoZero"/>
        <c:crossBetween val="midCat"/>
      </c:valAx>
      <c:valAx>
        <c:axId val="241974360"/>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zh-CN"/>
            </a:p>
          </c:txPr>
        </c:title>
        <c:numFmt formatCode="0.00" sourceLinked="1"/>
        <c:majorTickMark val="out"/>
        <c:minorTickMark val="none"/>
        <c:tickLblPos val="nextTo"/>
        <c:crossAx val="24197396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zh-CN"/>
        </a:p>
      </c:txPr>
    </c:title>
    <c:autoTitleDeleted val="0"/>
    <c:plotArea>
      <c:layout/>
      <c:scatterChart>
        <c:scatterStyle val="smoothMarker"/>
        <c:varyColors val="0"/>
        <c:ser>
          <c:idx val="0"/>
          <c:order val="0"/>
          <c:tx>
            <c:strRef>
              <c:f>Graphs!graph_e_A_title</c:f>
              <c:strCache>
                <c:ptCount val="1"/>
                <c:pt idx="0">
                  <c:v>tmc13v11.0-rc1_octree_predlift_mr2</c:v>
                </c:pt>
              </c:strCache>
            </c:strRef>
          </c:tx>
          <c:xVal>
            <c:numRef>
              <c:f>Graphs!graph_e_x_range_A</c:f>
              <c:numCache>
                <c:formatCode>0.00</c:formatCode>
                <c:ptCount val="6"/>
                <c:pt idx="0">
                  <c:v>1.6207750159459158E-2</c:v>
                </c:pt>
                <c:pt idx="1">
                  <c:v>3.0941571293112938E-2</c:v>
                </c:pt>
                <c:pt idx="2">
                  <c:v>6.599318957284088E-2</c:v>
                </c:pt>
                <c:pt idx="3">
                  <c:v>0.14588342424613249</c:v>
                </c:pt>
                <c:pt idx="4">
                  <c:v>0.33269777550201435</c:v>
                </c:pt>
                <c:pt idx="5">
                  <c:v>0.780014725617447</c:v>
                </c:pt>
              </c:numCache>
            </c:numRef>
          </c:xVal>
          <c:yVal>
            <c:numRef>
              <c:f>Graphs!graph_e_y_range_A</c:f>
              <c:numCache>
                <c:formatCode>0.00</c:formatCode>
                <c:ptCount val="6"/>
                <c:pt idx="0">
                  <c:v>45.015000000000001</c:v>
                </c:pt>
                <c:pt idx="1">
                  <c:v>46.491300000000003</c:v>
                </c:pt>
                <c:pt idx="2">
                  <c:v>48.014499999999998</c:v>
                </c:pt>
                <c:pt idx="3">
                  <c:v>49.298699999999997</c:v>
                </c:pt>
                <c:pt idx="4">
                  <c:v>50.484000000000002</c:v>
                </c:pt>
                <c:pt idx="5">
                  <c:v>51.557099999999998</c:v>
                </c:pt>
              </c:numCache>
            </c:numRef>
          </c:yVal>
          <c:smooth val="1"/>
          <c:extLst xmlns:c16r2="http://schemas.microsoft.com/office/drawing/2015/06/chart">
            <c:ext xmlns:c16="http://schemas.microsoft.com/office/drawing/2014/chart" uri="{C3380CC4-5D6E-409C-BE32-E72D297353CC}">
              <c16:uniqueId val="{00000000-81A1-49A4-95A2-4EDF005CF6CC}"/>
            </c:ext>
          </c:extLst>
        </c:ser>
        <c:ser>
          <c:idx val="1"/>
          <c:order val="1"/>
          <c:tx>
            <c:strRef>
              <c:f>Graphs!graph_e_B_title</c:f>
              <c:strCache>
                <c:ptCount val="1"/>
                <c:pt idx="0">
                  <c:v>tmc13v11.0-rc1_octree_raht_mr2</c:v>
                </c:pt>
              </c:strCache>
            </c:strRef>
          </c:tx>
          <c:xVal>
            <c:numRef>
              <c:f>Graphs!graph_e_x_range_B</c:f>
              <c:numCache>
                <c:formatCode>0.00</c:formatCode>
                <c:ptCount val="6"/>
                <c:pt idx="0">
                  <c:v>9.0349935088329773E-3</c:v>
                </c:pt>
                <c:pt idx="1">
                  <c:v>1.8031703146865814E-2</c:v>
                </c:pt>
                <c:pt idx="2">
                  <c:v>4.0173453280346633E-2</c:v>
                </c:pt>
                <c:pt idx="3">
                  <c:v>8.8134939706321691E-2</c:v>
                </c:pt>
                <c:pt idx="4">
                  <c:v>0.20572658343115091</c:v>
                </c:pt>
                <c:pt idx="5">
                  <c:v>0.48743297758957915</c:v>
                </c:pt>
              </c:numCache>
            </c:numRef>
          </c:xVal>
          <c:yVal>
            <c:numRef>
              <c:f>Graphs!graph_e_y_range_B</c:f>
              <c:numCache>
                <c:formatCode>0.00</c:formatCode>
                <c:ptCount val="6"/>
                <c:pt idx="0">
                  <c:v>43.162100000000002</c:v>
                </c:pt>
                <c:pt idx="1">
                  <c:v>44.823900000000002</c:v>
                </c:pt>
                <c:pt idx="2">
                  <c:v>46.433900000000001</c:v>
                </c:pt>
                <c:pt idx="3">
                  <c:v>47.9557</c:v>
                </c:pt>
                <c:pt idx="4">
                  <c:v>49.328200000000002</c:v>
                </c:pt>
                <c:pt idx="5">
                  <c:v>50.496099999999998</c:v>
                </c:pt>
              </c:numCache>
            </c:numRef>
          </c:yVal>
          <c:smooth val="1"/>
          <c:extLst xmlns:c16r2="http://schemas.microsoft.com/office/drawing/2015/06/chart">
            <c:ext xmlns:c16="http://schemas.microsoft.com/office/drawing/2014/chart" uri="{C3380CC4-5D6E-409C-BE32-E72D297353CC}">
              <c16:uniqueId val="{00000001-81A1-49A4-95A2-4EDF005CF6CC}"/>
            </c:ext>
          </c:extLst>
        </c:ser>
        <c:dLbls>
          <c:showLegendKey val="0"/>
          <c:showVal val="0"/>
          <c:showCatName val="0"/>
          <c:showSerName val="0"/>
          <c:showPercent val="0"/>
          <c:showBubbleSize val="0"/>
        </c:dLbls>
        <c:axId val="241971224"/>
        <c:axId val="319474848"/>
      </c:scatterChart>
      <c:valAx>
        <c:axId val="241971224"/>
        <c:scaling>
          <c:orientation val="minMax"/>
        </c:scaling>
        <c:delete val="0"/>
        <c:axPos val="b"/>
        <c:title>
          <c:tx>
            <c:strRef>
              <c:f>Graphs!graph_e_x_title</c:f>
              <c:strCache>
                <c:ptCount val="1"/>
                <c:pt idx="0">
                  <c:v>Colour  Bits per input point</c:v>
                </c:pt>
              </c:strCache>
            </c:strRef>
          </c:tx>
          <c:overlay val="0"/>
          <c:txPr>
            <a:bodyPr/>
            <a:lstStyle/>
            <a:p>
              <a:pPr>
                <a:defRPr/>
              </a:pPr>
              <a:endParaRPr lang="zh-CN"/>
            </a:p>
          </c:txPr>
        </c:title>
        <c:numFmt formatCode="0.00" sourceLinked="1"/>
        <c:majorTickMark val="out"/>
        <c:minorTickMark val="none"/>
        <c:tickLblPos val="nextTo"/>
        <c:crossAx val="319474848"/>
        <c:crosses val="autoZero"/>
        <c:crossBetween val="midCat"/>
      </c:valAx>
      <c:valAx>
        <c:axId val="319474848"/>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zh-CN"/>
            </a:p>
          </c:txPr>
        </c:title>
        <c:numFmt formatCode="0.00" sourceLinked="1"/>
        <c:majorTickMark val="out"/>
        <c:minorTickMark val="none"/>
        <c:tickLblPos val="nextTo"/>
        <c:crossAx val="24197122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zh-CN"/>
        </a:p>
      </c:txPr>
    </c:title>
    <c:autoTitleDeleted val="0"/>
    <c:plotArea>
      <c:layout/>
      <c:scatterChart>
        <c:scatterStyle val="smoothMarker"/>
        <c:varyColors val="0"/>
        <c:ser>
          <c:idx val="0"/>
          <c:order val="0"/>
          <c:tx>
            <c:strRef>
              <c:f>Graphs!graph_f_A_title</c:f>
              <c:strCache>
                <c:ptCount val="1"/>
                <c:pt idx="0">
                  <c:v>tmc13v11.0-rc1_octree_predlift_mr2</c:v>
                </c:pt>
              </c:strCache>
            </c:strRef>
          </c:tx>
          <c:xVal>
            <c:numRef>
              <c:f>Graphs!graph_f_x_range_A</c:f>
              <c:numCache>
                <c:formatCode>0.00</c:formatCode>
                <c:ptCount val="6"/>
              </c:numCache>
            </c:numRef>
          </c:xVal>
          <c:yVal>
            <c:numRef>
              <c:f>Graphs!graph_f_y_range_A</c:f>
              <c:numCache>
                <c:formatCode>0.00</c:formatCode>
                <c:ptCount val="6"/>
              </c:numCache>
            </c:numRef>
          </c:yVal>
          <c:smooth val="1"/>
          <c:extLst xmlns:c16r2="http://schemas.microsoft.com/office/drawing/2015/06/chart">
            <c:ext xmlns:c16="http://schemas.microsoft.com/office/drawing/2014/chart" uri="{C3380CC4-5D6E-409C-BE32-E72D297353CC}">
              <c16:uniqueId val="{00000000-2C95-422D-B803-8DDD783D9FF5}"/>
            </c:ext>
          </c:extLst>
        </c:ser>
        <c:ser>
          <c:idx val="1"/>
          <c:order val="1"/>
          <c:tx>
            <c:strRef>
              <c:f>Graphs!graph_f_B_title</c:f>
              <c:strCache>
                <c:ptCount val="1"/>
                <c:pt idx="0">
                  <c:v>tmc13v11.0-rc1_octree_raht_mr2</c:v>
                </c:pt>
              </c:strCache>
            </c:strRef>
          </c:tx>
          <c:xVal>
            <c:numRef>
              <c:f>Graphs!graph_f_x_range_B</c:f>
              <c:numCache>
                <c:formatCode>0.00</c:formatCode>
                <c:ptCount val="6"/>
              </c:numCache>
            </c:numRef>
          </c:xVal>
          <c:yVal>
            <c:numRef>
              <c:f>Graphs!graph_f_y_range_B</c:f>
              <c:numCache>
                <c:formatCode>0.00</c:formatCode>
                <c:ptCount val="6"/>
              </c:numCache>
            </c:numRef>
          </c:yVal>
          <c:smooth val="1"/>
          <c:extLst xmlns:c16r2="http://schemas.microsoft.com/office/drawing/2015/06/chart">
            <c:ext xmlns:c16="http://schemas.microsoft.com/office/drawing/2014/chart" uri="{C3380CC4-5D6E-409C-BE32-E72D297353CC}">
              <c16:uniqueId val="{00000001-2C95-422D-B803-8DDD783D9FF5}"/>
            </c:ext>
          </c:extLst>
        </c:ser>
        <c:dLbls>
          <c:showLegendKey val="0"/>
          <c:showVal val="0"/>
          <c:showCatName val="0"/>
          <c:showSerName val="0"/>
          <c:showPercent val="0"/>
          <c:showBubbleSize val="0"/>
        </c:dLbls>
        <c:axId val="319477200"/>
        <c:axId val="319476416"/>
      </c:scatterChart>
      <c:valAx>
        <c:axId val="319477200"/>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zh-CN"/>
            </a:p>
          </c:txPr>
        </c:title>
        <c:numFmt formatCode="0.00" sourceLinked="1"/>
        <c:majorTickMark val="out"/>
        <c:minorTickMark val="none"/>
        <c:tickLblPos val="nextTo"/>
        <c:crossAx val="319476416"/>
        <c:crosses val="autoZero"/>
        <c:crossBetween val="midCat"/>
      </c:valAx>
      <c:valAx>
        <c:axId val="319476416"/>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zh-CN"/>
            </a:p>
          </c:txPr>
        </c:title>
        <c:numFmt formatCode="0.00" sourceLinked="1"/>
        <c:majorTickMark val="out"/>
        <c:minorTickMark val="none"/>
        <c:tickLblPos val="nextTo"/>
        <c:crossAx val="31947720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xmlns=""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xmlns=""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xmlns=""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xmlns=""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xmlns=""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48"/>
  <sheetViews>
    <sheetView topLeftCell="A30" workbookViewId="0">
      <selection activeCell="C47" sqref="C47:F47"/>
    </sheetView>
  </sheetViews>
  <sheetFormatPr defaultRowHeight="13.5" x14ac:dyDescent="0.15"/>
  <cols>
    <col min="2" max="2" width="16.625" customWidth="1"/>
    <col min="3" max="8" width="24.625" customWidth="1"/>
  </cols>
  <sheetData>
    <row r="1" spans="2:6" x14ac:dyDescent="0.15">
      <c r="B1" t="s">
        <v>0</v>
      </c>
      <c r="C1" s="86" t="s">
        <v>990</v>
      </c>
      <c r="D1" s="86"/>
      <c r="E1" s="86"/>
    </row>
    <row r="2" spans="2:6" x14ac:dyDescent="0.15">
      <c r="B2" t="s">
        <v>1</v>
      </c>
      <c r="C2" s="87" t="s">
        <v>991</v>
      </c>
      <c r="D2" s="87"/>
      <c r="E2" s="87"/>
    </row>
    <row r="4" spans="2:6" s="1" customFormat="1" x14ac:dyDescent="0.15">
      <c r="B4" s="1" t="s">
        <v>411</v>
      </c>
    </row>
    <row r="6" spans="2:6" x14ac:dyDescent="0.15">
      <c r="B6" s="82" t="s">
        <v>412</v>
      </c>
      <c r="C6" s="83" t="s">
        <v>413</v>
      </c>
      <c r="D6" s="83"/>
      <c r="E6" s="83"/>
      <c r="F6" s="83"/>
    </row>
    <row r="7" spans="2:6" x14ac:dyDescent="0.15">
      <c r="B7" s="82"/>
      <c r="C7" s="84" t="s">
        <v>200</v>
      </c>
      <c r="D7" s="84"/>
      <c r="E7" s="84"/>
      <c r="F7" s="84"/>
    </row>
    <row r="8" spans="2:6" x14ac:dyDescent="0.15">
      <c r="B8" s="82"/>
      <c r="C8" s="2" t="s">
        <v>144</v>
      </c>
      <c r="D8" s="2" t="s">
        <v>147</v>
      </c>
      <c r="E8" s="2" t="s">
        <v>150</v>
      </c>
      <c r="F8" s="2" t="s">
        <v>125</v>
      </c>
    </row>
    <row r="9" spans="2:6" x14ac:dyDescent="0.15">
      <c r="B9" s="3" t="s">
        <v>401</v>
      </c>
      <c r="C9" s="4">
        <f>'C1 losslG,lossyA,intra'!$AV$341:$AV$341</f>
        <v>9.673963860918032E-3</v>
      </c>
      <c r="D9" s="4">
        <f>'C1 losslG,lossyA,intra'!$AW$341:$AW$341</f>
        <v>0.15030735739440429</v>
      </c>
      <c r="E9" s="4">
        <f>'C1 losslG,lossyA,intra'!$AX$341:$AX$341</f>
        <v>0.2966525223629658</v>
      </c>
      <c r="F9" s="5"/>
    </row>
    <row r="10" spans="2:6" x14ac:dyDescent="0.15">
      <c r="B10" s="3" t="s">
        <v>402</v>
      </c>
      <c r="C10" s="4">
        <f>'C1 losslG,lossyA,intra'!$AV$342:$AV$342</f>
        <v>-7.6134480725570511E-2</v>
      </c>
      <c r="D10" s="4">
        <f>'C1 losslG,lossyA,intra'!$AW$342:$AW$342</f>
        <v>9.9615895764068429E-2</v>
      </c>
      <c r="E10" s="4">
        <f>'C1 losslG,lossyA,intra'!$AX$342:$AX$342</f>
        <v>0.19226825187211227</v>
      </c>
      <c r="F10" s="5"/>
    </row>
    <row r="11" spans="2:6" x14ac:dyDescent="0.15">
      <c r="B11" s="3" t="s">
        <v>403</v>
      </c>
      <c r="C11" s="4">
        <f>'C1 losslG,lossyA,intra'!$AV$343:$AV$343</f>
        <v>-0.11882111733148171</v>
      </c>
      <c r="D11" s="4">
        <f>'C1 losslG,lossyA,intra'!$AW$343:$AW$343</f>
        <v>-4.8183716006475384E-2</v>
      </c>
      <c r="E11" s="4">
        <f>'C1 losslG,lossyA,intra'!$AX$343:$AX$343</f>
        <v>-4.4312676955016173E-2</v>
      </c>
      <c r="F11" s="4">
        <f>'C1 losslG,lossyA,intra'!$AY$343:$AY$343</f>
        <v>-6.912228775369178E-2</v>
      </c>
    </row>
    <row r="12" spans="2:6" x14ac:dyDescent="0.15">
      <c r="B12" s="3" t="s">
        <v>404</v>
      </c>
      <c r="C12" s="5"/>
      <c r="D12" s="5"/>
      <c r="E12" s="5"/>
      <c r="F12" s="4">
        <f>'C1 losslG,lossyA,intra'!$AY$344:$AY$344</f>
        <v>-6.0811183674634263E-2</v>
      </c>
    </row>
    <row r="13" spans="2:6" x14ac:dyDescent="0.15">
      <c r="B13" s="6" t="s">
        <v>405</v>
      </c>
      <c r="C13" s="7">
        <f>'C1 losslG,lossyA,intra'!$AV$345:$AV$345</f>
        <v>-4.0221707846284503E-2</v>
      </c>
      <c r="D13" s="7">
        <f>'C1 losslG,lossyA,intra'!$AW$345:$AW$345</f>
        <v>0.11332637169377778</v>
      </c>
      <c r="E13" s="7">
        <f>'C1 losslG,lossyA,intra'!$AX$345:$AX$345</f>
        <v>0.22465011236838561</v>
      </c>
      <c r="F13" s="7">
        <f>'C1 losslG,lossyA,intra'!$AY$345:$AY$345</f>
        <v>-6.330451489835151E-2</v>
      </c>
    </row>
    <row r="14" spans="2:6" x14ac:dyDescent="0.15">
      <c r="B14" t="s">
        <v>414</v>
      </c>
      <c r="C14" s="80" t="e">
        <f>'C1 losslG,lossyA,intra'!AP349</f>
        <v>#NUM!</v>
      </c>
      <c r="D14" s="80"/>
      <c r="E14" s="80"/>
      <c r="F14" s="80"/>
    </row>
    <row r="15" spans="2:6" x14ac:dyDescent="0.15">
      <c r="B15" s="9" t="s">
        <v>415</v>
      </c>
      <c r="C15" s="81" t="e">
        <f>'C1 losslG,lossyA,intra'!AQ349</f>
        <v>#NUM!</v>
      </c>
      <c r="D15" s="81"/>
      <c r="E15" s="81"/>
      <c r="F15" s="81"/>
    </row>
    <row r="17" spans="2:8" x14ac:dyDescent="0.15">
      <c r="B17" s="82" t="s">
        <v>608</v>
      </c>
      <c r="C17" s="83" t="s">
        <v>609</v>
      </c>
      <c r="D17" s="83"/>
      <c r="E17" s="83"/>
      <c r="F17" s="83"/>
      <c r="G17" s="83"/>
      <c r="H17" s="83"/>
    </row>
    <row r="18" spans="2:8" x14ac:dyDescent="0.15">
      <c r="B18" s="82"/>
      <c r="C18" s="84" t="s">
        <v>200</v>
      </c>
      <c r="D18" s="84"/>
      <c r="E18" s="84"/>
      <c r="F18" s="84"/>
      <c r="G18" s="85" t="s">
        <v>473</v>
      </c>
      <c r="H18" s="85"/>
    </row>
    <row r="19" spans="2:8" x14ac:dyDescent="0.15">
      <c r="B19" s="82"/>
      <c r="C19" s="2" t="s">
        <v>144</v>
      </c>
      <c r="D19" s="2" t="s">
        <v>147</v>
      </c>
      <c r="E19" s="2" t="s">
        <v>150</v>
      </c>
      <c r="F19" s="2" t="s">
        <v>125</v>
      </c>
      <c r="G19" s="10" t="s">
        <v>438</v>
      </c>
      <c r="H19" s="10" t="s">
        <v>441</v>
      </c>
    </row>
    <row r="20" spans="2:8" x14ac:dyDescent="0.15">
      <c r="B20" s="3" t="s">
        <v>401</v>
      </c>
      <c r="C20" s="4">
        <f>'C2 lossyG,lossyA,intra'!$BB$341:$BB$341</f>
        <v>-6.9960902653399507E-2</v>
      </c>
      <c r="D20" s="4">
        <f>'C2 lossyG,lossyA,intra'!$BC$341:$BC$341</f>
        <v>0.2815815783696326</v>
      </c>
      <c r="E20" s="4">
        <f>'C2 lossyG,lossyA,intra'!$BD$341:$BD$341</f>
        <v>0.30800063699690056</v>
      </c>
      <c r="F20" s="5"/>
      <c r="G20" s="4">
        <f>'C2 lossyG,lossyA,intra'!$AZ$341:$AZ$341</f>
        <v>0</v>
      </c>
      <c r="H20" s="4">
        <f>'C2 lossyG,lossyA,intra'!$BA$341:$BA$341</f>
        <v>0</v>
      </c>
    </row>
    <row r="21" spans="2:8" x14ac:dyDescent="0.15">
      <c r="B21" s="3" t="s">
        <v>402</v>
      </c>
      <c r="C21" s="4">
        <f>'C2 lossyG,lossyA,intra'!$BB$342:$BB$342</f>
        <v>-0.11412993374895536</v>
      </c>
      <c r="D21" s="4">
        <f>'C2 lossyG,lossyA,intra'!$BC$342:$BC$342</f>
        <v>0.12180425446655256</v>
      </c>
      <c r="E21" s="4">
        <f>'C2 lossyG,lossyA,intra'!$BD$342:$BD$342</f>
        <v>0.28073939331876924</v>
      </c>
      <c r="F21" s="5"/>
      <c r="G21" s="4">
        <f>'C2 lossyG,lossyA,intra'!$AZ$342:$AZ$342</f>
        <v>0</v>
      </c>
      <c r="H21" s="4">
        <f>'C2 lossyG,lossyA,intra'!$BA$342:$BA$342</f>
        <v>0</v>
      </c>
    </row>
    <row r="22" spans="2:8" x14ac:dyDescent="0.15">
      <c r="B22" s="3" t="s">
        <v>403</v>
      </c>
      <c r="C22" s="4">
        <f>'C2 lossyG,lossyA,intra'!$BB$343:$BB$343</f>
        <v>-0.17736420332467664</v>
      </c>
      <c r="D22" s="4">
        <f>'C2 lossyG,lossyA,intra'!$BC$343:$BC$343</f>
        <v>-4.8699075092310716E-2</v>
      </c>
      <c r="E22" s="4">
        <f>'C2 lossyG,lossyA,intra'!$BD$343:$BD$343</f>
        <v>-3.2542706176536394E-2</v>
      </c>
      <c r="F22" s="4">
        <f>'C2 lossyG,lossyA,intra'!$BE$343:$BE$343</f>
        <v>-0.13032714642544843</v>
      </c>
      <c r="G22" s="4">
        <f>'C2 lossyG,lossyA,intra'!$AZ$343:$AZ$343</f>
        <v>0</v>
      </c>
      <c r="H22" s="4">
        <f>'C2 lossyG,lossyA,intra'!$BA$343:$BA$343</f>
        <v>0</v>
      </c>
    </row>
    <row r="23" spans="2:8" x14ac:dyDescent="0.15">
      <c r="B23" s="3" t="s">
        <v>404</v>
      </c>
      <c r="C23" s="5"/>
      <c r="D23" s="5"/>
      <c r="E23" s="5"/>
      <c r="F23" s="4">
        <f>'C2 lossyG,lossyA,intra'!$BE$344:$BE$344</f>
        <v>-0.10811514625514705</v>
      </c>
      <c r="G23" s="4">
        <f>'C2 lossyG,lossyA,intra'!$AZ$344:$AZ$344</f>
        <v>0</v>
      </c>
      <c r="H23" s="4">
        <f>'C2 lossyG,lossyA,intra'!$BA$344:$BA$344</f>
        <v>0</v>
      </c>
    </row>
    <row r="24" spans="2:8" x14ac:dyDescent="0.15">
      <c r="B24" s="6" t="s">
        <v>405</v>
      </c>
      <c r="C24" s="7">
        <f>'C2 lossyG,lossyA,intra'!$BB$345:$BB$345</f>
        <v>-9.8170426088239726E-2</v>
      </c>
      <c r="D24" s="7">
        <f>'C2 lossyG,lossyA,intra'!$BC$345:$BC$345</f>
        <v>0.1831020327765765</v>
      </c>
      <c r="E24" s="7">
        <f>'C2 lossyG,lossyA,intra'!$BD$345:$BD$345</f>
        <v>0.27379859867454415</v>
      </c>
      <c r="F24" s="7">
        <f>'C2 lossyG,lossyA,intra'!$BE$345:$BE$345</f>
        <v>-0.11477874630623748</v>
      </c>
      <c r="G24" s="7">
        <f>'C2 lossyG,lossyA,intra'!$AZ$345:$AZ$345</f>
        <v>0</v>
      </c>
      <c r="H24" s="7">
        <f>'C2 lossyG,lossyA,intra'!$BA$345:$BA$345</f>
        <v>0</v>
      </c>
    </row>
    <row r="25" spans="2:8" x14ac:dyDescent="0.15">
      <c r="B25" t="s">
        <v>414</v>
      </c>
      <c r="C25" s="80" t="e">
        <f>'C2 lossyG,lossyA,intra'!AT349</f>
        <v>#NUM!</v>
      </c>
      <c r="D25" s="80"/>
      <c r="E25" s="80"/>
      <c r="F25" s="80"/>
      <c r="G25" s="80"/>
      <c r="H25" s="80"/>
    </row>
    <row r="26" spans="2:8" x14ac:dyDescent="0.15">
      <c r="B26" s="9" t="s">
        <v>415</v>
      </c>
      <c r="C26" s="81" t="e">
        <f>'C2 lossyG,lossyA,intra'!AU349</f>
        <v>#NUM!</v>
      </c>
      <c r="D26" s="81"/>
      <c r="E26" s="81"/>
      <c r="F26" s="81"/>
      <c r="G26" s="81"/>
      <c r="H26" s="81"/>
    </row>
    <row r="28" spans="2:8" x14ac:dyDescent="0.15">
      <c r="B28" s="82" t="s">
        <v>778</v>
      </c>
      <c r="C28" s="83" t="s">
        <v>779</v>
      </c>
      <c r="D28" s="83"/>
      <c r="E28" s="83"/>
      <c r="F28" s="83"/>
    </row>
    <row r="29" spans="2:8" x14ac:dyDescent="0.15">
      <c r="B29" s="82"/>
      <c r="C29" s="84" t="s">
        <v>650</v>
      </c>
      <c r="D29" s="84"/>
      <c r="E29" s="84"/>
      <c r="F29" s="84"/>
    </row>
    <row r="30" spans="2:8" x14ac:dyDescent="0.15">
      <c r="B30" s="82"/>
      <c r="C30" s="2" t="s">
        <v>119</v>
      </c>
      <c r="D30" s="2" t="s">
        <v>138</v>
      </c>
      <c r="E30" s="2" t="s">
        <v>125</v>
      </c>
      <c r="F30" s="2" t="s">
        <v>116</v>
      </c>
    </row>
    <row r="31" spans="2:8" x14ac:dyDescent="0.15">
      <c r="B31" s="3" t="s">
        <v>401</v>
      </c>
      <c r="C31" s="4">
        <f>'CW losslG,losslA,intra'!AM61</f>
        <v>1</v>
      </c>
      <c r="D31" s="4">
        <f>'CW losslG,losslA,intra'!AN61</f>
        <v>1</v>
      </c>
      <c r="E31" s="5"/>
      <c r="F31" s="4">
        <f>'CW losslG,losslA,intra'!AL61</f>
        <v>1</v>
      </c>
    </row>
    <row r="32" spans="2:8" x14ac:dyDescent="0.15">
      <c r="B32" s="3" t="s">
        <v>402</v>
      </c>
      <c r="C32" s="4">
        <f>'CW losslG,losslA,intra'!AM62</f>
        <v>1</v>
      </c>
      <c r="D32" s="4">
        <f>'CW losslG,losslA,intra'!AN62</f>
        <v>1</v>
      </c>
      <c r="E32" s="5"/>
      <c r="F32" s="4">
        <f>'CW losslG,losslA,intra'!AL62</f>
        <v>1</v>
      </c>
    </row>
    <row r="33" spans="2:6" x14ac:dyDescent="0.15">
      <c r="B33" s="3" t="s">
        <v>403</v>
      </c>
      <c r="C33" s="4">
        <f>'CW losslG,losslA,intra'!AM63</f>
        <v>1</v>
      </c>
      <c r="D33" s="4">
        <f>'CW losslG,losslA,intra'!AN63</f>
        <v>1</v>
      </c>
      <c r="E33" s="4">
        <f>'CW losslG,losslA,intra'!AO63</f>
        <v>1</v>
      </c>
      <c r="F33" s="4">
        <f>'CW losslG,losslA,intra'!AL63</f>
        <v>1</v>
      </c>
    </row>
    <row r="34" spans="2:6" x14ac:dyDescent="0.15">
      <c r="B34" s="3" t="s">
        <v>404</v>
      </c>
      <c r="C34" s="4">
        <f>'CW losslG,losslA,intra'!AM64</f>
        <v>1</v>
      </c>
      <c r="D34" s="5"/>
      <c r="E34" s="4">
        <f>'CW losslG,losslA,intra'!AO64</f>
        <v>1</v>
      </c>
      <c r="F34" s="4">
        <f>'CW losslG,losslA,intra'!AL64</f>
        <v>1</v>
      </c>
    </row>
    <row r="35" spans="2:6" x14ac:dyDescent="0.15">
      <c r="B35" s="6" t="s">
        <v>405</v>
      </c>
      <c r="C35" s="7">
        <f>'CW losslG,losslA,intra'!AM65</f>
        <v>1</v>
      </c>
      <c r="D35" s="7">
        <f>'CW losslG,losslA,intra'!AN65</f>
        <v>1</v>
      </c>
      <c r="E35" s="7">
        <f>'CW losslG,losslA,intra'!AO65</f>
        <v>1</v>
      </c>
      <c r="F35" s="7">
        <f>'CW losslG,losslA,intra'!AL65</f>
        <v>1</v>
      </c>
    </row>
    <row r="36" spans="2:6" x14ac:dyDescent="0.15">
      <c r="B36" t="s">
        <v>414</v>
      </c>
      <c r="C36" s="80" t="e">
        <f>'CW losslG,losslA,intra'!AI69</f>
        <v>#NUM!</v>
      </c>
      <c r="D36" s="80"/>
      <c r="E36" s="80"/>
      <c r="F36" s="80"/>
    </row>
    <row r="37" spans="2:6" x14ac:dyDescent="0.15">
      <c r="B37" s="9" t="s">
        <v>415</v>
      </c>
      <c r="C37" s="81" t="e">
        <f>'CW losslG,losslA,intra'!AJ69</f>
        <v>#NUM!</v>
      </c>
      <c r="D37" s="81"/>
      <c r="E37" s="81"/>
      <c r="F37" s="81"/>
    </row>
    <row r="39" spans="2:6" x14ac:dyDescent="0.15">
      <c r="B39" s="82" t="s">
        <v>985</v>
      </c>
      <c r="C39" s="83" t="s">
        <v>986</v>
      </c>
      <c r="D39" s="83"/>
      <c r="E39" s="83"/>
      <c r="F39" s="83"/>
    </row>
    <row r="40" spans="2:6" x14ac:dyDescent="0.15">
      <c r="B40" s="82"/>
      <c r="C40" s="84" t="s">
        <v>847</v>
      </c>
      <c r="D40" s="84"/>
      <c r="E40" s="84"/>
      <c r="F40" s="84"/>
    </row>
    <row r="41" spans="2:6" x14ac:dyDescent="0.15">
      <c r="B41" s="82"/>
      <c r="C41" s="2" t="s">
        <v>144</v>
      </c>
      <c r="D41" s="2" t="s">
        <v>147</v>
      </c>
      <c r="E41" s="2" t="s">
        <v>150</v>
      </c>
      <c r="F41" s="2" t="s">
        <v>125</v>
      </c>
    </row>
    <row r="42" spans="2:6" x14ac:dyDescent="0.15">
      <c r="B42" s="3" t="s">
        <v>401</v>
      </c>
      <c r="C42" s="4">
        <f>'CY losslG,nearllA,intra'!$BI$285:$BI$285</f>
        <v>-2.4614321527947382E-2</v>
      </c>
      <c r="D42" s="4">
        <f>'CY losslG,nearllA,intra'!$BJ$285:$BJ$285</f>
        <v>-2.4614321527947382E-2</v>
      </c>
      <c r="E42" s="4">
        <f>'CY losslG,nearllA,intra'!$BK$285:$BK$285</f>
        <v>-2.4614321527947382E-2</v>
      </c>
      <c r="F42" s="5"/>
    </row>
    <row r="43" spans="2:6" x14ac:dyDescent="0.15">
      <c r="B43" s="3" t="s">
        <v>402</v>
      </c>
      <c r="C43" s="4">
        <f>'CY losslG,nearllA,intra'!$BI$286:$BI$286</f>
        <v>-1.236924286810267E-2</v>
      </c>
      <c r="D43" s="4">
        <f>'CY losslG,nearllA,intra'!$BJ$286:$BJ$286</f>
        <v>-1.236924286810267E-2</v>
      </c>
      <c r="E43" s="4">
        <f>'CY losslG,nearllA,intra'!$BK$286:$BK$286</f>
        <v>-1.236924286810267E-2</v>
      </c>
      <c r="F43" s="5"/>
    </row>
    <row r="44" spans="2:6" x14ac:dyDescent="0.15">
      <c r="B44" s="3" t="s">
        <v>403</v>
      </c>
      <c r="C44" s="4">
        <f>'CY losslG,nearllA,intra'!$BI$287:$BI$287</f>
        <v>-6.3276680567460426E-3</v>
      </c>
      <c r="D44" s="4">
        <f>'CY losslG,nearllA,intra'!$BJ$287:$BJ$287</f>
        <v>-6.3276680567460426E-3</v>
      </c>
      <c r="E44" s="4">
        <f>'CY losslG,nearllA,intra'!$BK$287:$BK$287</f>
        <v>-6.3276680567460426E-3</v>
      </c>
      <c r="F44" s="4">
        <f>'CY losslG,nearllA,intra'!$BL$287:$BL$287</f>
        <v>2.5438248176526956E-3</v>
      </c>
    </row>
    <row r="45" spans="2:6" x14ac:dyDescent="0.15">
      <c r="B45" s="3" t="s">
        <v>404</v>
      </c>
      <c r="C45" s="5"/>
      <c r="D45" s="5"/>
      <c r="E45" s="5"/>
      <c r="F45" s="4">
        <f>'CY losslG,nearllA,intra'!$BL$288:$BL$288</f>
        <v>-2.7506843791852737E-3</v>
      </c>
    </row>
    <row r="46" spans="2:6" x14ac:dyDescent="0.15">
      <c r="B46" s="6" t="s">
        <v>405</v>
      </c>
      <c r="C46" s="7">
        <f>'CY losslG,nearllA,intra'!$BI$289:$BI$289</f>
        <v>-1.7497140951419278E-2</v>
      </c>
      <c r="D46" s="7">
        <f>'CY losslG,nearllA,intra'!$BJ$289:$BJ$289</f>
        <v>-1.7497140951419278E-2</v>
      </c>
      <c r="E46" s="7">
        <f>'CY losslG,nearllA,intra'!$BK$289:$BK$289</f>
        <v>-1.7497140951419278E-2</v>
      </c>
      <c r="F46" s="7">
        <f>'CY losslG,nearllA,intra'!$BL$289:$BL$289</f>
        <v>-1.162331620133883E-3</v>
      </c>
    </row>
    <row r="47" spans="2:6" x14ac:dyDescent="0.15">
      <c r="B47" t="s">
        <v>414</v>
      </c>
      <c r="C47" s="80" t="e">
        <f>'CY losslG,nearllA,intra'!AX293</f>
        <v>#NUM!</v>
      </c>
      <c r="D47" s="80"/>
      <c r="E47" s="80"/>
      <c r="F47" s="80"/>
    </row>
    <row r="48" spans="2:6" x14ac:dyDescent="0.15">
      <c r="B48" s="9" t="s">
        <v>415</v>
      </c>
      <c r="C48" s="81" t="e">
        <f>'CY losslG,nearllA,intra'!AY293</f>
        <v>#NUM!</v>
      </c>
      <c r="D48" s="81"/>
      <c r="E48" s="81"/>
      <c r="F48" s="81"/>
    </row>
  </sheetData>
  <mergeCells count="23">
    <mergeCell ref="C1:E1"/>
    <mergeCell ref="C2:E2"/>
    <mergeCell ref="B6:B8"/>
    <mergeCell ref="C6:F6"/>
    <mergeCell ref="C7:F7"/>
    <mergeCell ref="C14:F14"/>
    <mergeCell ref="C15:F15"/>
    <mergeCell ref="B17:B19"/>
    <mergeCell ref="C17:H17"/>
    <mergeCell ref="C18:F18"/>
    <mergeCell ref="G18:H18"/>
    <mergeCell ref="C25:H25"/>
    <mergeCell ref="C26:H26"/>
    <mergeCell ref="B28:B30"/>
    <mergeCell ref="C28:F28"/>
    <mergeCell ref="C29:F29"/>
    <mergeCell ref="C47:F47"/>
    <mergeCell ref="C48:F48"/>
    <mergeCell ref="C36:F36"/>
    <mergeCell ref="C37:F37"/>
    <mergeCell ref="B39:B41"/>
    <mergeCell ref="C39:F39"/>
    <mergeCell ref="C40:F40"/>
  </mergeCells>
  <phoneticPr fontId="2" type="noConversion"/>
  <conditionalFormatting sqref="C20 C21 C22 C24">
    <cfRule type="cellIs" dxfId="117" priority="17" operator="greaterThanOrEqual">
      <formula>0.03</formula>
    </cfRule>
    <cfRule type="cellIs" dxfId="116" priority="18" operator="lessThanOrEqual">
      <formula>-0.03</formula>
    </cfRule>
  </conditionalFormatting>
  <conditionalFormatting sqref="C31 C32 C33 C34 C35">
    <cfRule type="cellIs" dxfId="115" priority="25" operator="greaterThanOrEqual">
      <formula>1.03</formula>
    </cfRule>
    <cfRule type="cellIs" dxfId="114" priority="26" operator="lessThanOrEqual">
      <formula>0.97</formula>
    </cfRule>
  </conditionalFormatting>
  <conditionalFormatting sqref="C42 C43 C44 C46">
    <cfRule type="cellIs" dxfId="113" priority="33" operator="greaterThanOrEqual">
      <formula>0.03</formula>
    </cfRule>
    <cfRule type="cellIs" dxfId="112" priority="34" operator="lessThanOrEqual">
      <formula>-0.03</formula>
    </cfRule>
  </conditionalFormatting>
  <conditionalFormatting sqref="C9 C10 C11 C13">
    <cfRule type="cellIs" dxfId="111" priority="5" operator="greaterThanOrEqual">
      <formula>0.03</formula>
    </cfRule>
    <cfRule type="cellIs" dxfId="110" priority="6" operator="lessThanOrEqual">
      <formula>-0.03</formula>
    </cfRule>
  </conditionalFormatting>
  <conditionalFormatting sqref="D20 D21 D22 D24">
    <cfRule type="cellIs" dxfId="109" priority="13" operator="greaterThanOrEqual">
      <formula>0.03</formula>
    </cfRule>
    <cfRule type="cellIs" dxfId="108" priority="14" operator="lessThanOrEqual">
      <formula>-0.03</formula>
    </cfRule>
  </conditionalFormatting>
  <conditionalFormatting sqref="D31 D32 D33 D35">
    <cfRule type="cellIs" dxfId="107" priority="23" operator="greaterThanOrEqual">
      <formula>1.03</formula>
    </cfRule>
    <cfRule type="cellIs" dxfId="106" priority="24" operator="lessThanOrEqual">
      <formula>0.97</formula>
    </cfRule>
  </conditionalFormatting>
  <conditionalFormatting sqref="D42 D43 D44 D46">
    <cfRule type="cellIs" dxfId="105" priority="29" operator="greaterThanOrEqual">
      <formula>0.03</formula>
    </cfRule>
    <cfRule type="cellIs" dxfId="104" priority="30" operator="lessThanOrEqual">
      <formula>-0.03</formula>
    </cfRule>
  </conditionalFormatting>
  <conditionalFormatting sqref="D9 D10 D11 D13">
    <cfRule type="cellIs" dxfId="103" priority="7" operator="greaterThanOrEqual">
      <formula>0.03</formula>
    </cfRule>
    <cfRule type="cellIs" dxfId="102" priority="8" operator="lessThanOrEqual">
      <formula>-0.03</formula>
    </cfRule>
  </conditionalFormatting>
  <conditionalFormatting sqref="E20 E21 E22 E24">
    <cfRule type="cellIs" dxfId="101" priority="19" operator="greaterThanOrEqual">
      <formula>0.03</formula>
    </cfRule>
    <cfRule type="cellIs" dxfId="100" priority="20" operator="lessThanOrEqual">
      <formula>-0.03</formula>
    </cfRule>
  </conditionalFormatting>
  <conditionalFormatting sqref="E33 E34 E35">
    <cfRule type="cellIs" dxfId="99" priority="21" operator="greaterThanOrEqual">
      <formula>1.03</formula>
    </cfRule>
    <cfRule type="cellIs" dxfId="98" priority="22" operator="lessThanOrEqual">
      <formula>0.97</formula>
    </cfRule>
  </conditionalFormatting>
  <conditionalFormatting sqref="E42 E43 E44 E46">
    <cfRule type="cellIs" dxfId="97" priority="35" operator="greaterThanOrEqual">
      <formula>0.03</formula>
    </cfRule>
    <cfRule type="cellIs" dxfId="96" priority="36" operator="lessThanOrEqual">
      <formula>-0.03</formula>
    </cfRule>
  </conditionalFormatting>
  <conditionalFormatting sqref="E9 E10 E11 E13">
    <cfRule type="cellIs" dxfId="95" priority="1" operator="greaterThanOrEqual">
      <formula>0.03</formula>
    </cfRule>
    <cfRule type="cellIs" dxfId="94" priority="2" operator="lessThanOrEqual">
      <formula>-0.03</formula>
    </cfRule>
  </conditionalFormatting>
  <conditionalFormatting sqref="F11 F12 F13">
    <cfRule type="cellIs" dxfId="93" priority="3" operator="greaterThanOrEqual">
      <formula>0.03</formula>
    </cfRule>
    <cfRule type="cellIs" dxfId="92" priority="4" operator="lessThanOrEqual">
      <formula>-0.03</formula>
    </cfRule>
  </conditionalFormatting>
  <conditionalFormatting sqref="F22 F23 F24">
    <cfRule type="cellIs" dxfId="91" priority="9" operator="greaterThanOrEqual">
      <formula>0.03</formula>
    </cfRule>
    <cfRule type="cellIs" dxfId="90" priority="10" operator="lessThanOrEqual">
      <formula>-0.03</formula>
    </cfRule>
  </conditionalFormatting>
  <conditionalFormatting sqref="F31 F32 F33 F34 F35">
    <cfRule type="cellIs" dxfId="89" priority="27" operator="greaterThanOrEqual">
      <formula>1.03</formula>
    </cfRule>
    <cfRule type="cellIs" dxfId="88" priority="28" operator="lessThanOrEqual">
      <formula>0.97</formula>
    </cfRule>
  </conditionalFormatting>
  <conditionalFormatting sqref="F44 F45 F46">
    <cfRule type="cellIs" dxfId="87" priority="31" operator="greaterThanOrEqual">
      <formula>0.03</formula>
    </cfRule>
    <cfRule type="cellIs" dxfId="86" priority="32" operator="lessThanOrEqual">
      <formula>-0.03</formula>
    </cfRule>
  </conditionalFormatting>
  <conditionalFormatting sqref="G20 G21 G22 G23 G24">
    <cfRule type="cellIs" dxfId="85" priority="15" operator="greaterThanOrEqual">
      <formula>0.03</formula>
    </cfRule>
    <cfRule type="cellIs" dxfId="84" priority="16" operator="lessThanOrEqual">
      <formula>-0.03</formula>
    </cfRule>
  </conditionalFormatting>
  <conditionalFormatting sqref="H20 H21 H22 H23 H24">
    <cfRule type="cellIs" dxfId="83" priority="11" operator="greaterThanOrEqual">
      <formula>0.03</formula>
    </cfRule>
    <cfRule type="cellIs" dxfId="82" priority="12" operator="lessThanOrEqual">
      <formula>-0.03</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8"/>
  <sheetViews>
    <sheetView workbookViewId="0"/>
  </sheetViews>
  <sheetFormatPr defaultRowHeight="13.5" x14ac:dyDescent="0.15"/>
  <cols>
    <col min="1" max="1" width="12.625" customWidth="1"/>
    <col min="2" max="2" width="24.625" customWidth="1"/>
    <col min="4" max="4" width="24.625" customWidth="1"/>
    <col min="9" max="9" width="16.625" customWidth="1"/>
  </cols>
  <sheetData>
    <row r="1" spans="1:16" x14ac:dyDescent="0.15">
      <c r="A1" t="s">
        <v>79</v>
      </c>
      <c r="B1" s="11" t="str">
        <f>M1</f>
        <v>C1 losslG,lossyA,intra</v>
      </c>
      <c r="C1" t="s">
        <v>80</v>
      </c>
      <c r="I1" t="s">
        <v>2</v>
      </c>
      <c r="M1" t="s">
        <v>416</v>
      </c>
      <c r="N1" t="s">
        <v>610</v>
      </c>
      <c r="O1" t="s">
        <v>780</v>
      </c>
      <c r="P1" t="s">
        <v>987</v>
      </c>
    </row>
    <row r="2" spans="1:16" x14ac:dyDescent="0.15">
      <c r="A2" t="s">
        <v>81</v>
      </c>
      <c r="B2" s="11" t="str">
        <f>HLOOKUP(B1,M1:ZZ3,3,0)</f>
        <v>basketball_player_vox11_00000200</v>
      </c>
      <c r="C2" t="s">
        <v>82</v>
      </c>
      <c r="I2" t="s">
        <v>3</v>
      </c>
      <c r="J2" t="s">
        <v>4</v>
      </c>
      <c r="M2" t="s">
        <v>418</v>
      </c>
      <c r="N2" t="s">
        <v>612</v>
      </c>
      <c r="O2" t="s">
        <v>782</v>
      </c>
      <c r="P2" t="s">
        <v>989</v>
      </c>
    </row>
    <row r="3" spans="1:16" x14ac:dyDescent="0.15">
      <c r="I3" t="s">
        <v>5</v>
      </c>
      <c r="J3" t="s">
        <v>6</v>
      </c>
      <c r="M3" t="s">
        <v>223</v>
      </c>
      <c r="N3" t="s">
        <v>223</v>
      </c>
      <c r="O3" t="s">
        <v>223</v>
      </c>
      <c r="P3" t="s">
        <v>223</v>
      </c>
    </row>
    <row r="4" spans="1:16" x14ac:dyDescent="0.15">
      <c r="A4" t="s">
        <v>83</v>
      </c>
      <c r="B4" s="11" t="s">
        <v>71</v>
      </c>
      <c r="C4" t="s">
        <v>84</v>
      </c>
      <c r="D4" s="11" t="s">
        <v>13</v>
      </c>
      <c r="E4" t="s">
        <v>85</v>
      </c>
      <c r="I4" t="s">
        <v>7</v>
      </c>
      <c r="J4" t="s">
        <v>8</v>
      </c>
      <c r="M4" t="s">
        <v>233</v>
      </c>
      <c r="N4" t="s">
        <v>233</v>
      </c>
      <c r="O4" t="s">
        <v>233</v>
      </c>
      <c r="P4" t="s">
        <v>233</v>
      </c>
    </row>
    <row r="5" spans="1:16" x14ac:dyDescent="0.15">
      <c r="A5" t="s">
        <v>83</v>
      </c>
      <c r="B5" s="11" t="s">
        <v>71</v>
      </c>
      <c r="C5" t="s">
        <v>84</v>
      </c>
      <c r="D5" s="11" t="s">
        <v>17</v>
      </c>
      <c r="E5" t="s">
        <v>86</v>
      </c>
      <c r="I5" t="s">
        <v>9</v>
      </c>
      <c r="J5" t="s">
        <v>10</v>
      </c>
      <c r="M5" t="s">
        <v>236</v>
      </c>
      <c r="N5" t="s">
        <v>236</v>
      </c>
      <c r="O5" t="s">
        <v>236</v>
      </c>
      <c r="P5" t="s">
        <v>236</v>
      </c>
    </row>
    <row r="6" spans="1:16" x14ac:dyDescent="0.15">
      <c r="A6" t="s">
        <v>83</v>
      </c>
      <c r="B6" s="11" t="s">
        <v>69</v>
      </c>
      <c r="C6" t="s">
        <v>84</v>
      </c>
      <c r="D6" s="11" t="s">
        <v>43</v>
      </c>
      <c r="E6" t="s">
        <v>87</v>
      </c>
      <c r="I6" t="s">
        <v>11</v>
      </c>
      <c r="J6" t="s">
        <v>12</v>
      </c>
      <c r="M6" t="s">
        <v>239</v>
      </c>
      <c r="N6" t="s">
        <v>239</v>
      </c>
      <c r="O6" t="s">
        <v>239</v>
      </c>
      <c r="P6" t="s">
        <v>239</v>
      </c>
    </row>
    <row r="7" spans="1:16" x14ac:dyDescent="0.15">
      <c r="A7" t="s">
        <v>83</v>
      </c>
      <c r="B7" s="11" t="s">
        <v>69</v>
      </c>
      <c r="C7" t="s">
        <v>84</v>
      </c>
      <c r="D7" s="11" t="s">
        <v>5</v>
      </c>
      <c r="E7" t="s">
        <v>88</v>
      </c>
      <c r="I7" t="s">
        <v>13</v>
      </c>
      <c r="J7" t="s">
        <v>14</v>
      </c>
      <c r="M7" t="s">
        <v>242</v>
      </c>
      <c r="N7" t="s">
        <v>242</v>
      </c>
      <c r="O7" t="s">
        <v>242</v>
      </c>
      <c r="P7" t="s">
        <v>242</v>
      </c>
    </row>
    <row r="8" spans="1:16" x14ac:dyDescent="0.15">
      <c r="A8" t="s">
        <v>83</v>
      </c>
      <c r="B8" s="11" t="s">
        <v>69</v>
      </c>
      <c r="C8" t="s">
        <v>84</v>
      </c>
      <c r="D8" s="11" t="s">
        <v>9</v>
      </c>
      <c r="E8" t="s">
        <v>89</v>
      </c>
      <c r="I8" t="s">
        <v>15</v>
      </c>
      <c r="J8" t="s">
        <v>16</v>
      </c>
      <c r="M8" t="s">
        <v>245</v>
      </c>
      <c r="N8" t="s">
        <v>245</v>
      </c>
      <c r="O8" t="s">
        <v>245</v>
      </c>
      <c r="P8" t="s">
        <v>245</v>
      </c>
    </row>
    <row r="9" spans="1:16" x14ac:dyDescent="0.15">
      <c r="A9" t="s">
        <v>83</v>
      </c>
      <c r="B9" s="11" t="s">
        <v>75</v>
      </c>
      <c r="C9" t="s">
        <v>84</v>
      </c>
      <c r="D9" s="11" t="s">
        <v>33</v>
      </c>
      <c r="E9" t="s">
        <v>90</v>
      </c>
      <c r="I9" t="s">
        <v>17</v>
      </c>
      <c r="J9" t="s">
        <v>18</v>
      </c>
      <c r="M9" t="s">
        <v>248</v>
      </c>
      <c r="N9" t="s">
        <v>248</v>
      </c>
      <c r="O9" t="s">
        <v>248</v>
      </c>
      <c r="P9" t="s">
        <v>248</v>
      </c>
    </row>
    <row r="10" spans="1:16" x14ac:dyDescent="0.15">
      <c r="I10" t="s">
        <v>19</v>
      </c>
      <c r="J10" t="s">
        <v>20</v>
      </c>
      <c r="M10" t="s">
        <v>251</v>
      </c>
      <c r="N10" t="s">
        <v>251</v>
      </c>
      <c r="O10" t="s">
        <v>251</v>
      </c>
      <c r="P10" t="s">
        <v>251</v>
      </c>
    </row>
    <row r="11" spans="1:16" x14ac:dyDescent="0.15">
      <c r="I11" t="s">
        <v>21</v>
      </c>
      <c r="J11" t="s">
        <v>22</v>
      </c>
      <c r="M11" t="s">
        <v>254</v>
      </c>
      <c r="N11" t="s">
        <v>254</v>
      </c>
      <c r="O11" t="s">
        <v>254</v>
      </c>
      <c r="P11" t="s">
        <v>254</v>
      </c>
    </row>
    <row r="12" spans="1:16" x14ac:dyDescent="0.15">
      <c r="I12" t="s">
        <v>23</v>
      </c>
      <c r="J12" t="s">
        <v>24</v>
      </c>
      <c r="M12" t="s">
        <v>257</v>
      </c>
      <c r="N12" t="s">
        <v>257</v>
      </c>
      <c r="O12" t="s">
        <v>257</v>
      </c>
      <c r="P12" t="s">
        <v>257</v>
      </c>
    </row>
    <row r="13" spans="1:16" x14ac:dyDescent="0.15">
      <c r="I13" t="s">
        <v>25</v>
      </c>
      <c r="J13" t="s">
        <v>26</v>
      </c>
      <c r="M13" t="s">
        <v>260</v>
      </c>
      <c r="N13" t="s">
        <v>260</v>
      </c>
      <c r="O13" t="s">
        <v>260</v>
      </c>
      <c r="P13" t="s">
        <v>260</v>
      </c>
    </row>
    <row r="14" spans="1:16" x14ac:dyDescent="0.15">
      <c r="I14" t="s">
        <v>27</v>
      </c>
      <c r="J14" t="s">
        <v>28</v>
      </c>
      <c r="M14" t="s">
        <v>263</v>
      </c>
      <c r="N14" t="s">
        <v>263</v>
      </c>
      <c r="O14" t="s">
        <v>263</v>
      </c>
      <c r="P14" t="s">
        <v>263</v>
      </c>
    </row>
    <row r="15" spans="1:16" x14ac:dyDescent="0.15">
      <c r="I15" t="s">
        <v>29</v>
      </c>
      <c r="J15" t="s">
        <v>30</v>
      </c>
      <c r="M15" t="s">
        <v>266</v>
      </c>
      <c r="N15" t="s">
        <v>266</v>
      </c>
      <c r="O15" t="s">
        <v>266</v>
      </c>
      <c r="P15" t="s">
        <v>266</v>
      </c>
    </row>
    <row r="16" spans="1:16" x14ac:dyDescent="0.15">
      <c r="I16" t="s">
        <v>31</v>
      </c>
      <c r="J16" t="s">
        <v>32</v>
      </c>
      <c r="M16" t="s">
        <v>269</v>
      </c>
      <c r="N16" t="s">
        <v>269</v>
      </c>
      <c r="O16" t="s">
        <v>269</v>
      </c>
      <c r="P16" t="s">
        <v>269</v>
      </c>
    </row>
    <row r="17" spans="9:16" x14ac:dyDescent="0.15">
      <c r="I17" t="s">
        <v>33</v>
      </c>
      <c r="J17" t="s">
        <v>34</v>
      </c>
      <c r="M17" t="s">
        <v>272</v>
      </c>
      <c r="N17" t="s">
        <v>272</v>
      </c>
      <c r="O17" t="s">
        <v>272</v>
      </c>
      <c r="P17" t="s">
        <v>272</v>
      </c>
    </row>
    <row r="18" spans="9:16" x14ac:dyDescent="0.15">
      <c r="I18" t="s">
        <v>35</v>
      </c>
      <c r="J18" t="s">
        <v>36</v>
      </c>
      <c r="M18" t="s">
        <v>275</v>
      </c>
      <c r="N18" t="s">
        <v>275</v>
      </c>
      <c r="O18" t="s">
        <v>275</v>
      </c>
      <c r="P18" t="s">
        <v>275</v>
      </c>
    </row>
    <row r="19" spans="9:16" x14ac:dyDescent="0.15">
      <c r="I19" t="s">
        <v>37</v>
      </c>
      <c r="J19" t="s">
        <v>38</v>
      </c>
      <c r="M19" t="s">
        <v>278</v>
      </c>
      <c r="N19" t="s">
        <v>278</v>
      </c>
      <c r="O19" t="s">
        <v>278</v>
      </c>
      <c r="P19" t="s">
        <v>278</v>
      </c>
    </row>
    <row r="20" spans="9:16" x14ac:dyDescent="0.15">
      <c r="I20" t="s">
        <v>39</v>
      </c>
      <c r="J20" t="s">
        <v>40</v>
      </c>
      <c r="M20" t="s">
        <v>281</v>
      </c>
      <c r="N20" t="s">
        <v>281</v>
      </c>
      <c r="O20" t="s">
        <v>281</v>
      </c>
      <c r="P20" t="s">
        <v>281</v>
      </c>
    </row>
    <row r="21" spans="9:16" x14ac:dyDescent="0.15">
      <c r="I21" t="s">
        <v>41</v>
      </c>
      <c r="J21" t="s">
        <v>42</v>
      </c>
      <c r="M21" t="s">
        <v>284</v>
      </c>
      <c r="N21" t="s">
        <v>284</v>
      </c>
      <c r="O21" t="s">
        <v>284</v>
      </c>
      <c r="P21" t="s">
        <v>284</v>
      </c>
    </row>
    <row r="22" spans="9:16" x14ac:dyDescent="0.15">
      <c r="I22" t="s">
        <v>43</v>
      </c>
      <c r="J22" t="s">
        <v>44</v>
      </c>
      <c r="M22" t="s">
        <v>287</v>
      </c>
      <c r="N22" t="s">
        <v>287</v>
      </c>
      <c r="O22" t="s">
        <v>287</v>
      </c>
      <c r="P22" t="s">
        <v>287</v>
      </c>
    </row>
    <row r="23" spans="9:16" x14ac:dyDescent="0.15">
      <c r="I23" t="s">
        <v>45</v>
      </c>
      <c r="J23" t="s">
        <v>46</v>
      </c>
      <c r="M23" t="s">
        <v>290</v>
      </c>
      <c r="N23" t="s">
        <v>290</v>
      </c>
      <c r="O23" t="s">
        <v>290</v>
      </c>
      <c r="P23" t="s">
        <v>290</v>
      </c>
    </row>
    <row r="24" spans="9:16" x14ac:dyDescent="0.15">
      <c r="I24" t="s">
        <v>47</v>
      </c>
      <c r="J24" t="s">
        <v>48</v>
      </c>
      <c r="M24" t="s">
        <v>293</v>
      </c>
      <c r="N24" t="s">
        <v>293</v>
      </c>
      <c r="O24" t="s">
        <v>293</v>
      </c>
      <c r="P24" t="s">
        <v>293</v>
      </c>
    </row>
    <row r="25" spans="9:16" x14ac:dyDescent="0.15">
      <c r="I25" t="s">
        <v>49</v>
      </c>
      <c r="J25" t="s">
        <v>50</v>
      </c>
      <c r="M25" t="s">
        <v>296</v>
      </c>
      <c r="N25" t="s">
        <v>296</v>
      </c>
      <c r="O25" t="s">
        <v>296</v>
      </c>
      <c r="P25" t="s">
        <v>296</v>
      </c>
    </row>
    <row r="26" spans="9:16" x14ac:dyDescent="0.15">
      <c r="I26" t="s">
        <v>51</v>
      </c>
      <c r="J26" t="s">
        <v>52</v>
      </c>
      <c r="M26" t="s">
        <v>300</v>
      </c>
      <c r="N26" t="s">
        <v>300</v>
      </c>
      <c r="O26" t="s">
        <v>300</v>
      </c>
      <c r="P26" t="s">
        <v>300</v>
      </c>
    </row>
    <row r="27" spans="9:16" x14ac:dyDescent="0.15">
      <c r="I27" t="s">
        <v>53</v>
      </c>
      <c r="J27" t="s">
        <v>54</v>
      </c>
      <c r="M27" t="s">
        <v>303</v>
      </c>
      <c r="N27" t="s">
        <v>303</v>
      </c>
      <c r="O27" t="s">
        <v>303</v>
      </c>
      <c r="P27" t="s">
        <v>303</v>
      </c>
    </row>
    <row r="28" spans="9:16" x14ac:dyDescent="0.15">
      <c r="I28" t="s">
        <v>55</v>
      </c>
      <c r="J28" t="s">
        <v>56</v>
      </c>
      <c r="M28" t="s">
        <v>306</v>
      </c>
      <c r="N28" t="s">
        <v>306</v>
      </c>
      <c r="O28" t="s">
        <v>306</v>
      </c>
      <c r="P28" t="s">
        <v>306</v>
      </c>
    </row>
    <row r="29" spans="9:16" x14ac:dyDescent="0.15">
      <c r="I29" t="s">
        <v>57</v>
      </c>
      <c r="J29" t="s">
        <v>58</v>
      </c>
      <c r="M29" t="s">
        <v>309</v>
      </c>
      <c r="N29" t="s">
        <v>309</v>
      </c>
      <c r="O29" t="s">
        <v>309</v>
      </c>
      <c r="P29" t="s">
        <v>309</v>
      </c>
    </row>
    <row r="30" spans="9:16" x14ac:dyDescent="0.15">
      <c r="I30" t="s">
        <v>59</v>
      </c>
      <c r="J30" t="s">
        <v>60</v>
      </c>
      <c r="M30" t="s">
        <v>312</v>
      </c>
      <c r="N30" t="s">
        <v>312</v>
      </c>
      <c r="O30" t="s">
        <v>312</v>
      </c>
      <c r="P30" t="s">
        <v>312</v>
      </c>
    </row>
    <row r="31" spans="9:16" x14ac:dyDescent="0.15">
      <c r="I31" t="s">
        <v>61</v>
      </c>
      <c r="J31" t="s">
        <v>62</v>
      </c>
      <c r="M31" t="s">
        <v>315</v>
      </c>
      <c r="N31" t="s">
        <v>315</v>
      </c>
      <c r="O31" t="s">
        <v>315</v>
      </c>
      <c r="P31" t="s">
        <v>315</v>
      </c>
    </row>
    <row r="32" spans="9:16" x14ac:dyDescent="0.15">
      <c r="I32" t="s">
        <v>63</v>
      </c>
      <c r="J32" t="s">
        <v>64</v>
      </c>
      <c r="M32" t="s">
        <v>318</v>
      </c>
      <c r="N32" t="s">
        <v>318</v>
      </c>
      <c r="O32" t="s">
        <v>318</v>
      </c>
      <c r="P32" t="s">
        <v>318</v>
      </c>
    </row>
    <row r="33" spans="9:16" x14ac:dyDescent="0.15">
      <c r="I33" t="s">
        <v>65</v>
      </c>
      <c r="J33" t="s">
        <v>66</v>
      </c>
      <c r="M33" t="s">
        <v>321</v>
      </c>
      <c r="N33" t="s">
        <v>321</v>
      </c>
      <c r="O33" t="s">
        <v>321</v>
      </c>
      <c r="P33" t="s">
        <v>321</v>
      </c>
    </row>
    <row r="34" spans="9:16" x14ac:dyDescent="0.15">
      <c r="I34" t="s">
        <v>67</v>
      </c>
      <c r="J34" t="s">
        <v>68</v>
      </c>
      <c r="M34" t="s">
        <v>324</v>
      </c>
      <c r="N34" t="s">
        <v>324</v>
      </c>
      <c r="O34" t="s">
        <v>324</v>
      </c>
      <c r="P34" t="s">
        <v>324</v>
      </c>
    </row>
    <row r="35" spans="9:16" x14ac:dyDescent="0.15">
      <c r="I35" t="s">
        <v>69</v>
      </c>
      <c r="J35" t="s">
        <v>70</v>
      </c>
      <c r="M35" t="s">
        <v>327</v>
      </c>
      <c r="N35" t="s">
        <v>327</v>
      </c>
      <c r="O35" t="s">
        <v>327</v>
      </c>
      <c r="P35" t="s">
        <v>327</v>
      </c>
    </row>
    <row r="36" spans="9:16" x14ac:dyDescent="0.15">
      <c r="I36" t="s">
        <v>71</v>
      </c>
      <c r="J36" t="s">
        <v>72</v>
      </c>
      <c r="M36" t="s">
        <v>330</v>
      </c>
      <c r="N36" t="s">
        <v>330</v>
      </c>
      <c r="O36" t="s">
        <v>330</v>
      </c>
      <c r="P36" t="s">
        <v>330</v>
      </c>
    </row>
    <row r="37" spans="9:16" x14ac:dyDescent="0.15">
      <c r="I37" t="s">
        <v>73</v>
      </c>
      <c r="J37" t="s">
        <v>74</v>
      </c>
      <c r="M37" t="s">
        <v>333</v>
      </c>
      <c r="N37" t="s">
        <v>333</v>
      </c>
      <c r="O37" t="s">
        <v>333</v>
      </c>
      <c r="P37" t="s">
        <v>333</v>
      </c>
    </row>
    <row r="38" spans="9:16" x14ac:dyDescent="0.15">
      <c r="I38" t="s">
        <v>75</v>
      </c>
      <c r="J38" t="s">
        <v>76</v>
      </c>
      <c r="M38" t="s">
        <v>336</v>
      </c>
      <c r="N38" t="s">
        <v>336</v>
      </c>
      <c r="O38" t="s">
        <v>336</v>
      </c>
      <c r="P38" t="s">
        <v>336</v>
      </c>
    </row>
    <row r="39" spans="9:16" x14ac:dyDescent="0.15">
      <c r="I39" t="s">
        <v>77</v>
      </c>
      <c r="J39" t="s">
        <v>78</v>
      </c>
      <c r="M39" t="s">
        <v>339</v>
      </c>
      <c r="N39" t="s">
        <v>339</v>
      </c>
      <c r="O39" t="s">
        <v>339</v>
      </c>
      <c r="P39" t="s">
        <v>339</v>
      </c>
    </row>
    <row r="40" spans="9:16" x14ac:dyDescent="0.15">
      <c r="M40" t="s">
        <v>342</v>
      </c>
      <c r="N40" t="s">
        <v>342</v>
      </c>
      <c r="O40" t="s">
        <v>342</v>
      </c>
      <c r="P40" t="s">
        <v>342</v>
      </c>
    </row>
    <row r="41" spans="9:16" x14ac:dyDescent="0.15">
      <c r="M41" t="s">
        <v>345</v>
      </c>
      <c r="N41" t="s">
        <v>345</v>
      </c>
      <c r="O41" t="s">
        <v>345</v>
      </c>
      <c r="P41" t="s">
        <v>345</v>
      </c>
    </row>
    <row r="42" spans="9:16" x14ac:dyDescent="0.15">
      <c r="M42" t="s">
        <v>348</v>
      </c>
      <c r="N42" t="s">
        <v>348</v>
      </c>
      <c r="O42" t="s">
        <v>348</v>
      </c>
      <c r="P42" t="s">
        <v>348</v>
      </c>
    </row>
    <row r="43" spans="9:16" x14ac:dyDescent="0.15">
      <c r="M43" t="s">
        <v>351</v>
      </c>
      <c r="N43" t="s">
        <v>351</v>
      </c>
      <c r="O43" t="s">
        <v>351</v>
      </c>
      <c r="P43" t="s">
        <v>351</v>
      </c>
    </row>
    <row r="44" spans="9:16" x14ac:dyDescent="0.15">
      <c r="M44" t="s">
        <v>354</v>
      </c>
      <c r="N44" t="s">
        <v>354</v>
      </c>
      <c r="O44" t="s">
        <v>354</v>
      </c>
      <c r="P44" t="s">
        <v>354</v>
      </c>
    </row>
    <row r="45" spans="9:16" x14ac:dyDescent="0.15">
      <c r="M45" t="s">
        <v>357</v>
      </c>
      <c r="N45" t="s">
        <v>357</v>
      </c>
      <c r="O45" t="s">
        <v>357</v>
      </c>
      <c r="P45" t="s">
        <v>357</v>
      </c>
    </row>
    <row r="46" spans="9:16" x14ac:dyDescent="0.15">
      <c r="M46" t="s">
        <v>360</v>
      </c>
      <c r="N46" t="s">
        <v>360</v>
      </c>
      <c r="O46" t="s">
        <v>360</v>
      </c>
      <c r="P46" t="s">
        <v>360</v>
      </c>
    </row>
    <row r="47" spans="9:16" x14ac:dyDescent="0.15">
      <c r="M47" t="s">
        <v>363</v>
      </c>
      <c r="N47" t="s">
        <v>363</v>
      </c>
      <c r="O47" t="s">
        <v>363</v>
      </c>
      <c r="P47" t="s">
        <v>363</v>
      </c>
    </row>
    <row r="48" spans="9:16" x14ac:dyDescent="0.15">
      <c r="M48" t="s">
        <v>366</v>
      </c>
      <c r="N48" t="s">
        <v>366</v>
      </c>
      <c r="O48" t="s">
        <v>366</v>
      </c>
      <c r="P48" t="s">
        <v>366</v>
      </c>
    </row>
    <row r="49" spans="13:16" x14ac:dyDescent="0.15">
      <c r="M49" t="s">
        <v>369</v>
      </c>
      <c r="N49" t="s">
        <v>369</v>
      </c>
      <c r="O49" t="s">
        <v>369</v>
      </c>
      <c r="P49" t="s">
        <v>369</v>
      </c>
    </row>
    <row r="50" spans="13:16" x14ac:dyDescent="0.15">
      <c r="M50" t="s">
        <v>373</v>
      </c>
      <c r="N50" t="s">
        <v>373</v>
      </c>
      <c r="O50" t="s">
        <v>373</v>
      </c>
      <c r="P50" t="s">
        <v>373</v>
      </c>
    </row>
    <row r="51" spans="13:16" x14ac:dyDescent="0.15">
      <c r="M51" t="s">
        <v>376</v>
      </c>
      <c r="N51" t="s">
        <v>376</v>
      </c>
      <c r="O51" t="s">
        <v>376</v>
      </c>
      <c r="P51" t="s">
        <v>376</v>
      </c>
    </row>
    <row r="52" spans="13:16" x14ac:dyDescent="0.15">
      <c r="M52" t="s">
        <v>379</v>
      </c>
      <c r="N52" t="s">
        <v>379</v>
      </c>
      <c r="O52" t="s">
        <v>379</v>
      </c>
      <c r="P52" t="s">
        <v>379</v>
      </c>
    </row>
    <row r="53" spans="13:16" x14ac:dyDescent="0.15">
      <c r="M53" t="s">
        <v>383</v>
      </c>
      <c r="N53" t="s">
        <v>383</v>
      </c>
      <c r="O53" t="s">
        <v>383</v>
      </c>
      <c r="P53" t="s">
        <v>383</v>
      </c>
    </row>
    <row r="54" spans="13:16" x14ac:dyDescent="0.15">
      <c r="M54" t="s">
        <v>386</v>
      </c>
      <c r="N54" t="s">
        <v>386</v>
      </c>
      <c r="O54" t="s">
        <v>386</v>
      </c>
      <c r="P54" t="s">
        <v>386</v>
      </c>
    </row>
    <row r="55" spans="13:16" x14ac:dyDescent="0.15">
      <c r="M55" t="s">
        <v>389</v>
      </c>
      <c r="N55" t="s">
        <v>389</v>
      </c>
      <c r="O55" t="s">
        <v>389</v>
      </c>
      <c r="P55" t="s">
        <v>389</v>
      </c>
    </row>
    <row r="56" spans="13:16" x14ac:dyDescent="0.15">
      <c r="M56" t="s">
        <v>392</v>
      </c>
      <c r="N56" t="s">
        <v>392</v>
      </c>
      <c r="O56" t="s">
        <v>392</v>
      </c>
      <c r="P56" t="s">
        <v>392</v>
      </c>
    </row>
    <row r="57" spans="13:16" x14ac:dyDescent="0.15">
      <c r="M57" t="s">
        <v>395</v>
      </c>
      <c r="N57" t="s">
        <v>395</v>
      </c>
      <c r="O57" t="s">
        <v>395</v>
      </c>
      <c r="P57" t="s">
        <v>395</v>
      </c>
    </row>
    <row r="58" spans="13:16" x14ac:dyDescent="0.15">
      <c r="M58" t="s">
        <v>398</v>
      </c>
      <c r="N58" t="s">
        <v>398</v>
      </c>
      <c r="O58" t="s">
        <v>398</v>
      </c>
      <c r="P58" t="s">
        <v>398</v>
      </c>
    </row>
  </sheetData>
  <phoneticPr fontId="2" type="noConversion"/>
  <conditionalFormatting sqref="B2">
    <cfRule type="expression" dxfId="81" priority="1">
      <formula>ISNA(MATCH(B2,OFFSET(M:M,2,MATCH(B1,M1:ZZ1,0)-1,COUNTA(INDEX(M:ZZ,,MATCH(B1,M1:ZZ1,0)))-2),0))</formula>
    </cfRule>
  </conditionalFormatting>
  <conditionalFormatting sqref="B4 D4 B5 D5 B6 D6 B7 D7 B8 D8 B9 D9">
    <cfRule type="expression" dxfId="80"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349"/>
  <sheetViews>
    <sheetView workbookViewId="0">
      <pane xSplit="2" ySplit="4" topLeftCell="C5" activePane="bottomRight" state="frozen"/>
      <selection pane="topRight" activeCell="C1" sqref="C1"/>
      <selection pane="bottomLeft" activeCell="A5" sqref="A5"/>
      <selection pane="bottomRight"/>
    </sheetView>
  </sheetViews>
  <sheetFormatPr defaultRowHeight="13.5" outlineLevelRow="2" x14ac:dyDescent="0.15"/>
  <cols>
    <col min="1" max="1" width="9.125"/>
    <col min="2" max="2" width="24.625" customWidth="1"/>
    <col min="3" max="3" width="9.125"/>
    <col min="4" max="5" width="10.625" customWidth="1"/>
    <col min="6" max="7" width="9.125"/>
    <col min="8" max="8" width="1.625" customWidth="1"/>
    <col min="9" max="9" width="9.125"/>
    <col min="10" max="12" width="10.625" customWidth="1"/>
    <col min="13" max="13" width="11.625" customWidth="1"/>
    <col min="14" max="14" width="12.625" customWidth="1"/>
    <col min="15" max="15" width="10.625" customWidth="1"/>
    <col min="16" max="19" width="12.625" customWidth="1"/>
    <col min="20" max="23" width="11.625" customWidth="1"/>
    <col min="24" max="25" width="9.125"/>
    <col min="26" max="26" width="1.625" customWidth="1"/>
    <col min="27" max="27" width="9.125"/>
    <col min="28" max="30" width="10.625" customWidth="1"/>
    <col min="31" max="31" width="11.625" customWidth="1"/>
    <col min="32" max="32" width="12.625" customWidth="1"/>
    <col min="33" max="33" width="10.625" customWidth="1"/>
    <col min="34" max="37" width="12.625" customWidth="1"/>
    <col min="38" max="41" width="11.625" customWidth="1"/>
    <col min="42" max="43" width="9.125"/>
    <col min="44" max="44" width="1.625" customWidth="1"/>
    <col min="45" max="46" width="9.125"/>
    <col min="47" max="47" width="1.625" customWidth="1"/>
    <col min="48" max="51" width="11.625" customWidth="1"/>
    <col min="52" max="52" width="1.625" customWidth="1"/>
    <col min="53" max="56" width="11.625" customWidth="1"/>
    <col min="57" max="57" width="1.625" customWidth="1"/>
  </cols>
  <sheetData>
    <row r="1" spans="1:56" x14ac:dyDescent="0.15">
      <c r="A1" s="90" t="s">
        <v>218</v>
      </c>
      <c r="B1" s="90"/>
      <c r="C1" s="90"/>
      <c r="D1" s="90"/>
      <c r="E1" s="90"/>
      <c r="F1" s="90"/>
      <c r="G1" s="90"/>
      <c r="I1" s="86" t="s">
        <v>990</v>
      </c>
      <c r="J1" s="86"/>
      <c r="K1" s="86"/>
      <c r="L1" s="86"/>
      <c r="M1" s="86"/>
      <c r="N1" s="86"/>
      <c r="O1" s="86"/>
      <c r="P1" s="86"/>
      <c r="Q1" s="86"/>
      <c r="R1" s="86"/>
      <c r="S1" s="86"/>
      <c r="T1" s="86"/>
      <c r="U1" s="86"/>
      <c r="V1" s="86"/>
      <c r="W1" s="86"/>
      <c r="X1" s="86"/>
      <c r="Y1" s="86"/>
      <c r="AA1" s="87" t="s">
        <v>991</v>
      </c>
      <c r="AB1" s="87"/>
      <c r="AC1" s="87"/>
      <c r="AD1" s="87"/>
      <c r="AE1" s="87"/>
      <c r="AF1" s="87"/>
      <c r="AG1" s="87"/>
      <c r="AH1" s="87"/>
      <c r="AI1" s="87"/>
      <c r="AJ1" s="87"/>
      <c r="AK1" s="87"/>
      <c r="AL1" s="87"/>
      <c r="AM1" s="87"/>
      <c r="AN1" s="87"/>
      <c r="AO1" s="87"/>
      <c r="AP1" s="87"/>
      <c r="AQ1" s="87"/>
    </row>
    <row r="2" spans="1:56" ht="30" customHeight="1" x14ac:dyDescent="0.15">
      <c r="A2" s="92" t="s">
        <v>91</v>
      </c>
      <c r="B2" s="91" t="s">
        <v>94</v>
      </c>
      <c r="C2" s="92" t="s">
        <v>97</v>
      </c>
      <c r="D2" s="91" t="s">
        <v>100</v>
      </c>
      <c r="E2" s="92" t="s">
        <v>103</v>
      </c>
      <c r="F2" s="91" t="s">
        <v>106</v>
      </c>
      <c r="G2" s="92" t="s">
        <v>109</v>
      </c>
      <c r="I2" s="91" t="s">
        <v>112</v>
      </c>
      <c r="J2" s="89" t="s">
        <v>115</v>
      </c>
      <c r="K2" s="89"/>
      <c r="L2" s="89"/>
      <c r="M2" s="89"/>
      <c r="N2" s="91" t="s">
        <v>128</v>
      </c>
      <c r="O2" s="92" t="s">
        <v>22</v>
      </c>
      <c r="P2" s="88" t="s">
        <v>133</v>
      </c>
      <c r="Q2" s="88"/>
      <c r="R2" s="88"/>
      <c r="S2" s="88"/>
      <c r="T2" s="89" t="s">
        <v>143</v>
      </c>
      <c r="U2" s="89"/>
      <c r="V2" s="89"/>
      <c r="W2" s="89"/>
      <c r="X2" s="91" t="s">
        <v>155</v>
      </c>
      <c r="Y2" s="92" t="s">
        <v>158</v>
      </c>
      <c r="AA2" s="91" t="s">
        <v>112</v>
      </c>
      <c r="AB2" s="89" t="s">
        <v>115</v>
      </c>
      <c r="AC2" s="89"/>
      <c r="AD2" s="89"/>
      <c r="AE2" s="89"/>
      <c r="AF2" s="91" t="s">
        <v>128</v>
      </c>
      <c r="AG2" s="92" t="s">
        <v>22</v>
      </c>
      <c r="AH2" s="88" t="s">
        <v>133</v>
      </c>
      <c r="AI2" s="88"/>
      <c r="AJ2" s="88"/>
      <c r="AK2" s="88"/>
      <c r="AL2" s="89" t="s">
        <v>143</v>
      </c>
      <c r="AM2" s="89"/>
      <c r="AN2" s="89"/>
      <c r="AO2" s="89"/>
      <c r="AP2" s="91" t="s">
        <v>155</v>
      </c>
      <c r="AQ2" s="92" t="s">
        <v>158</v>
      </c>
      <c r="AS2" s="91" t="s">
        <v>195</v>
      </c>
      <c r="AT2" s="92" t="s">
        <v>195</v>
      </c>
      <c r="AV2" s="88" t="s">
        <v>200</v>
      </c>
      <c r="AW2" s="88"/>
      <c r="AX2" s="88"/>
      <c r="AY2" s="88"/>
      <c r="BA2" s="89" t="s">
        <v>209</v>
      </c>
      <c r="BB2" s="89"/>
      <c r="BC2" s="89"/>
      <c r="BD2" s="89"/>
    </row>
    <row r="3" spans="1:56" ht="27" x14ac:dyDescent="0.15">
      <c r="A3" s="92"/>
      <c r="B3" s="91"/>
      <c r="C3" s="92"/>
      <c r="D3" s="91"/>
      <c r="E3" s="92"/>
      <c r="F3" s="91"/>
      <c r="G3" s="92"/>
      <c r="I3" s="91"/>
      <c r="J3" s="12" t="s">
        <v>116</v>
      </c>
      <c r="K3" s="12" t="s">
        <v>119</v>
      </c>
      <c r="L3" s="12" t="s">
        <v>122</v>
      </c>
      <c r="M3" s="12" t="s">
        <v>125</v>
      </c>
      <c r="N3" s="91"/>
      <c r="O3" s="92"/>
      <c r="P3" s="13" t="s">
        <v>116</v>
      </c>
      <c r="Q3" s="13" t="s">
        <v>119</v>
      </c>
      <c r="R3" s="13" t="s">
        <v>138</v>
      </c>
      <c r="S3" s="13" t="s">
        <v>125</v>
      </c>
      <c r="T3" s="12" t="s">
        <v>144</v>
      </c>
      <c r="U3" s="12" t="s">
        <v>147</v>
      </c>
      <c r="V3" s="12" t="s">
        <v>150</v>
      </c>
      <c r="W3" s="12" t="s">
        <v>125</v>
      </c>
      <c r="X3" s="91"/>
      <c r="Y3" s="92"/>
      <c r="AA3" s="91"/>
      <c r="AB3" s="12" t="s">
        <v>116</v>
      </c>
      <c r="AC3" s="12" t="s">
        <v>119</v>
      </c>
      <c r="AD3" s="12" t="s">
        <v>122</v>
      </c>
      <c r="AE3" s="12" t="s">
        <v>125</v>
      </c>
      <c r="AF3" s="91"/>
      <c r="AG3" s="92"/>
      <c r="AH3" s="13" t="s">
        <v>116</v>
      </c>
      <c r="AI3" s="13" t="s">
        <v>119</v>
      </c>
      <c r="AJ3" s="13" t="s">
        <v>138</v>
      </c>
      <c r="AK3" s="13" t="s">
        <v>125</v>
      </c>
      <c r="AL3" s="12" t="s">
        <v>144</v>
      </c>
      <c r="AM3" s="12" t="s">
        <v>147</v>
      </c>
      <c r="AN3" s="12" t="s">
        <v>150</v>
      </c>
      <c r="AO3" s="12" t="s">
        <v>125</v>
      </c>
      <c r="AP3" s="91"/>
      <c r="AQ3" s="92"/>
      <c r="AS3" s="91"/>
      <c r="AT3" s="92"/>
      <c r="AV3" s="13" t="s">
        <v>144</v>
      </c>
      <c r="AW3" s="13" t="s">
        <v>147</v>
      </c>
      <c r="AX3" s="13" t="s">
        <v>150</v>
      </c>
      <c r="AY3" s="13" t="s">
        <v>125</v>
      </c>
      <c r="BA3" s="12" t="s">
        <v>144</v>
      </c>
      <c r="BB3" s="12" t="s">
        <v>147</v>
      </c>
      <c r="BC3" s="12" t="s">
        <v>150</v>
      </c>
      <c r="BD3" s="12" t="s">
        <v>125</v>
      </c>
    </row>
    <row r="4" spans="1:56" ht="91.5" hidden="1" x14ac:dyDescent="0.15">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145</v>
      </c>
      <c r="U4" s="14" t="s">
        <v>148</v>
      </c>
      <c r="V4" s="14" t="s">
        <v>151</v>
      </c>
      <c r="W4" s="14" t="s">
        <v>153</v>
      </c>
      <c r="X4" s="15" t="s">
        <v>156</v>
      </c>
      <c r="Y4" s="14" t="s">
        <v>159</v>
      </c>
      <c r="AA4" s="15" t="s">
        <v>161</v>
      </c>
      <c r="AB4" s="14" t="s">
        <v>163</v>
      </c>
      <c r="AC4" s="14" t="s">
        <v>165</v>
      </c>
      <c r="AD4" s="14" t="s">
        <v>167</v>
      </c>
      <c r="AE4" s="14" t="s">
        <v>169</v>
      </c>
      <c r="AF4" s="15" t="s">
        <v>171</v>
      </c>
      <c r="AG4" s="14" t="s">
        <v>173</v>
      </c>
      <c r="AH4" s="15" t="s">
        <v>175</v>
      </c>
      <c r="AI4" s="15" t="s">
        <v>177</v>
      </c>
      <c r="AJ4" s="15" t="s">
        <v>179</v>
      </c>
      <c r="AK4" s="15" t="s">
        <v>181</v>
      </c>
      <c r="AL4" s="14" t="s">
        <v>183</v>
      </c>
      <c r="AM4" s="14" t="s">
        <v>185</v>
      </c>
      <c r="AN4" s="14" t="s">
        <v>187</v>
      </c>
      <c r="AO4" s="14" t="s">
        <v>189</v>
      </c>
      <c r="AP4" s="15" t="s">
        <v>191</v>
      </c>
      <c r="AQ4" s="14" t="s">
        <v>193</v>
      </c>
      <c r="AS4" s="15" t="s">
        <v>196</v>
      </c>
      <c r="AT4" s="14" t="s">
        <v>198</v>
      </c>
      <c r="AV4" s="15" t="s">
        <v>201</v>
      </c>
      <c r="AW4" s="15" t="s">
        <v>203</v>
      </c>
      <c r="AX4" s="15" t="s">
        <v>205</v>
      </c>
      <c r="AY4" s="15" t="s">
        <v>207</v>
      </c>
      <c r="BA4" s="14" t="s">
        <v>210</v>
      </c>
      <c r="BB4" s="14" t="s">
        <v>212</v>
      </c>
      <c r="BC4" s="14" t="s">
        <v>214</v>
      </c>
      <c r="BD4" s="14" t="s">
        <v>216</v>
      </c>
    </row>
    <row r="5" spans="1:56" collapsed="1" x14ac:dyDescent="0.15">
      <c r="A5" s="16" t="s">
        <v>224</v>
      </c>
      <c r="B5" s="16" t="s">
        <v>223</v>
      </c>
      <c r="C5" s="17" t="s">
        <v>225</v>
      </c>
      <c r="D5" s="16">
        <v>2925514</v>
      </c>
      <c r="E5" s="18">
        <v>11</v>
      </c>
      <c r="F5" s="17">
        <v>1</v>
      </c>
      <c r="G5" s="17"/>
      <c r="I5" s="19" t="str">
        <f t="shared" ref="I5:I68" si="0">IF(OR(ISBLANK(P5),ISBLANK(G5)),"·",P5*G5/F5/1000000)</f>
        <v>·</v>
      </c>
      <c r="J5" s="20">
        <f t="shared" ref="J5:J68" si="1">IF(ISBLANK(P5),"·",P5/D5)</f>
        <v>0.90965485039552019</v>
      </c>
      <c r="K5" s="20">
        <f t="shared" ref="K5:K68" si="2">IF(Q5="","·",Q5/D5)</f>
        <v>0.89312715645865992</v>
      </c>
      <c r="L5" s="20">
        <f t="shared" ref="L5:L68" si="3">IF(ISBLANK(R5),"·",R5/D5)</f>
        <v>1.6207750159459158E-2</v>
      </c>
      <c r="M5" s="21"/>
      <c r="N5" s="20">
        <f t="shared" ref="N5:N68" si="4">IF(ISBLANK(P5),"·",P5/O5)</f>
        <v>0.90965485039552019</v>
      </c>
      <c r="O5" s="22">
        <v>2925514</v>
      </c>
      <c r="P5" s="23">
        <v>2661208</v>
      </c>
      <c r="Q5" s="23">
        <v>2612856</v>
      </c>
      <c r="R5" s="23">
        <v>47416</v>
      </c>
      <c r="S5" s="24"/>
      <c r="T5" s="25">
        <v>32.659999999999997</v>
      </c>
      <c r="U5" s="25">
        <v>40.288200000000003</v>
      </c>
      <c r="V5" s="25">
        <v>45.015000000000001</v>
      </c>
      <c r="W5" s="26"/>
      <c r="X5" s="27"/>
      <c r="Y5" s="27"/>
      <c r="AA5" s="19" t="str">
        <f t="shared" ref="AA5:AA68" si="5">IF(OR(ISBLANK(AH5),ISBLANK(G5)),"·",AH5*G5/F5/1000000)</f>
        <v>·</v>
      </c>
      <c r="AB5" s="20">
        <f t="shared" ref="AB5:AB68" si="6">IF(ISBLANK(AH5),"·",AH5/D5)</f>
        <v>0.90247935918269406</v>
      </c>
      <c r="AC5" s="20">
        <f t="shared" ref="AC5:AC68" si="7">IF(AI5="","·",AI5/D5)</f>
        <v>0.89312715645865992</v>
      </c>
      <c r="AD5" s="20">
        <f t="shared" ref="AD5:AD68" si="8">IF(ISBLANK(AJ5),"·",AJ5/D5)</f>
        <v>9.0349935088329773E-3</v>
      </c>
      <c r="AE5" s="21"/>
      <c r="AF5" s="20">
        <f t="shared" ref="AF5:AF68" si="9">IF(ISBLANK(AH5),"·",AH5/AG5)</f>
        <v>0.90247935918269406</v>
      </c>
      <c r="AG5" s="22">
        <v>2925514</v>
      </c>
      <c r="AH5" s="23">
        <v>2640216</v>
      </c>
      <c r="AI5" s="23">
        <v>2612856</v>
      </c>
      <c r="AJ5" s="23">
        <v>26432</v>
      </c>
      <c r="AK5" s="24"/>
      <c r="AL5" s="25">
        <v>30.619199999999999</v>
      </c>
      <c r="AM5" s="25">
        <v>40.993200000000002</v>
      </c>
      <c r="AN5" s="25">
        <v>43.162100000000002</v>
      </c>
      <c r="AO5" s="26"/>
      <c r="AP5" s="27"/>
      <c r="AQ5" s="27"/>
      <c r="AS5" s="28">
        <f t="shared" ref="AS5:AS68" si="10">(AI5/AH5) - (Q5/P5)</f>
        <v>7.8064038375904587E-3</v>
      </c>
      <c r="AT5" s="28">
        <f t="array" ref="AT5">AVERAGE(AI5:AI10/AH5:AH10) - AVERAGE(Q5:Q10/P5:P10)</f>
        <v>4.9170846705435145E-2</v>
      </c>
      <c r="AV5" s="29">
        <f>IF( OR(ISBLANK(R5:R10),ISBLANK(AJ5:AJ10), ISBLANK(T5:T10),ISBLANK(AL5:AL10)), "·", bdRateExtend( R5:R10,T5:T10, AJ5:AJ10,AL5:AL10))</f>
        <v>5.0257074932799517E-2</v>
      </c>
      <c r="AW5" s="29">
        <f>IF( OR(ISBLANK(R5:R10),ISBLANK(AJ5:AJ10), ISBLANK(U5:U10),ISBLANK(AM5:AM10)), "·", bdRateExtend( R5:R10,U5:U10, AJ5:AJ10,AM5:AM10))</f>
        <v>9.2546841254801615E-2</v>
      </c>
      <c r="AX5" s="29">
        <f>IF( OR(ISBLANK(R5:R10),ISBLANK(AJ5:AJ10), ISBLANK(V5:V10),ISBLANK(AN5:AN10)), "·", bdRateExtend( R5:R10,V5:V10, AJ5:AJ10,AN5:AN10))</f>
        <v>0.35395776529588674</v>
      </c>
      <c r="AY5" s="30"/>
      <c r="BA5" s="29">
        <f>IF( OR(ISBLANK(P5:P10),ISBLANK(AH5:AH10), ISBLANK(T5:T10),ISBLANK(AL5:AL10)), "·", bdRateExtend( P5:P10,T5:T10, AH5:AH10,AL5:AL10))</f>
        <v>-5.8509588503286025E-4</v>
      </c>
      <c r="BB5" s="29">
        <f>IF( OR(ISBLANK(P5:P10),ISBLANK(AH5:AH10), ISBLANK(U5:U10),ISBLANK(AM5:AM10)), "·", bdRateExtend( P5:P10,U5:U10, AH5:AH10,AM5:AM10))</f>
        <v>1.8816735401056661E-2</v>
      </c>
      <c r="BC5" s="29">
        <f>IF( OR(ISBLANK(P5:P10),ISBLANK(AH5:AH10), ISBLANK(V5:V10),ISBLANK(AN5:AN10)), "·", bdRateExtend( P5:P10,V5:V10, AH5:AH10,AN5:AN10))</f>
        <v>3.4040985479796726E-2</v>
      </c>
      <c r="BD5" s="30"/>
    </row>
    <row r="6" spans="1:56" outlineLevel="1" x14ac:dyDescent="0.15">
      <c r="A6" s="31"/>
      <c r="B6" s="31" t="s">
        <v>223</v>
      </c>
      <c r="C6" s="32" t="s">
        <v>226</v>
      </c>
      <c r="D6" s="31">
        <v>2925514</v>
      </c>
      <c r="E6" s="33">
        <v>11</v>
      </c>
      <c r="F6" s="32">
        <v>1</v>
      </c>
      <c r="G6" s="32"/>
      <c r="I6" s="34" t="str">
        <f t="shared" si="0"/>
        <v>·</v>
      </c>
      <c r="J6" s="35">
        <f t="shared" si="1"/>
        <v>0.92438867152917403</v>
      </c>
      <c r="K6" s="35">
        <f t="shared" si="2"/>
        <v>0.89312715645865992</v>
      </c>
      <c r="L6" s="35">
        <f t="shared" si="3"/>
        <v>3.0941571293112938E-2</v>
      </c>
      <c r="M6" s="36"/>
      <c r="N6" s="35">
        <f t="shared" si="4"/>
        <v>0.92438867152917403</v>
      </c>
      <c r="O6" s="37">
        <v>2925514</v>
      </c>
      <c r="P6" s="38">
        <v>2704312</v>
      </c>
      <c r="Q6" s="38">
        <v>2612856</v>
      </c>
      <c r="R6" s="38">
        <v>90520</v>
      </c>
      <c r="S6" s="39"/>
      <c r="T6" s="40">
        <v>35.179499999999997</v>
      </c>
      <c r="U6" s="40">
        <v>42.851300000000002</v>
      </c>
      <c r="V6" s="40">
        <v>46.491300000000003</v>
      </c>
      <c r="W6" s="41"/>
      <c r="X6" s="42"/>
      <c r="Y6" s="42"/>
      <c r="AA6" s="34" t="str">
        <f t="shared" si="5"/>
        <v>·</v>
      </c>
      <c r="AB6" s="35">
        <f t="shared" si="6"/>
        <v>0.91147606882072685</v>
      </c>
      <c r="AC6" s="35">
        <f t="shared" si="7"/>
        <v>0.89312715645865992</v>
      </c>
      <c r="AD6" s="35">
        <f t="shared" si="8"/>
        <v>1.8031703146865814E-2</v>
      </c>
      <c r="AE6" s="36"/>
      <c r="AF6" s="35">
        <f t="shared" si="9"/>
        <v>0.91147606882072685</v>
      </c>
      <c r="AG6" s="37">
        <v>2925514</v>
      </c>
      <c r="AH6" s="38">
        <v>2666536</v>
      </c>
      <c r="AI6" s="38">
        <v>2612856</v>
      </c>
      <c r="AJ6" s="38">
        <v>52752</v>
      </c>
      <c r="AK6" s="39"/>
      <c r="AL6" s="40">
        <v>32.867600000000003</v>
      </c>
      <c r="AM6" s="40">
        <v>41.884300000000003</v>
      </c>
      <c r="AN6" s="40">
        <v>44.823900000000002</v>
      </c>
      <c r="AO6" s="41"/>
      <c r="AP6" s="42"/>
      <c r="AQ6" s="42"/>
      <c r="AS6" s="43">
        <f t="shared" si="10"/>
        <v>1.3687596644566424E-2</v>
      </c>
      <c r="AT6" s="43"/>
      <c r="AV6" s="44"/>
      <c r="AW6" s="44"/>
      <c r="AX6" s="44"/>
      <c r="AY6" s="45"/>
      <c r="BA6" s="44"/>
      <c r="BB6" s="44"/>
      <c r="BC6" s="44"/>
      <c r="BD6" s="45"/>
    </row>
    <row r="7" spans="1:56" outlineLevel="1" x14ac:dyDescent="0.15">
      <c r="A7" s="16"/>
      <c r="B7" s="16" t="s">
        <v>223</v>
      </c>
      <c r="C7" s="17" t="s">
        <v>227</v>
      </c>
      <c r="D7" s="16">
        <v>2925514</v>
      </c>
      <c r="E7" s="18">
        <v>11</v>
      </c>
      <c r="F7" s="17">
        <v>1</v>
      </c>
      <c r="G7" s="17"/>
      <c r="I7" s="19" t="str">
        <f t="shared" si="0"/>
        <v>·</v>
      </c>
      <c r="J7" s="20">
        <f t="shared" si="1"/>
        <v>0.95944028980890195</v>
      </c>
      <c r="K7" s="20">
        <f t="shared" si="2"/>
        <v>0.89312715645865992</v>
      </c>
      <c r="L7" s="20">
        <f t="shared" si="3"/>
        <v>6.599318957284088E-2</v>
      </c>
      <c r="M7" s="21"/>
      <c r="N7" s="20">
        <f t="shared" si="4"/>
        <v>0.95944028980890195</v>
      </c>
      <c r="O7" s="22">
        <v>2925514</v>
      </c>
      <c r="P7" s="23">
        <v>2806856</v>
      </c>
      <c r="Q7" s="23">
        <v>2612856</v>
      </c>
      <c r="R7" s="23">
        <v>193064</v>
      </c>
      <c r="S7" s="24"/>
      <c r="T7" s="25">
        <v>37.514899999999997</v>
      </c>
      <c r="U7" s="25">
        <v>43.793999999999997</v>
      </c>
      <c r="V7" s="25">
        <v>48.014499999999998</v>
      </c>
      <c r="W7" s="26"/>
      <c r="X7" s="27"/>
      <c r="Y7" s="27"/>
      <c r="AA7" s="19" t="str">
        <f t="shared" si="5"/>
        <v>·</v>
      </c>
      <c r="AB7" s="20">
        <f t="shared" si="6"/>
        <v>0.9336178189542077</v>
      </c>
      <c r="AC7" s="20">
        <f t="shared" si="7"/>
        <v>0.89312715645865992</v>
      </c>
      <c r="AD7" s="20">
        <f t="shared" si="8"/>
        <v>4.0173453280346633E-2</v>
      </c>
      <c r="AE7" s="21"/>
      <c r="AF7" s="20">
        <f t="shared" si="9"/>
        <v>0.9336178189542077</v>
      </c>
      <c r="AG7" s="22">
        <v>2925514</v>
      </c>
      <c r="AH7" s="23">
        <v>2731312</v>
      </c>
      <c r="AI7" s="23">
        <v>2612856</v>
      </c>
      <c r="AJ7" s="23">
        <v>117528</v>
      </c>
      <c r="AK7" s="24"/>
      <c r="AL7" s="25">
        <v>35.566099999999999</v>
      </c>
      <c r="AM7" s="25">
        <v>42.864899999999999</v>
      </c>
      <c r="AN7" s="25">
        <v>46.433900000000001</v>
      </c>
      <c r="AO7" s="26"/>
      <c r="AP7" s="27"/>
      <c r="AQ7" s="27"/>
      <c r="AS7" s="28">
        <f t="shared" si="10"/>
        <v>2.5746844304920136E-2</v>
      </c>
      <c r="AT7" s="28"/>
      <c r="AV7" s="29"/>
      <c r="AW7" s="29"/>
      <c r="AX7" s="29"/>
      <c r="AY7" s="30"/>
      <c r="BA7" s="29"/>
      <c r="BB7" s="29"/>
      <c r="BC7" s="29"/>
      <c r="BD7" s="30"/>
    </row>
    <row r="8" spans="1:56" outlineLevel="1" x14ac:dyDescent="0.15">
      <c r="A8" s="31"/>
      <c r="B8" s="31" t="s">
        <v>223</v>
      </c>
      <c r="C8" s="32" t="s">
        <v>228</v>
      </c>
      <c r="D8" s="31">
        <v>2925514</v>
      </c>
      <c r="E8" s="33">
        <v>11</v>
      </c>
      <c r="F8" s="32">
        <v>1</v>
      </c>
      <c r="G8" s="32"/>
      <c r="I8" s="34" t="str">
        <f t="shared" si="0"/>
        <v>·</v>
      </c>
      <c r="J8" s="35">
        <f t="shared" si="1"/>
        <v>1.0393305244821935</v>
      </c>
      <c r="K8" s="35">
        <f t="shared" si="2"/>
        <v>0.89312715645865992</v>
      </c>
      <c r="L8" s="35">
        <f t="shared" si="3"/>
        <v>0.14588342424613249</v>
      </c>
      <c r="M8" s="36"/>
      <c r="N8" s="35">
        <f t="shared" si="4"/>
        <v>1.0393305244821935</v>
      </c>
      <c r="O8" s="37">
        <v>2925514</v>
      </c>
      <c r="P8" s="38">
        <v>3040576</v>
      </c>
      <c r="Q8" s="38">
        <v>2612856</v>
      </c>
      <c r="R8" s="38">
        <v>426784</v>
      </c>
      <c r="S8" s="39"/>
      <c r="T8" s="40">
        <v>39.802999999999997</v>
      </c>
      <c r="U8" s="40">
        <v>44.905900000000003</v>
      </c>
      <c r="V8" s="40">
        <v>49.298699999999997</v>
      </c>
      <c r="W8" s="41"/>
      <c r="X8" s="42"/>
      <c r="Y8" s="42"/>
      <c r="AA8" s="34" t="str">
        <f t="shared" si="5"/>
        <v>·</v>
      </c>
      <c r="AB8" s="35">
        <f t="shared" si="6"/>
        <v>0.98157930538018279</v>
      </c>
      <c r="AC8" s="35">
        <f t="shared" si="7"/>
        <v>0.89312715645865992</v>
      </c>
      <c r="AD8" s="35">
        <f t="shared" si="8"/>
        <v>8.8134939706321691E-2</v>
      </c>
      <c r="AE8" s="36"/>
      <c r="AF8" s="35">
        <f t="shared" si="9"/>
        <v>0.98157930538018279</v>
      </c>
      <c r="AG8" s="37">
        <v>2925514</v>
      </c>
      <c r="AH8" s="38">
        <v>2871624</v>
      </c>
      <c r="AI8" s="38">
        <v>2612856</v>
      </c>
      <c r="AJ8" s="38">
        <v>257840</v>
      </c>
      <c r="AK8" s="39"/>
      <c r="AL8" s="40">
        <v>38.179299999999998</v>
      </c>
      <c r="AM8" s="40">
        <v>43.851599999999998</v>
      </c>
      <c r="AN8" s="40">
        <v>47.9557</v>
      </c>
      <c r="AO8" s="41"/>
      <c r="AP8" s="42"/>
      <c r="AQ8" s="42"/>
      <c r="AS8" s="43">
        <f t="shared" si="10"/>
        <v>5.0558639068183253E-2</v>
      </c>
      <c r="AT8" s="43"/>
      <c r="AV8" s="44"/>
      <c r="AW8" s="44"/>
      <c r="AX8" s="44"/>
      <c r="AY8" s="45"/>
      <c r="BA8" s="44"/>
      <c r="BB8" s="44"/>
      <c r="BC8" s="44"/>
      <c r="BD8" s="45"/>
    </row>
    <row r="9" spans="1:56" outlineLevel="1" x14ac:dyDescent="0.15">
      <c r="A9" s="16"/>
      <c r="B9" s="16" t="s">
        <v>223</v>
      </c>
      <c r="C9" s="17" t="s">
        <v>229</v>
      </c>
      <c r="D9" s="16">
        <v>2925514</v>
      </c>
      <c r="E9" s="18">
        <v>11</v>
      </c>
      <c r="F9" s="17">
        <v>1</v>
      </c>
      <c r="G9" s="17"/>
      <c r="I9" s="19" t="str">
        <f t="shared" si="0"/>
        <v>·</v>
      </c>
      <c r="J9" s="20">
        <f t="shared" si="1"/>
        <v>1.2261448757380755</v>
      </c>
      <c r="K9" s="20">
        <f t="shared" si="2"/>
        <v>0.89312715645865992</v>
      </c>
      <c r="L9" s="20">
        <f t="shared" si="3"/>
        <v>0.33269777550201435</v>
      </c>
      <c r="M9" s="21"/>
      <c r="N9" s="20">
        <f t="shared" si="4"/>
        <v>1.2261448757380755</v>
      </c>
      <c r="O9" s="22">
        <v>2925514</v>
      </c>
      <c r="P9" s="23">
        <v>3587104</v>
      </c>
      <c r="Q9" s="23">
        <v>2612856</v>
      </c>
      <c r="R9" s="23">
        <v>973312</v>
      </c>
      <c r="S9" s="24"/>
      <c r="T9" s="25">
        <v>42.042400000000001</v>
      </c>
      <c r="U9" s="25">
        <v>46.203299999999999</v>
      </c>
      <c r="V9" s="25">
        <v>50.484000000000002</v>
      </c>
      <c r="W9" s="26"/>
      <c r="X9" s="27"/>
      <c r="Y9" s="27"/>
      <c r="AA9" s="19" t="str">
        <f t="shared" si="5"/>
        <v>·</v>
      </c>
      <c r="AB9" s="20">
        <f t="shared" si="6"/>
        <v>1.0991709491050119</v>
      </c>
      <c r="AC9" s="20">
        <f t="shared" si="7"/>
        <v>0.89312715645865992</v>
      </c>
      <c r="AD9" s="20">
        <f t="shared" si="8"/>
        <v>0.20572658343115091</v>
      </c>
      <c r="AE9" s="21"/>
      <c r="AF9" s="20">
        <f t="shared" si="9"/>
        <v>1.0991709491050119</v>
      </c>
      <c r="AG9" s="22">
        <v>2925514</v>
      </c>
      <c r="AH9" s="23">
        <v>3215640</v>
      </c>
      <c r="AI9" s="23">
        <v>2612856</v>
      </c>
      <c r="AJ9" s="23">
        <v>601856</v>
      </c>
      <c r="AK9" s="24"/>
      <c r="AL9" s="25">
        <v>40.803600000000003</v>
      </c>
      <c r="AM9" s="25">
        <v>45.112699999999997</v>
      </c>
      <c r="AN9" s="25">
        <v>49.328200000000002</v>
      </c>
      <c r="AO9" s="26"/>
      <c r="AP9" s="27"/>
      <c r="AQ9" s="27"/>
      <c r="AS9" s="28">
        <f t="shared" si="10"/>
        <v>8.4143547109053918E-2</v>
      </c>
      <c r="AT9" s="28"/>
      <c r="AV9" s="29"/>
      <c r="AW9" s="29"/>
      <c r="AX9" s="29"/>
      <c r="AY9" s="30"/>
      <c r="BA9" s="29"/>
      <c r="BB9" s="29"/>
      <c r="BC9" s="29"/>
      <c r="BD9" s="30"/>
    </row>
    <row r="10" spans="1:56" outlineLevel="1" x14ac:dyDescent="0.15">
      <c r="A10" s="31"/>
      <c r="B10" s="46" t="s">
        <v>223</v>
      </c>
      <c r="C10" s="47" t="s">
        <v>230</v>
      </c>
      <c r="D10" s="46">
        <v>2925514</v>
      </c>
      <c r="E10" s="48">
        <v>11</v>
      </c>
      <c r="F10" s="47">
        <v>1</v>
      </c>
      <c r="G10" s="47"/>
      <c r="I10" s="49" t="str">
        <f t="shared" si="0"/>
        <v>·</v>
      </c>
      <c r="J10" s="50">
        <f t="shared" si="1"/>
        <v>1.6734618258535081</v>
      </c>
      <c r="K10" s="50">
        <f t="shared" si="2"/>
        <v>0.89312715645865992</v>
      </c>
      <c r="L10" s="50">
        <f t="shared" si="3"/>
        <v>0.780014725617447</v>
      </c>
      <c r="M10" s="51"/>
      <c r="N10" s="50">
        <f t="shared" si="4"/>
        <v>1.6734618258535081</v>
      </c>
      <c r="O10" s="52">
        <v>2925514</v>
      </c>
      <c r="P10" s="53">
        <v>4895736</v>
      </c>
      <c r="Q10" s="53">
        <v>2612856</v>
      </c>
      <c r="R10" s="53">
        <v>2281944</v>
      </c>
      <c r="S10" s="54"/>
      <c r="T10" s="55">
        <v>44.504600000000003</v>
      </c>
      <c r="U10" s="55">
        <v>47.823999999999998</v>
      </c>
      <c r="V10" s="55">
        <v>51.557099999999998</v>
      </c>
      <c r="W10" s="56"/>
      <c r="X10" s="57"/>
      <c r="Y10" s="57"/>
      <c r="AA10" s="49" t="str">
        <f t="shared" si="5"/>
        <v>·</v>
      </c>
      <c r="AB10" s="50">
        <f t="shared" si="6"/>
        <v>1.3808773432634402</v>
      </c>
      <c r="AC10" s="50">
        <f t="shared" si="7"/>
        <v>0.89312715645865992</v>
      </c>
      <c r="AD10" s="50">
        <f t="shared" si="8"/>
        <v>0.48743297758957915</v>
      </c>
      <c r="AE10" s="51"/>
      <c r="AF10" s="50">
        <f t="shared" si="9"/>
        <v>1.3808773432634402</v>
      </c>
      <c r="AG10" s="52">
        <v>2925514</v>
      </c>
      <c r="AH10" s="53">
        <v>4039776</v>
      </c>
      <c r="AI10" s="53">
        <v>2612856</v>
      </c>
      <c r="AJ10" s="53">
        <v>1425992</v>
      </c>
      <c r="AK10" s="54"/>
      <c r="AL10" s="55">
        <v>43.347099999999998</v>
      </c>
      <c r="AM10" s="55">
        <v>46.664000000000001</v>
      </c>
      <c r="AN10" s="55">
        <v>50.496099999999998</v>
      </c>
      <c r="AO10" s="56"/>
      <c r="AP10" s="57"/>
      <c r="AQ10" s="57"/>
      <c r="AS10" s="58">
        <f t="shared" si="10"/>
        <v>0.11308204926829579</v>
      </c>
      <c r="AT10" s="58"/>
      <c r="AV10" s="59"/>
      <c r="AW10" s="59"/>
      <c r="AX10" s="59"/>
      <c r="AY10" s="60"/>
      <c r="BA10" s="59"/>
      <c r="BB10" s="59"/>
      <c r="BC10" s="59"/>
      <c r="BD10" s="60"/>
    </row>
    <row r="11" spans="1:56" collapsed="1" x14ac:dyDescent="0.15">
      <c r="A11" s="16"/>
      <c r="B11" s="16" t="s">
        <v>233</v>
      </c>
      <c r="C11" s="17" t="s">
        <v>225</v>
      </c>
      <c r="D11" s="16">
        <v>3493085</v>
      </c>
      <c r="E11" s="18">
        <v>12</v>
      </c>
      <c r="F11" s="17">
        <v>1</v>
      </c>
      <c r="G11" s="17"/>
      <c r="I11" s="19" t="str">
        <f t="shared" si="0"/>
        <v>·</v>
      </c>
      <c r="J11" s="20">
        <f t="shared" si="1"/>
        <v>3.5803972706075005</v>
      </c>
      <c r="K11" s="20">
        <f t="shared" si="2"/>
        <v>3.5692277743026581</v>
      </c>
      <c r="L11" s="20">
        <f t="shared" si="3"/>
        <v>1.0931311433875787E-2</v>
      </c>
      <c r="M11" s="21"/>
      <c r="N11" s="20">
        <f t="shared" si="4"/>
        <v>3.5803972706075005</v>
      </c>
      <c r="O11" s="22">
        <v>3493085</v>
      </c>
      <c r="P11" s="23">
        <v>12506632</v>
      </c>
      <c r="Q11" s="23">
        <v>12467616</v>
      </c>
      <c r="R11" s="23">
        <v>38184</v>
      </c>
      <c r="S11" s="24"/>
      <c r="T11" s="25">
        <v>33.863900000000001</v>
      </c>
      <c r="U11" s="25">
        <v>42.118200000000002</v>
      </c>
      <c r="V11" s="25">
        <v>45.779899999999998</v>
      </c>
      <c r="W11" s="26"/>
      <c r="X11" s="27"/>
      <c r="Y11" s="27"/>
      <c r="AA11" s="19" t="str">
        <f t="shared" si="5"/>
        <v>·</v>
      </c>
      <c r="AB11" s="20">
        <f t="shared" si="6"/>
        <v>3.5755419636224142</v>
      </c>
      <c r="AC11" s="20">
        <f t="shared" si="7"/>
        <v>3.5692277743026581</v>
      </c>
      <c r="AD11" s="20">
        <f t="shared" si="8"/>
        <v>6.078294687933446E-3</v>
      </c>
      <c r="AE11" s="21"/>
      <c r="AF11" s="20">
        <f t="shared" si="9"/>
        <v>3.5755419636224142</v>
      </c>
      <c r="AG11" s="22">
        <v>3493085</v>
      </c>
      <c r="AH11" s="23">
        <v>12489672</v>
      </c>
      <c r="AI11" s="23">
        <v>12467616</v>
      </c>
      <c r="AJ11" s="23">
        <v>21232</v>
      </c>
      <c r="AK11" s="24"/>
      <c r="AL11" s="25">
        <v>32.101399999999998</v>
      </c>
      <c r="AM11" s="25">
        <v>43.509300000000003</v>
      </c>
      <c r="AN11" s="25">
        <v>43.107199999999999</v>
      </c>
      <c r="AO11" s="26"/>
      <c r="AP11" s="27"/>
      <c r="AQ11" s="27"/>
      <c r="AS11" s="28">
        <f t="shared" si="10"/>
        <v>1.3536857623253074E-3</v>
      </c>
      <c r="AT11" s="28">
        <f t="array" ref="AT11">AVERAGE(AI11:AI16/AH11:AH16) - AVERAGE(Q11:Q16/P11:P16)</f>
        <v>1.501055820963193E-2</v>
      </c>
      <c r="AV11" s="29">
        <f>IF( OR(ISBLANK(R11:R16),ISBLANK(AJ11:AJ16), ISBLANK(T11:T16),ISBLANK(AL11:AL16)), "·", bdRateExtend( R11:R16,T11:T16, AJ11:AJ16,AL11:AL16))</f>
        <v>8.7841664958537624E-2</v>
      </c>
      <c r="AW11" s="29">
        <f>IF( OR(ISBLANK(R11:R16),ISBLANK(AJ11:AJ16), ISBLANK(U11:U16),ISBLANK(AM11:AM16)), "·", bdRateExtend( R11:R16,U11:U16, AJ11:AJ16,AM11:AM16))</f>
        <v>9.0087099190495401E-2</v>
      </c>
      <c r="AX11" s="29">
        <f>IF( OR(ISBLANK(R11:R16),ISBLANK(AJ11:AJ16), ISBLANK(V11:V16),ISBLANK(AN11:AN16)), "·", bdRateExtend( R11:R16,V11:V16, AJ11:AJ16,AN11:AN16))</f>
        <v>0.36090394851688679</v>
      </c>
      <c r="AY11" s="30"/>
      <c r="BA11" s="29">
        <f>IF( OR(ISBLANK(P11:P16),ISBLANK(AH11:AH16), ISBLANK(T11:T16),ISBLANK(AL11:AL16)), "·", bdRateExtend( P11:P16,T11:T16, AH11:AH16,AL11:AL16))</f>
        <v>1.6139430180486247E-3</v>
      </c>
      <c r="BB11" s="29">
        <f>IF( OR(ISBLANK(P11:P16),ISBLANK(AH11:AH16), ISBLANK(U11:U16),ISBLANK(AM11:AM16)), "·", bdRateExtend( P11:P16,U11:U16, AH11:AH16,AM11:AM16))</f>
        <v>4.3840561779915355E-3</v>
      </c>
      <c r="BC11" s="29">
        <f>IF( OR(ISBLANK(P11:P16),ISBLANK(AH11:AH16), ISBLANK(V11:V16),ISBLANK(AN11:AN16)), "·", bdRateExtend( P11:P16,V11:V16, AH11:AH16,AN11:AN16))</f>
        <v>6.3771105850667364E-3</v>
      </c>
      <c r="BD11" s="30"/>
    </row>
    <row r="12" spans="1:56" outlineLevel="1" x14ac:dyDescent="0.15">
      <c r="A12" s="31"/>
      <c r="B12" s="31" t="s">
        <v>233</v>
      </c>
      <c r="C12" s="32" t="s">
        <v>226</v>
      </c>
      <c r="D12" s="31">
        <v>3493085</v>
      </c>
      <c r="E12" s="33">
        <v>12</v>
      </c>
      <c r="F12" s="32">
        <v>1</v>
      </c>
      <c r="G12" s="32"/>
      <c r="I12" s="34" t="str">
        <f t="shared" si="0"/>
        <v>·</v>
      </c>
      <c r="J12" s="35">
        <f t="shared" si="1"/>
        <v>3.5907835051251258</v>
      </c>
      <c r="K12" s="35">
        <f t="shared" si="2"/>
        <v>3.5692277743026581</v>
      </c>
      <c r="L12" s="35">
        <f t="shared" si="3"/>
        <v>2.1317545951501322E-2</v>
      </c>
      <c r="M12" s="36"/>
      <c r="N12" s="35">
        <f t="shared" si="4"/>
        <v>3.5907835051251258</v>
      </c>
      <c r="O12" s="37">
        <v>3493085</v>
      </c>
      <c r="P12" s="38">
        <v>12542912</v>
      </c>
      <c r="Q12" s="38">
        <v>12467616</v>
      </c>
      <c r="R12" s="38">
        <v>74464</v>
      </c>
      <c r="S12" s="39"/>
      <c r="T12" s="40">
        <v>36.1023</v>
      </c>
      <c r="U12" s="40">
        <v>46.978700000000003</v>
      </c>
      <c r="V12" s="40">
        <v>47.4161</v>
      </c>
      <c r="W12" s="41"/>
      <c r="X12" s="42"/>
      <c r="Y12" s="42"/>
      <c r="AA12" s="34" t="str">
        <f t="shared" si="5"/>
        <v>·</v>
      </c>
      <c r="AB12" s="35">
        <f t="shared" si="6"/>
        <v>3.5815355194620229</v>
      </c>
      <c r="AC12" s="35">
        <f t="shared" si="7"/>
        <v>3.5692277743026581</v>
      </c>
      <c r="AD12" s="35">
        <f t="shared" si="8"/>
        <v>1.2071850527542272E-2</v>
      </c>
      <c r="AE12" s="36"/>
      <c r="AF12" s="35">
        <f t="shared" si="9"/>
        <v>3.5815355194620229</v>
      </c>
      <c r="AG12" s="37">
        <v>3493085</v>
      </c>
      <c r="AH12" s="38">
        <v>12510608</v>
      </c>
      <c r="AI12" s="38">
        <v>12467616</v>
      </c>
      <c r="AJ12" s="38">
        <v>42168</v>
      </c>
      <c r="AK12" s="39"/>
      <c r="AL12" s="40">
        <v>34.086399999999998</v>
      </c>
      <c r="AM12" s="40">
        <v>45.039000000000001</v>
      </c>
      <c r="AN12" s="40">
        <v>45.046100000000003</v>
      </c>
      <c r="AO12" s="41"/>
      <c r="AP12" s="42"/>
      <c r="AQ12" s="42"/>
      <c r="AS12" s="43">
        <f t="shared" si="10"/>
        <v>2.566627998572435E-3</v>
      </c>
      <c r="AT12" s="43"/>
      <c r="AV12" s="44"/>
      <c r="AW12" s="44"/>
      <c r="AX12" s="44"/>
      <c r="AY12" s="45"/>
      <c r="BA12" s="44"/>
      <c r="BB12" s="44"/>
      <c r="BC12" s="44"/>
      <c r="BD12" s="45"/>
    </row>
    <row r="13" spans="1:56" outlineLevel="1" x14ac:dyDescent="0.15">
      <c r="A13" s="16"/>
      <c r="B13" s="16" t="s">
        <v>233</v>
      </c>
      <c r="C13" s="17" t="s">
        <v>227</v>
      </c>
      <c r="D13" s="16">
        <v>3493085</v>
      </c>
      <c r="E13" s="18">
        <v>12</v>
      </c>
      <c r="F13" s="17">
        <v>1</v>
      </c>
      <c r="G13" s="17"/>
      <c r="I13" s="19" t="str">
        <f t="shared" si="0"/>
        <v>·</v>
      </c>
      <c r="J13" s="20">
        <f t="shared" si="1"/>
        <v>3.6179640632850329</v>
      </c>
      <c r="K13" s="20">
        <f t="shared" si="2"/>
        <v>3.5692277743026581</v>
      </c>
      <c r="L13" s="20">
        <f t="shared" si="3"/>
        <v>4.8498104111408681E-2</v>
      </c>
      <c r="M13" s="21"/>
      <c r="N13" s="20">
        <f t="shared" si="4"/>
        <v>3.6179640632850329</v>
      </c>
      <c r="O13" s="22">
        <v>3493085</v>
      </c>
      <c r="P13" s="23">
        <v>12637856</v>
      </c>
      <c r="Q13" s="23">
        <v>12467616</v>
      </c>
      <c r="R13" s="23">
        <v>169408</v>
      </c>
      <c r="S13" s="24"/>
      <c r="T13" s="25">
        <v>38.292200000000001</v>
      </c>
      <c r="U13" s="25">
        <v>48.557400000000001</v>
      </c>
      <c r="V13" s="25">
        <v>49.177999999999997</v>
      </c>
      <c r="W13" s="26"/>
      <c r="X13" s="27"/>
      <c r="Y13" s="27"/>
      <c r="AA13" s="19" t="str">
        <f t="shared" si="5"/>
        <v>·</v>
      </c>
      <c r="AB13" s="20">
        <f t="shared" si="6"/>
        <v>3.5965526175286318</v>
      </c>
      <c r="AC13" s="20">
        <f t="shared" si="7"/>
        <v>3.5692277743026581</v>
      </c>
      <c r="AD13" s="20">
        <f t="shared" si="8"/>
        <v>2.7088948594151015E-2</v>
      </c>
      <c r="AE13" s="21"/>
      <c r="AF13" s="20">
        <f t="shared" si="9"/>
        <v>3.5965526175286318</v>
      </c>
      <c r="AG13" s="22">
        <v>3493085</v>
      </c>
      <c r="AH13" s="23">
        <v>12563064</v>
      </c>
      <c r="AI13" s="23">
        <v>12467616</v>
      </c>
      <c r="AJ13" s="23">
        <v>94624</v>
      </c>
      <c r="AK13" s="24"/>
      <c r="AL13" s="25">
        <v>36.390300000000003</v>
      </c>
      <c r="AM13" s="25">
        <v>47.002000000000002</v>
      </c>
      <c r="AN13" s="25">
        <v>47.288800000000002</v>
      </c>
      <c r="AO13" s="26"/>
      <c r="AP13" s="27"/>
      <c r="AQ13" s="27"/>
      <c r="AS13" s="28">
        <f t="shared" si="10"/>
        <v>5.8731296715281989E-3</v>
      </c>
      <c r="AT13" s="28"/>
      <c r="AV13" s="29"/>
      <c r="AW13" s="29"/>
      <c r="AX13" s="29"/>
      <c r="AY13" s="30"/>
      <c r="BA13" s="29"/>
      <c r="BB13" s="29"/>
      <c r="BC13" s="29"/>
      <c r="BD13" s="30"/>
    </row>
    <row r="14" spans="1:56" outlineLevel="1" x14ac:dyDescent="0.15">
      <c r="A14" s="31"/>
      <c r="B14" s="31" t="s">
        <v>233</v>
      </c>
      <c r="C14" s="32" t="s">
        <v>228</v>
      </c>
      <c r="D14" s="31">
        <v>3493085</v>
      </c>
      <c r="E14" s="33">
        <v>12</v>
      </c>
      <c r="F14" s="32">
        <v>1</v>
      </c>
      <c r="G14" s="32"/>
      <c r="I14" s="34" t="str">
        <f t="shared" si="0"/>
        <v>·</v>
      </c>
      <c r="J14" s="35">
        <f t="shared" si="1"/>
        <v>3.6795783669736064</v>
      </c>
      <c r="K14" s="35">
        <f t="shared" si="2"/>
        <v>3.5692277743026581</v>
      </c>
      <c r="L14" s="35">
        <f t="shared" si="3"/>
        <v>0.11011240779998197</v>
      </c>
      <c r="M14" s="36"/>
      <c r="N14" s="35">
        <f t="shared" si="4"/>
        <v>3.6795783669736064</v>
      </c>
      <c r="O14" s="37">
        <v>3493085</v>
      </c>
      <c r="P14" s="38">
        <v>12853080</v>
      </c>
      <c r="Q14" s="38">
        <v>12467616</v>
      </c>
      <c r="R14" s="38">
        <v>384632</v>
      </c>
      <c r="S14" s="39"/>
      <c r="T14" s="40">
        <v>40.536099999999998</v>
      </c>
      <c r="U14" s="40">
        <v>49.777700000000003</v>
      </c>
      <c r="V14" s="40">
        <v>50.392899999999997</v>
      </c>
      <c r="W14" s="41"/>
      <c r="X14" s="42"/>
      <c r="Y14" s="42"/>
      <c r="AA14" s="34" t="str">
        <f t="shared" si="5"/>
        <v>·</v>
      </c>
      <c r="AB14" s="35">
        <f t="shared" si="6"/>
        <v>3.630924526600412</v>
      </c>
      <c r="AC14" s="35">
        <f t="shared" si="7"/>
        <v>3.5692277743026581</v>
      </c>
      <c r="AD14" s="35">
        <f t="shared" si="8"/>
        <v>6.1460857665931408E-2</v>
      </c>
      <c r="AE14" s="36"/>
      <c r="AF14" s="35">
        <f t="shared" si="9"/>
        <v>3.630924526600412</v>
      </c>
      <c r="AG14" s="37">
        <v>3493085</v>
      </c>
      <c r="AH14" s="38">
        <v>12683128</v>
      </c>
      <c r="AI14" s="38">
        <v>12467616</v>
      </c>
      <c r="AJ14" s="38">
        <v>214688</v>
      </c>
      <c r="AK14" s="39"/>
      <c r="AL14" s="40">
        <v>38.640300000000003</v>
      </c>
      <c r="AM14" s="40">
        <v>48.5289</v>
      </c>
      <c r="AN14" s="40">
        <v>49.0642</v>
      </c>
      <c r="AO14" s="41"/>
      <c r="AP14" s="42"/>
      <c r="AQ14" s="42"/>
      <c r="AS14" s="43">
        <f t="shared" si="10"/>
        <v>1.2997987388479793E-2</v>
      </c>
      <c r="AT14" s="43"/>
      <c r="AV14" s="44"/>
      <c r="AW14" s="44"/>
      <c r="AX14" s="44"/>
      <c r="AY14" s="45"/>
      <c r="BA14" s="44"/>
      <c r="BB14" s="44"/>
      <c r="BC14" s="44"/>
      <c r="BD14" s="45"/>
    </row>
    <row r="15" spans="1:56" outlineLevel="1" x14ac:dyDescent="0.15">
      <c r="A15" s="16"/>
      <c r="B15" s="16" t="s">
        <v>233</v>
      </c>
      <c r="C15" s="17" t="s">
        <v>229</v>
      </c>
      <c r="D15" s="16">
        <v>3493085</v>
      </c>
      <c r="E15" s="18">
        <v>12</v>
      </c>
      <c r="F15" s="17">
        <v>1</v>
      </c>
      <c r="G15" s="17"/>
      <c r="I15" s="19" t="str">
        <f t="shared" si="0"/>
        <v>·</v>
      </c>
      <c r="J15" s="20">
        <f t="shared" si="1"/>
        <v>3.8222144608562347</v>
      </c>
      <c r="K15" s="20">
        <f t="shared" si="2"/>
        <v>3.5692277743026581</v>
      </c>
      <c r="L15" s="20">
        <f t="shared" si="3"/>
        <v>0.25274850168261009</v>
      </c>
      <c r="M15" s="21"/>
      <c r="N15" s="20">
        <f t="shared" si="4"/>
        <v>3.8222144608562347</v>
      </c>
      <c r="O15" s="22">
        <v>3493085</v>
      </c>
      <c r="P15" s="23">
        <v>13351320</v>
      </c>
      <c r="Q15" s="23">
        <v>12467616</v>
      </c>
      <c r="R15" s="23">
        <v>882872</v>
      </c>
      <c r="S15" s="24"/>
      <c r="T15" s="25">
        <v>43.039499999999997</v>
      </c>
      <c r="U15" s="25">
        <v>50.831000000000003</v>
      </c>
      <c r="V15" s="25">
        <v>51.474699999999999</v>
      </c>
      <c r="W15" s="26"/>
      <c r="X15" s="27"/>
      <c r="Y15" s="27"/>
      <c r="AA15" s="19" t="str">
        <f t="shared" si="5"/>
        <v>·</v>
      </c>
      <c r="AB15" s="20">
        <f t="shared" si="6"/>
        <v>3.7238807529733746</v>
      </c>
      <c r="AC15" s="20">
        <f t="shared" si="7"/>
        <v>3.5692277743026581</v>
      </c>
      <c r="AD15" s="20">
        <f t="shared" si="8"/>
        <v>0.15441708403889398</v>
      </c>
      <c r="AE15" s="21"/>
      <c r="AF15" s="20">
        <f t="shared" si="9"/>
        <v>3.7238807529733746</v>
      </c>
      <c r="AG15" s="22">
        <v>3493085</v>
      </c>
      <c r="AH15" s="23">
        <v>13007832</v>
      </c>
      <c r="AI15" s="23">
        <v>12467616</v>
      </c>
      <c r="AJ15" s="23">
        <v>539392</v>
      </c>
      <c r="AK15" s="24"/>
      <c r="AL15" s="25">
        <v>41.326099999999997</v>
      </c>
      <c r="AM15" s="25">
        <v>49.748699999999999</v>
      </c>
      <c r="AN15" s="25">
        <v>50.419199999999996</v>
      </c>
      <c r="AO15" s="26"/>
      <c r="AP15" s="27"/>
      <c r="AQ15" s="27"/>
      <c r="AS15" s="28">
        <f t="shared" si="10"/>
        <v>2.465845503647135E-2</v>
      </c>
      <c r="AT15" s="28"/>
      <c r="AV15" s="29"/>
      <c r="AW15" s="29"/>
      <c r="AX15" s="29"/>
      <c r="AY15" s="30"/>
      <c r="BA15" s="29"/>
      <c r="BB15" s="29"/>
      <c r="BC15" s="29"/>
      <c r="BD15" s="30"/>
    </row>
    <row r="16" spans="1:56" outlineLevel="1" x14ac:dyDescent="0.15">
      <c r="A16" s="31"/>
      <c r="B16" s="46" t="s">
        <v>233</v>
      </c>
      <c r="C16" s="47" t="s">
        <v>230</v>
      </c>
      <c r="D16" s="46">
        <v>3493085</v>
      </c>
      <c r="E16" s="48">
        <v>12</v>
      </c>
      <c r="F16" s="47">
        <v>1</v>
      </c>
      <c r="G16" s="47"/>
      <c r="I16" s="49" t="str">
        <f t="shared" si="0"/>
        <v>·</v>
      </c>
      <c r="J16" s="50">
        <f t="shared" si="1"/>
        <v>4.115376522472256</v>
      </c>
      <c r="K16" s="50">
        <f t="shared" si="2"/>
        <v>3.5692277743026581</v>
      </c>
      <c r="L16" s="50">
        <f t="shared" si="3"/>
        <v>0.54591056329863141</v>
      </c>
      <c r="M16" s="51"/>
      <c r="N16" s="50">
        <f t="shared" si="4"/>
        <v>4.115376522472256</v>
      </c>
      <c r="O16" s="52">
        <v>3493085</v>
      </c>
      <c r="P16" s="53">
        <v>14375360</v>
      </c>
      <c r="Q16" s="53">
        <v>12467616</v>
      </c>
      <c r="R16" s="53">
        <v>1906912</v>
      </c>
      <c r="S16" s="54"/>
      <c r="T16" s="55">
        <v>45.608899999999998</v>
      </c>
      <c r="U16" s="55">
        <v>52.073599999999999</v>
      </c>
      <c r="V16" s="55">
        <v>52.708799999999997</v>
      </c>
      <c r="W16" s="56"/>
      <c r="X16" s="57"/>
      <c r="Y16" s="57"/>
      <c r="AA16" s="49" t="str">
        <f t="shared" si="5"/>
        <v>·</v>
      </c>
      <c r="AB16" s="50">
        <f t="shared" si="6"/>
        <v>3.9226414473166269</v>
      </c>
      <c r="AC16" s="50">
        <f t="shared" si="7"/>
        <v>3.5692277743026581</v>
      </c>
      <c r="AD16" s="50">
        <f t="shared" si="8"/>
        <v>0.35317777838214642</v>
      </c>
      <c r="AE16" s="51"/>
      <c r="AF16" s="50">
        <f t="shared" si="9"/>
        <v>3.9226414473166269</v>
      </c>
      <c r="AG16" s="52">
        <v>3493085</v>
      </c>
      <c r="AH16" s="53">
        <v>13702120</v>
      </c>
      <c r="AI16" s="53">
        <v>12467616</v>
      </c>
      <c r="AJ16" s="53">
        <v>1233680</v>
      </c>
      <c r="AK16" s="54"/>
      <c r="AL16" s="55">
        <v>44.116999999999997</v>
      </c>
      <c r="AM16" s="55">
        <v>50.811199999999999</v>
      </c>
      <c r="AN16" s="55">
        <v>51.482900000000001</v>
      </c>
      <c r="AO16" s="56"/>
      <c r="AP16" s="57"/>
      <c r="AQ16" s="57"/>
      <c r="AS16" s="58">
        <f t="shared" si="10"/>
        <v>4.2613463400412832E-2</v>
      </c>
      <c r="AT16" s="58"/>
      <c r="AV16" s="59"/>
      <c r="AW16" s="59"/>
      <c r="AX16" s="59"/>
      <c r="AY16" s="60"/>
      <c r="BA16" s="59"/>
      <c r="BB16" s="59"/>
      <c r="BC16" s="59"/>
      <c r="BD16" s="60"/>
    </row>
    <row r="17" spans="1:56" collapsed="1" x14ac:dyDescent="0.15">
      <c r="A17" s="16"/>
      <c r="B17" s="16" t="s">
        <v>236</v>
      </c>
      <c r="C17" s="17" t="s">
        <v>225</v>
      </c>
      <c r="D17" s="16">
        <v>2592758</v>
      </c>
      <c r="E17" s="18">
        <v>11</v>
      </c>
      <c r="F17" s="17">
        <v>1</v>
      </c>
      <c r="G17" s="17"/>
      <c r="I17" s="19" t="str">
        <f t="shared" si="0"/>
        <v>·</v>
      </c>
      <c r="J17" s="20">
        <f t="shared" si="1"/>
        <v>0.89848724794215273</v>
      </c>
      <c r="K17" s="20">
        <f t="shared" si="2"/>
        <v>0.87847149637567412</v>
      </c>
      <c r="L17" s="20">
        <f t="shared" si="3"/>
        <v>1.9716456375797511E-2</v>
      </c>
      <c r="M17" s="21"/>
      <c r="N17" s="20">
        <f t="shared" si="4"/>
        <v>0.89848724794215273</v>
      </c>
      <c r="O17" s="22">
        <v>2592758</v>
      </c>
      <c r="P17" s="23">
        <v>2329560</v>
      </c>
      <c r="Q17" s="23">
        <v>2277664</v>
      </c>
      <c r="R17" s="23">
        <v>51120</v>
      </c>
      <c r="S17" s="24"/>
      <c r="T17" s="25">
        <v>31.825199999999999</v>
      </c>
      <c r="U17" s="25">
        <v>40.598399999999998</v>
      </c>
      <c r="V17" s="25">
        <v>44.317999999999998</v>
      </c>
      <c r="W17" s="26"/>
      <c r="X17" s="27"/>
      <c r="Y17" s="27"/>
      <c r="AA17" s="19" t="str">
        <f t="shared" si="5"/>
        <v>·</v>
      </c>
      <c r="AB17" s="20">
        <f t="shared" si="6"/>
        <v>0.89017486398653478</v>
      </c>
      <c r="AC17" s="20">
        <f t="shared" si="7"/>
        <v>0.87847149637567412</v>
      </c>
      <c r="AD17" s="20">
        <f t="shared" si="8"/>
        <v>1.1407157937609295E-2</v>
      </c>
      <c r="AE17" s="21"/>
      <c r="AF17" s="20">
        <f t="shared" si="9"/>
        <v>0.89017486398653478</v>
      </c>
      <c r="AG17" s="22">
        <v>2592758</v>
      </c>
      <c r="AH17" s="23">
        <v>2308008</v>
      </c>
      <c r="AI17" s="23">
        <v>2277664</v>
      </c>
      <c r="AJ17" s="23">
        <v>29576</v>
      </c>
      <c r="AK17" s="24"/>
      <c r="AL17" s="25">
        <v>29.765999999999998</v>
      </c>
      <c r="AM17" s="25">
        <v>41.5015</v>
      </c>
      <c r="AN17" s="25">
        <v>42.577800000000003</v>
      </c>
      <c r="AO17" s="26"/>
      <c r="AP17" s="27"/>
      <c r="AQ17" s="27"/>
      <c r="AS17" s="28">
        <f t="shared" si="10"/>
        <v>9.1299001002204117E-3</v>
      </c>
      <c r="AT17" s="28">
        <f t="array" ref="AT17">AVERAGE(AI17:AI22/AH17:AH22) - AVERAGE(Q17:Q22/P17:P22)</f>
        <v>5.0040673632518073E-2</v>
      </c>
      <c r="AV17" s="29">
        <f>IF( OR(ISBLANK(R17:R22),ISBLANK(AJ17:AJ22), ISBLANK(T17:T22),ISBLANK(AL17:AL22)), "·", bdRateExtend( R17:R22,T17:T22, AJ17:AJ22,AL17:AL22))</f>
        <v>5.6599796860359763E-2</v>
      </c>
      <c r="AW17" s="29">
        <f>IF( OR(ISBLANK(R17:R22),ISBLANK(AJ17:AJ22), ISBLANK(U17:U22),ISBLANK(AM17:AM22)), "·", bdRateExtend( R17:R22,U17:U22, AJ17:AJ22,AM17:AM22))</f>
        <v>8.296589394578624E-2</v>
      </c>
      <c r="AX17" s="29">
        <f>IF( OR(ISBLANK(R17:R22),ISBLANK(AJ17:AJ22), ISBLANK(V17:V22),ISBLANK(AN17:AN22)), "·", bdRateExtend( R17:R22,V17:V22, AJ17:AJ22,AN17:AN22))</f>
        <v>0.35675903734862535</v>
      </c>
      <c r="AY17" s="30"/>
      <c r="BA17" s="29">
        <f>IF( OR(ISBLANK(P17:P22),ISBLANK(AH17:AH22), ISBLANK(T17:T22),ISBLANK(AL17:AL22)), "·", bdRateExtend( P17:P22,T17:T22, AH17:AH22,AL17:AL22))</f>
        <v>1.280409531554616E-3</v>
      </c>
      <c r="BB17" s="29">
        <f>IF( OR(ISBLANK(P17:P22),ISBLANK(AH17:AH22), ISBLANK(U17:U22),ISBLANK(AM17:AM22)), "·", bdRateExtend( P17:P22,U17:U22, AH17:AH22,AM17:AM22))</f>
        <v>1.9597863941762217E-2</v>
      </c>
      <c r="BC17" s="29">
        <f>IF( OR(ISBLANK(P17:P22),ISBLANK(AH17:AH22), ISBLANK(V17:V22),ISBLANK(AN17:AN22)), "·", bdRateExtend( P17:P22,V17:V22, AH17:AH22,AN17:AN22))</f>
        <v>3.8062706133266344E-2</v>
      </c>
      <c r="BD17" s="30"/>
    </row>
    <row r="18" spans="1:56" outlineLevel="1" x14ac:dyDescent="0.15">
      <c r="A18" s="31"/>
      <c r="B18" s="31" t="s">
        <v>236</v>
      </c>
      <c r="C18" s="32" t="s">
        <v>226</v>
      </c>
      <c r="D18" s="31">
        <v>2592758</v>
      </c>
      <c r="E18" s="33">
        <v>11</v>
      </c>
      <c r="F18" s="32">
        <v>1</v>
      </c>
      <c r="G18" s="32"/>
      <c r="I18" s="34" t="str">
        <f t="shared" si="0"/>
        <v>·</v>
      </c>
      <c r="J18" s="35">
        <f t="shared" si="1"/>
        <v>0.91589573728053297</v>
      </c>
      <c r="K18" s="35">
        <f t="shared" si="2"/>
        <v>0.87847149637567412</v>
      </c>
      <c r="L18" s="35">
        <f t="shared" si="3"/>
        <v>3.7124945714177723E-2</v>
      </c>
      <c r="M18" s="36"/>
      <c r="N18" s="35">
        <f t="shared" si="4"/>
        <v>0.91589573728053297</v>
      </c>
      <c r="O18" s="37">
        <v>2592758</v>
      </c>
      <c r="P18" s="38">
        <v>2374696</v>
      </c>
      <c r="Q18" s="38">
        <v>2277664</v>
      </c>
      <c r="R18" s="38">
        <v>96256</v>
      </c>
      <c r="S18" s="39"/>
      <c r="T18" s="40">
        <v>34.2254</v>
      </c>
      <c r="U18" s="40">
        <v>43.672400000000003</v>
      </c>
      <c r="V18" s="40">
        <v>46.148800000000001</v>
      </c>
      <c r="W18" s="41"/>
      <c r="X18" s="42"/>
      <c r="Y18" s="42"/>
      <c r="AA18" s="34" t="str">
        <f t="shared" si="5"/>
        <v>·</v>
      </c>
      <c r="AB18" s="35">
        <f t="shared" si="6"/>
        <v>0.90085692532816408</v>
      </c>
      <c r="AC18" s="35">
        <f t="shared" si="7"/>
        <v>0.87847149637567412</v>
      </c>
      <c r="AD18" s="35">
        <f t="shared" si="8"/>
        <v>2.2089219279238556E-2</v>
      </c>
      <c r="AE18" s="36"/>
      <c r="AF18" s="35">
        <f t="shared" si="9"/>
        <v>0.90085692532816408</v>
      </c>
      <c r="AG18" s="37">
        <v>2592758</v>
      </c>
      <c r="AH18" s="38">
        <v>2335704</v>
      </c>
      <c r="AI18" s="38">
        <v>2277664</v>
      </c>
      <c r="AJ18" s="38">
        <v>57272</v>
      </c>
      <c r="AK18" s="39"/>
      <c r="AL18" s="40">
        <v>31.986899999999999</v>
      </c>
      <c r="AM18" s="40">
        <v>42.585700000000003</v>
      </c>
      <c r="AN18" s="40">
        <v>44.2502</v>
      </c>
      <c r="AO18" s="41"/>
      <c r="AP18" s="42"/>
      <c r="AQ18" s="42"/>
      <c r="AS18" s="43">
        <f t="shared" si="10"/>
        <v>1.6011770040367468E-2</v>
      </c>
      <c r="AT18" s="43"/>
      <c r="AV18" s="44"/>
      <c r="AW18" s="44"/>
      <c r="AX18" s="44"/>
      <c r="AY18" s="45"/>
      <c r="BA18" s="44"/>
      <c r="BB18" s="44"/>
      <c r="BC18" s="44"/>
      <c r="BD18" s="45"/>
    </row>
    <row r="19" spans="1:56" outlineLevel="1" x14ac:dyDescent="0.15">
      <c r="A19" s="16"/>
      <c r="B19" s="16" t="s">
        <v>236</v>
      </c>
      <c r="C19" s="17" t="s">
        <v>227</v>
      </c>
      <c r="D19" s="16">
        <v>2592758</v>
      </c>
      <c r="E19" s="18">
        <v>11</v>
      </c>
      <c r="F19" s="17">
        <v>1</v>
      </c>
      <c r="G19" s="17"/>
      <c r="I19" s="19" t="str">
        <f t="shared" si="0"/>
        <v>·</v>
      </c>
      <c r="J19" s="20">
        <f t="shared" si="1"/>
        <v>0.95771375500528777</v>
      </c>
      <c r="K19" s="20">
        <f t="shared" si="2"/>
        <v>0.87847149637567412</v>
      </c>
      <c r="L19" s="20">
        <f t="shared" si="3"/>
        <v>7.894296343893259E-2</v>
      </c>
      <c r="M19" s="21"/>
      <c r="N19" s="20">
        <f t="shared" si="4"/>
        <v>0.95771375500528777</v>
      </c>
      <c r="O19" s="22">
        <v>2592758</v>
      </c>
      <c r="P19" s="23">
        <v>2483120</v>
      </c>
      <c r="Q19" s="23">
        <v>2277664</v>
      </c>
      <c r="R19" s="23">
        <v>204680</v>
      </c>
      <c r="S19" s="24"/>
      <c r="T19" s="25">
        <v>36.694800000000001</v>
      </c>
      <c r="U19" s="25">
        <v>44.619</v>
      </c>
      <c r="V19" s="25">
        <v>47.8626</v>
      </c>
      <c r="W19" s="26"/>
      <c r="X19" s="27"/>
      <c r="Y19" s="27"/>
      <c r="AA19" s="19" t="str">
        <f t="shared" si="5"/>
        <v>·</v>
      </c>
      <c r="AB19" s="20">
        <f t="shared" si="6"/>
        <v>0.92742014488047086</v>
      </c>
      <c r="AC19" s="20">
        <f t="shared" si="7"/>
        <v>0.87847149637567412</v>
      </c>
      <c r="AD19" s="20">
        <f t="shared" si="8"/>
        <v>4.8652438831545401E-2</v>
      </c>
      <c r="AE19" s="21"/>
      <c r="AF19" s="20">
        <f t="shared" si="9"/>
        <v>0.92742014488047086</v>
      </c>
      <c r="AG19" s="22">
        <v>2592758</v>
      </c>
      <c r="AH19" s="23">
        <v>2404576</v>
      </c>
      <c r="AI19" s="23">
        <v>2277664</v>
      </c>
      <c r="AJ19" s="23">
        <v>126144</v>
      </c>
      <c r="AK19" s="24"/>
      <c r="AL19" s="25">
        <v>34.703699999999998</v>
      </c>
      <c r="AM19" s="25">
        <v>43.591999999999999</v>
      </c>
      <c r="AN19" s="25">
        <v>46.078299999999999</v>
      </c>
      <c r="AO19" s="26"/>
      <c r="AP19" s="27"/>
      <c r="AQ19" s="27"/>
      <c r="AS19" s="28">
        <f t="shared" si="10"/>
        <v>2.9961700349430465E-2</v>
      </c>
      <c r="AT19" s="28"/>
      <c r="AV19" s="29"/>
      <c r="AW19" s="29"/>
      <c r="AX19" s="29"/>
      <c r="AY19" s="30"/>
      <c r="BA19" s="29"/>
      <c r="BB19" s="29"/>
      <c r="BC19" s="29"/>
      <c r="BD19" s="30"/>
    </row>
    <row r="20" spans="1:56" outlineLevel="1" x14ac:dyDescent="0.15">
      <c r="A20" s="31"/>
      <c r="B20" s="31" t="s">
        <v>236</v>
      </c>
      <c r="C20" s="32" t="s">
        <v>228</v>
      </c>
      <c r="D20" s="31">
        <v>2592758</v>
      </c>
      <c r="E20" s="33">
        <v>11</v>
      </c>
      <c r="F20" s="32">
        <v>1</v>
      </c>
      <c r="G20" s="32"/>
      <c r="I20" s="34" t="str">
        <f t="shared" si="0"/>
        <v>·</v>
      </c>
      <c r="J20" s="35">
        <f t="shared" si="1"/>
        <v>1.0491098667904988</v>
      </c>
      <c r="K20" s="35">
        <f t="shared" si="2"/>
        <v>0.87847149637567412</v>
      </c>
      <c r="L20" s="35">
        <f t="shared" si="3"/>
        <v>0.17033907522414354</v>
      </c>
      <c r="M20" s="36"/>
      <c r="N20" s="35">
        <f t="shared" si="4"/>
        <v>1.0491098667904988</v>
      </c>
      <c r="O20" s="37">
        <v>2592758</v>
      </c>
      <c r="P20" s="38">
        <v>2720088</v>
      </c>
      <c r="Q20" s="38">
        <v>2277664</v>
      </c>
      <c r="R20" s="38">
        <v>441648</v>
      </c>
      <c r="S20" s="39"/>
      <c r="T20" s="40">
        <v>39.068199999999997</v>
      </c>
      <c r="U20" s="40">
        <v>45.698</v>
      </c>
      <c r="V20" s="40">
        <v>49.233600000000003</v>
      </c>
      <c r="W20" s="41"/>
      <c r="X20" s="42"/>
      <c r="Y20" s="42"/>
      <c r="AA20" s="34" t="str">
        <f t="shared" si="5"/>
        <v>·</v>
      </c>
      <c r="AB20" s="35">
        <f t="shared" si="6"/>
        <v>0.98529519530939635</v>
      </c>
      <c r="AC20" s="35">
        <f t="shared" si="7"/>
        <v>0.87847149637567412</v>
      </c>
      <c r="AD20" s="35">
        <f t="shared" si="8"/>
        <v>0.1065274892604709</v>
      </c>
      <c r="AE20" s="36"/>
      <c r="AF20" s="35">
        <f t="shared" si="9"/>
        <v>0.98529519530939635</v>
      </c>
      <c r="AG20" s="37">
        <v>2592758</v>
      </c>
      <c r="AH20" s="38">
        <v>2554632</v>
      </c>
      <c r="AI20" s="38">
        <v>2277664</v>
      </c>
      <c r="AJ20" s="38">
        <v>276200</v>
      </c>
      <c r="AK20" s="39"/>
      <c r="AL20" s="40">
        <v>37.3797</v>
      </c>
      <c r="AM20" s="40">
        <v>44.7194</v>
      </c>
      <c r="AN20" s="40">
        <v>47.758099999999999</v>
      </c>
      <c r="AO20" s="41"/>
      <c r="AP20" s="42"/>
      <c r="AQ20" s="42"/>
      <c r="AS20" s="43">
        <f t="shared" si="10"/>
        <v>5.4232656208905161E-2</v>
      </c>
      <c r="AT20" s="43"/>
      <c r="AV20" s="44"/>
      <c r="AW20" s="44"/>
      <c r="AX20" s="44"/>
      <c r="AY20" s="45"/>
      <c r="BA20" s="44"/>
      <c r="BB20" s="44"/>
      <c r="BC20" s="44"/>
      <c r="BD20" s="45"/>
    </row>
    <row r="21" spans="1:56" outlineLevel="1" x14ac:dyDescent="0.15">
      <c r="A21" s="16"/>
      <c r="B21" s="16" t="s">
        <v>236</v>
      </c>
      <c r="C21" s="17" t="s">
        <v>229</v>
      </c>
      <c r="D21" s="16">
        <v>2592758</v>
      </c>
      <c r="E21" s="18">
        <v>11</v>
      </c>
      <c r="F21" s="17">
        <v>1</v>
      </c>
      <c r="G21" s="17"/>
      <c r="I21" s="19" t="str">
        <f t="shared" si="0"/>
        <v>·</v>
      </c>
      <c r="J21" s="20">
        <f t="shared" si="1"/>
        <v>1.2520721177988845</v>
      </c>
      <c r="K21" s="20">
        <f t="shared" si="2"/>
        <v>0.87847149637567412</v>
      </c>
      <c r="L21" s="20">
        <f t="shared" si="3"/>
        <v>0.37330132623252921</v>
      </c>
      <c r="M21" s="21"/>
      <c r="N21" s="20">
        <f t="shared" si="4"/>
        <v>1.2520721177988845</v>
      </c>
      <c r="O21" s="22">
        <v>2592758</v>
      </c>
      <c r="P21" s="23">
        <v>3246320</v>
      </c>
      <c r="Q21" s="23">
        <v>2277664</v>
      </c>
      <c r="R21" s="23">
        <v>967880</v>
      </c>
      <c r="S21" s="24"/>
      <c r="T21" s="25">
        <v>41.421799999999998</v>
      </c>
      <c r="U21" s="25">
        <v>46.9572</v>
      </c>
      <c r="V21" s="25">
        <v>50.462600000000002</v>
      </c>
      <c r="W21" s="26"/>
      <c r="X21" s="27"/>
      <c r="Y21" s="27"/>
      <c r="AA21" s="19" t="str">
        <f t="shared" si="5"/>
        <v>·</v>
      </c>
      <c r="AB21" s="20">
        <f t="shared" si="6"/>
        <v>1.1199687745636113</v>
      </c>
      <c r="AC21" s="20">
        <f t="shared" si="7"/>
        <v>0.87847149637567412</v>
      </c>
      <c r="AD21" s="20">
        <f t="shared" si="8"/>
        <v>0.2412010685146859</v>
      </c>
      <c r="AE21" s="21"/>
      <c r="AF21" s="20">
        <f t="shared" si="9"/>
        <v>1.1199687745636113</v>
      </c>
      <c r="AG21" s="22">
        <v>2592758</v>
      </c>
      <c r="AH21" s="23">
        <v>2903808</v>
      </c>
      <c r="AI21" s="23">
        <v>2277664</v>
      </c>
      <c r="AJ21" s="23">
        <v>625376</v>
      </c>
      <c r="AK21" s="24"/>
      <c r="AL21" s="25">
        <v>40.155099999999997</v>
      </c>
      <c r="AM21" s="25">
        <v>45.9345</v>
      </c>
      <c r="AN21" s="25">
        <v>49.273000000000003</v>
      </c>
      <c r="AO21" s="26"/>
      <c r="AP21" s="27"/>
      <c r="AQ21" s="27"/>
      <c r="AS21" s="28">
        <f t="shared" si="10"/>
        <v>8.2757283105762247E-2</v>
      </c>
      <c r="AT21" s="28"/>
      <c r="AV21" s="29"/>
      <c r="AW21" s="29"/>
      <c r="AX21" s="29"/>
      <c r="AY21" s="30"/>
      <c r="BA21" s="29"/>
      <c r="BB21" s="29"/>
      <c r="BC21" s="29"/>
      <c r="BD21" s="30"/>
    </row>
    <row r="22" spans="1:56" outlineLevel="1" x14ac:dyDescent="0.15">
      <c r="A22" s="31"/>
      <c r="B22" s="46" t="s">
        <v>236</v>
      </c>
      <c r="C22" s="47" t="s">
        <v>230</v>
      </c>
      <c r="D22" s="46">
        <v>2592758</v>
      </c>
      <c r="E22" s="48">
        <v>11</v>
      </c>
      <c r="F22" s="47">
        <v>1</v>
      </c>
      <c r="G22" s="47"/>
      <c r="I22" s="49" t="str">
        <f t="shared" si="0"/>
        <v>·</v>
      </c>
      <c r="J22" s="50">
        <f t="shared" si="1"/>
        <v>1.728796902757604</v>
      </c>
      <c r="K22" s="50">
        <f t="shared" si="2"/>
        <v>0.87847149637567412</v>
      </c>
      <c r="L22" s="50">
        <f t="shared" si="3"/>
        <v>0.85002611119124882</v>
      </c>
      <c r="M22" s="51"/>
      <c r="N22" s="50">
        <f t="shared" si="4"/>
        <v>1.728796902757604</v>
      </c>
      <c r="O22" s="52">
        <v>2592758</v>
      </c>
      <c r="P22" s="53">
        <v>4482352</v>
      </c>
      <c r="Q22" s="53">
        <v>2277664</v>
      </c>
      <c r="R22" s="53">
        <v>2203912</v>
      </c>
      <c r="S22" s="54"/>
      <c r="T22" s="55">
        <v>43.921599999999998</v>
      </c>
      <c r="U22" s="55">
        <v>48.514400000000002</v>
      </c>
      <c r="V22" s="55">
        <v>51.603000000000002</v>
      </c>
      <c r="W22" s="56"/>
      <c r="X22" s="57"/>
      <c r="Y22" s="57"/>
      <c r="AA22" s="49" t="str">
        <f t="shared" si="5"/>
        <v>·</v>
      </c>
      <c r="AB22" s="50">
        <f t="shared" si="6"/>
        <v>1.425416486999558</v>
      </c>
      <c r="AC22" s="50">
        <f t="shared" si="7"/>
        <v>0.87847149637567412</v>
      </c>
      <c r="AD22" s="50">
        <f t="shared" si="8"/>
        <v>0.54664878095063252</v>
      </c>
      <c r="AE22" s="51"/>
      <c r="AF22" s="50">
        <f t="shared" si="9"/>
        <v>1.425416486999558</v>
      </c>
      <c r="AG22" s="52">
        <v>2592758</v>
      </c>
      <c r="AH22" s="53">
        <v>3695760</v>
      </c>
      <c r="AI22" s="53">
        <v>2277664</v>
      </c>
      <c r="AJ22" s="53">
        <v>1417328</v>
      </c>
      <c r="AK22" s="54"/>
      <c r="AL22" s="55">
        <v>42.762599999999999</v>
      </c>
      <c r="AM22" s="55">
        <v>47.4191</v>
      </c>
      <c r="AN22" s="55">
        <v>50.493600000000001</v>
      </c>
      <c r="AO22" s="56"/>
      <c r="AP22" s="57"/>
      <c r="AQ22" s="57"/>
      <c r="AS22" s="58">
        <f t="shared" si="10"/>
        <v>0.10815073199042247</v>
      </c>
      <c r="AT22" s="58"/>
      <c r="AV22" s="59"/>
      <c r="AW22" s="59"/>
      <c r="AX22" s="59"/>
      <c r="AY22" s="60"/>
      <c r="BA22" s="59"/>
      <c r="BB22" s="59"/>
      <c r="BC22" s="59"/>
      <c r="BD22" s="60"/>
    </row>
    <row r="23" spans="1:56" collapsed="1" x14ac:dyDescent="0.15">
      <c r="A23" s="16"/>
      <c r="B23" s="16" t="s">
        <v>239</v>
      </c>
      <c r="C23" s="17" t="s">
        <v>225</v>
      </c>
      <c r="D23" s="16">
        <v>272684</v>
      </c>
      <c r="E23" s="18">
        <v>12</v>
      </c>
      <c r="F23" s="17">
        <v>1</v>
      </c>
      <c r="G23" s="17"/>
      <c r="I23" s="19" t="str">
        <f t="shared" si="0"/>
        <v>·</v>
      </c>
      <c r="J23" s="20">
        <f t="shared" si="1"/>
        <v>11.776913937011338</v>
      </c>
      <c r="K23" s="20">
        <f t="shared" si="2"/>
        <v>11.739009256135306</v>
      </c>
      <c r="L23" s="20">
        <f t="shared" si="3"/>
        <v>3.6027049625207197E-2</v>
      </c>
      <c r="M23" s="21"/>
      <c r="N23" s="20">
        <f t="shared" si="4"/>
        <v>11.776913937011338</v>
      </c>
      <c r="O23" s="22">
        <v>272684</v>
      </c>
      <c r="P23" s="23">
        <v>3211376</v>
      </c>
      <c r="Q23" s="23">
        <v>3201040</v>
      </c>
      <c r="R23" s="23">
        <v>9824</v>
      </c>
      <c r="S23" s="24"/>
      <c r="T23" s="25">
        <v>28.810099999999998</v>
      </c>
      <c r="U23" s="25">
        <v>37.8752</v>
      </c>
      <c r="V23" s="25">
        <v>39.707900000000002</v>
      </c>
      <c r="W23" s="26"/>
      <c r="X23" s="27"/>
      <c r="Y23" s="27"/>
      <c r="AA23" s="19" t="str">
        <f t="shared" si="5"/>
        <v>·</v>
      </c>
      <c r="AB23" s="20">
        <f t="shared" si="6"/>
        <v>11.753942292177026</v>
      </c>
      <c r="AC23" s="20">
        <f t="shared" si="7"/>
        <v>11.739009256135306</v>
      </c>
      <c r="AD23" s="20">
        <f t="shared" si="8"/>
        <v>1.3084742779187631E-2</v>
      </c>
      <c r="AE23" s="21"/>
      <c r="AF23" s="20">
        <f t="shared" si="9"/>
        <v>11.753942292177026</v>
      </c>
      <c r="AG23" s="22">
        <v>272684</v>
      </c>
      <c r="AH23" s="23">
        <v>3205112</v>
      </c>
      <c r="AI23" s="23">
        <v>3201040</v>
      </c>
      <c r="AJ23" s="23">
        <v>3568</v>
      </c>
      <c r="AK23" s="24"/>
      <c r="AL23" s="25">
        <v>27.117999999999999</v>
      </c>
      <c r="AM23" s="25">
        <v>37.822000000000003</v>
      </c>
      <c r="AN23" s="25">
        <v>38.570099999999996</v>
      </c>
      <c r="AO23" s="26"/>
      <c r="AP23" s="27"/>
      <c r="AQ23" s="27"/>
      <c r="AS23" s="28">
        <f t="shared" si="10"/>
        <v>1.9480876027183625E-3</v>
      </c>
      <c r="AT23" s="28">
        <f t="array" ref="AT23">AVERAGE(AI23:AI28/AH23:AH28) - AVERAGE(Q23:Q28/P23:P28)</f>
        <v>1.2980989163272727E-2</v>
      </c>
      <c r="AV23" s="29">
        <f>IF( OR(ISBLANK(R23:R28),ISBLANK(AJ23:AJ28), ISBLANK(T23:T28),ISBLANK(AL23:AL28)), "·", bdRateExtend( R23:R28,T23:T28, AJ23:AJ28,AL23:AL28))</f>
        <v>-2.9884719770643664E-2</v>
      </c>
      <c r="AW23" s="29">
        <f>IF( OR(ISBLANK(R23:R28),ISBLANK(AJ23:AJ28), ISBLANK(U23:U28),ISBLANK(AM23:AM28)), "·", bdRateExtend( R23:R28,U23:U28, AJ23:AJ28,AM23:AM28))</f>
        <v>5.8359735533205948E-2</v>
      </c>
      <c r="AX23" s="29">
        <f>IF( OR(ISBLANK(R23:R28),ISBLANK(AJ23:AJ28), ISBLANK(V23:V28),ISBLANK(AN23:AN28)), "·", bdRateExtend( R23:R28,V23:V28, AJ23:AJ28,AN23:AN28))</f>
        <v>0.23786955605508586</v>
      </c>
      <c r="AY23" s="30"/>
      <c r="BA23" s="29">
        <f>IF( OR(ISBLANK(P23:P28),ISBLANK(AH23:AH28), ISBLANK(T23:T28),ISBLANK(AL23:AL28)), "·", bdRateExtend( P23:P28,T23:T28, AH23:AH28,AL23:AL28))</f>
        <v>-4.641652156249787E-4</v>
      </c>
      <c r="BB23" s="29">
        <f>IF( OR(ISBLANK(P23:P28),ISBLANK(AH23:AH28), ISBLANK(U23:U28),ISBLANK(AM23:AM28)), "·", bdRateExtend( P23:P28,U23:U28, AH23:AH28,AM23:AM28))</f>
        <v>4.1690327917158765E-3</v>
      </c>
      <c r="BC23" s="29">
        <f>IF( OR(ISBLANK(P23:P28),ISBLANK(AH23:AH28), ISBLANK(V23:V28),ISBLANK(AN23:AN28)), "·", bdRateExtend( P23:P28,V23:V28, AH23:AH28,AN23:AN28))</f>
        <v>6.9034141521382431E-3</v>
      </c>
      <c r="BD23" s="30"/>
    </row>
    <row r="24" spans="1:56" outlineLevel="1" x14ac:dyDescent="0.15">
      <c r="A24" s="31"/>
      <c r="B24" s="31" t="s">
        <v>239</v>
      </c>
      <c r="C24" s="32" t="s">
        <v>226</v>
      </c>
      <c r="D24" s="31">
        <v>272684</v>
      </c>
      <c r="E24" s="33">
        <v>12</v>
      </c>
      <c r="F24" s="32">
        <v>1</v>
      </c>
      <c r="G24" s="32"/>
      <c r="I24" s="34" t="str">
        <f t="shared" si="0"/>
        <v>·</v>
      </c>
      <c r="J24" s="35">
        <f t="shared" si="1"/>
        <v>11.81863255636561</v>
      </c>
      <c r="K24" s="35">
        <f t="shared" si="2"/>
        <v>11.739009256135306</v>
      </c>
      <c r="L24" s="35">
        <f t="shared" si="3"/>
        <v>7.7745668979478072E-2</v>
      </c>
      <c r="M24" s="36"/>
      <c r="N24" s="35">
        <f t="shared" si="4"/>
        <v>11.81863255636561</v>
      </c>
      <c r="O24" s="37">
        <v>272684</v>
      </c>
      <c r="P24" s="38">
        <v>3222752</v>
      </c>
      <c r="Q24" s="38">
        <v>3201040</v>
      </c>
      <c r="R24" s="38">
        <v>21200</v>
      </c>
      <c r="S24" s="39"/>
      <c r="T24" s="40">
        <v>30.8184</v>
      </c>
      <c r="U24" s="40">
        <v>39.9557</v>
      </c>
      <c r="V24" s="40">
        <v>40.752499999999998</v>
      </c>
      <c r="W24" s="41"/>
      <c r="X24" s="42"/>
      <c r="Y24" s="42"/>
      <c r="AA24" s="34" t="str">
        <f t="shared" si="5"/>
        <v>·</v>
      </c>
      <c r="AB24" s="35">
        <f t="shared" si="6"/>
        <v>11.777177978905986</v>
      </c>
      <c r="AC24" s="35">
        <f t="shared" si="7"/>
        <v>11.739009256135306</v>
      </c>
      <c r="AD24" s="35">
        <f t="shared" si="8"/>
        <v>3.6320429508148629E-2</v>
      </c>
      <c r="AE24" s="36"/>
      <c r="AF24" s="35">
        <f t="shared" si="9"/>
        <v>11.777177978905986</v>
      </c>
      <c r="AG24" s="37">
        <v>272684</v>
      </c>
      <c r="AH24" s="38">
        <v>3211448</v>
      </c>
      <c r="AI24" s="38">
        <v>3201040</v>
      </c>
      <c r="AJ24" s="38">
        <v>9904</v>
      </c>
      <c r="AK24" s="39"/>
      <c r="AL24" s="40">
        <v>29.056100000000001</v>
      </c>
      <c r="AM24" s="40">
        <v>38.722099999999998</v>
      </c>
      <c r="AN24" s="40">
        <v>39.735999999999997</v>
      </c>
      <c r="AO24" s="41"/>
      <c r="AP24" s="42"/>
      <c r="AQ24" s="42"/>
      <c r="AS24" s="43">
        <f t="shared" si="10"/>
        <v>3.4961935645123621E-3</v>
      </c>
      <c r="AT24" s="43"/>
      <c r="AV24" s="44"/>
      <c r="AW24" s="44"/>
      <c r="AX24" s="44"/>
      <c r="AY24" s="45"/>
      <c r="BA24" s="44"/>
      <c r="BB24" s="44"/>
      <c r="BC24" s="44"/>
      <c r="BD24" s="45"/>
    </row>
    <row r="25" spans="1:56" outlineLevel="1" x14ac:dyDescent="0.15">
      <c r="A25" s="16"/>
      <c r="B25" s="16" t="s">
        <v>239</v>
      </c>
      <c r="C25" s="17" t="s">
        <v>227</v>
      </c>
      <c r="D25" s="16">
        <v>272684</v>
      </c>
      <c r="E25" s="18">
        <v>12</v>
      </c>
      <c r="F25" s="17">
        <v>1</v>
      </c>
      <c r="G25" s="17"/>
      <c r="I25" s="19" t="str">
        <f t="shared" si="0"/>
        <v>·</v>
      </c>
      <c r="J25" s="20">
        <f t="shared" si="1"/>
        <v>11.92046471373458</v>
      </c>
      <c r="K25" s="20">
        <f t="shared" si="2"/>
        <v>11.739009256135306</v>
      </c>
      <c r="L25" s="20">
        <f t="shared" si="3"/>
        <v>0.17957782634844729</v>
      </c>
      <c r="M25" s="21"/>
      <c r="N25" s="20">
        <f t="shared" si="4"/>
        <v>11.92046471373458</v>
      </c>
      <c r="O25" s="22">
        <v>272684</v>
      </c>
      <c r="P25" s="23">
        <v>3250520</v>
      </c>
      <c r="Q25" s="23">
        <v>3201040</v>
      </c>
      <c r="R25" s="23">
        <v>48968</v>
      </c>
      <c r="S25" s="24"/>
      <c r="T25" s="25">
        <v>33.498600000000003</v>
      </c>
      <c r="U25" s="25">
        <v>41.4587</v>
      </c>
      <c r="V25" s="25">
        <v>42.212499999999999</v>
      </c>
      <c r="W25" s="26"/>
      <c r="X25" s="27"/>
      <c r="Y25" s="27"/>
      <c r="AA25" s="19" t="str">
        <f t="shared" si="5"/>
        <v>·</v>
      </c>
      <c r="AB25" s="20">
        <f t="shared" si="6"/>
        <v>11.838905106276863</v>
      </c>
      <c r="AC25" s="20">
        <f t="shared" si="7"/>
        <v>11.739009256135306</v>
      </c>
      <c r="AD25" s="20">
        <f t="shared" si="8"/>
        <v>9.8047556879024805E-2</v>
      </c>
      <c r="AE25" s="21"/>
      <c r="AF25" s="20">
        <f t="shared" si="9"/>
        <v>11.838905106276863</v>
      </c>
      <c r="AG25" s="22">
        <v>272684</v>
      </c>
      <c r="AH25" s="23">
        <v>3228280</v>
      </c>
      <c r="AI25" s="23">
        <v>3201040</v>
      </c>
      <c r="AJ25" s="23">
        <v>26736</v>
      </c>
      <c r="AK25" s="24"/>
      <c r="AL25" s="25">
        <v>31.689800000000002</v>
      </c>
      <c r="AM25" s="25">
        <v>40.109900000000003</v>
      </c>
      <c r="AN25" s="25">
        <v>40.758099999999999</v>
      </c>
      <c r="AO25" s="26"/>
      <c r="AP25" s="27"/>
      <c r="AQ25" s="27"/>
      <c r="AS25" s="28">
        <f t="shared" si="10"/>
        <v>6.7842500404087236E-3</v>
      </c>
      <c r="AT25" s="28"/>
      <c r="AV25" s="29"/>
      <c r="AW25" s="29"/>
      <c r="AX25" s="29"/>
      <c r="AY25" s="30"/>
      <c r="BA25" s="29"/>
      <c r="BB25" s="29"/>
      <c r="BC25" s="29"/>
      <c r="BD25" s="30"/>
    </row>
    <row r="26" spans="1:56" outlineLevel="1" x14ac:dyDescent="0.15">
      <c r="A26" s="31"/>
      <c r="B26" s="31" t="s">
        <v>239</v>
      </c>
      <c r="C26" s="32" t="s">
        <v>228</v>
      </c>
      <c r="D26" s="31">
        <v>272684</v>
      </c>
      <c r="E26" s="33">
        <v>12</v>
      </c>
      <c r="F26" s="32">
        <v>1</v>
      </c>
      <c r="G26" s="32"/>
      <c r="I26" s="34" t="str">
        <f t="shared" si="0"/>
        <v>·</v>
      </c>
      <c r="J26" s="35">
        <f t="shared" si="1"/>
        <v>12.133047776913937</v>
      </c>
      <c r="K26" s="35">
        <f t="shared" si="2"/>
        <v>11.739009256135306</v>
      </c>
      <c r="L26" s="35">
        <f t="shared" si="3"/>
        <v>0.39216088952780509</v>
      </c>
      <c r="M26" s="36"/>
      <c r="N26" s="35">
        <f t="shared" si="4"/>
        <v>12.133047776913937</v>
      </c>
      <c r="O26" s="37">
        <v>272684</v>
      </c>
      <c r="P26" s="38">
        <v>3308488</v>
      </c>
      <c r="Q26" s="38">
        <v>3201040</v>
      </c>
      <c r="R26" s="38">
        <v>106936</v>
      </c>
      <c r="S26" s="39"/>
      <c r="T26" s="40">
        <v>36.295499999999997</v>
      </c>
      <c r="U26" s="40">
        <v>43.271700000000003</v>
      </c>
      <c r="V26" s="40">
        <v>43.846499999999999</v>
      </c>
      <c r="W26" s="41"/>
      <c r="X26" s="42"/>
      <c r="Y26" s="42"/>
      <c r="AA26" s="34" t="str">
        <f t="shared" si="5"/>
        <v>·</v>
      </c>
      <c r="AB26" s="35">
        <f t="shared" si="6"/>
        <v>11.968520338560385</v>
      </c>
      <c r="AC26" s="35">
        <f t="shared" si="7"/>
        <v>11.739009256135306</v>
      </c>
      <c r="AD26" s="35">
        <f t="shared" si="8"/>
        <v>0.22766278916254712</v>
      </c>
      <c r="AE26" s="36"/>
      <c r="AF26" s="35">
        <f t="shared" si="9"/>
        <v>11.968520338560385</v>
      </c>
      <c r="AG26" s="37">
        <v>272684</v>
      </c>
      <c r="AH26" s="38">
        <v>3263624</v>
      </c>
      <c r="AI26" s="38">
        <v>3201040</v>
      </c>
      <c r="AJ26" s="38">
        <v>62080</v>
      </c>
      <c r="AK26" s="39"/>
      <c r="AL26" s="40">
        <v>34.4084</v>
      </c>
      <c r="AM26" s="40">
        <v>41.634</v>
      </c>
      <c r="AN26" s="40">
        <v>42.241399999999999</v>
      </c>
      <c r="AO26" s="41"/>
      <c r="AP26" s="42"/>
      <c r="AQ26" s="42"/>
      <c r="AS26" s="43">
        <f t="shared" si="10"/>
        <v>1.3300237957204697E-2</v>
      </c>
      <c r="AT26" s="43"/>
      <c r="AV26" s="44"/>
      <c r="AW26" s="44"/>
      <c r="AX26" s="44"/>
      <c r="AY26" s="45"/>
      <c r="BA26" s="44"/>
      <c r="BB26" s="44"/>
      <c r="BC26" s="44"/>
      <c r="BD26" s="45"/>
    </row>
    <row r="27" spans="1:56" outlineLevel="1" x14ac:dyDescent="0.15">
      <c r="A27" s="16"/>
      <c r="B27" s="16" t="s">
        <v>239</v>
      </c>
      <c r="C27" s="17" t="s">
        <v>229</v>
      </c>
      <c r="D27" s="16">
        <v>272684</v>
      </c>
      <c r="E27" s="18">
        <v>12</v>
      </c>
      <c r="F27" s="17">
        <v>1</v>
      </c>
      <c r="G27" s="17"/>
      <c r="I27" s="19" t="str">
        <f t="shared" si="0"/>
        <v>·</v>
      </c>
      <c r="J27" s="20">
        <f t="shared" si="1"/>
        <v>12.563993486966599</v>
      </c>
      <c r="K27" s="20">
        <f t="shared" si="2"/>
        <v>11.739009256135306</v>
      </c>
      <c r="L27" s="20">
        <f t="shared" si="3"/>
        <v>0.82310659958046672</v>
      </c>
      <c r="M27" s="21"/>
      <c r="N27" s="20">
        <f t="shared" si="4"/>
        <v>12.563993486966599</v>
      </c>
      <c r="O27" s="22">
        <v>272684</v>
      </c>
      <c r="P27" s="23">
        <v>3426000</v>
      </c>
      <c r="Q27" s="23">
        <v>3201040</v>
      </c>
      <c r="R27" s="23">
        <v>224448</v>
      </c>
      <c r="S27" s="24"/>
      <c r="T27" s="25">
        <v>39.447800000000001</v>
      </c>
      <c r="U27" s="25">
        <v>45.328000000000003</v>
      </c>
      <c r="V27" s="25">
        <v>45.687800000000003</v>
      </c>
      <c r="W27" s="26"/>
      <c r="X27" s="27"/>
      <c r="Y27" s="27"/>
      <c r="AA27" s="19" t="str">
        <f t="shared" si="5"/>
        <v>·</v>
      </c>
      <c r="AB27" s="20">
        <f t="shared" si="6"/>
        <v>12.29481744436784</v>
      </c>
      <c r="AC27" s="20">
        <f t="shared" si="7"/>
        <v>11.739009256135306</v>
      </c>
      <c r="AD27" s="20">
        <f t="shared" si="8"/>
        <v>0.55395989497000186</v>
      </c>
      <c r="AE27" s="21"/>
      <c r="AF27" s="20">
        <f t="shared" si="9"/>
        <v>12.29481744436784</v>
      </c>
      <c r="AG27" s="22">
        <v>272684</v>
      </c>
      <c r="AH27" s="23">
        <v>3352600</v>
      </c>
      <c r="AI27" s="23">
        <v>3201040</v>
      </c>
      <c r="AJ27" s="23">
        <v>151056</v>
      </c>
      <c r="AK27" s="24"/>
      <c r="AL27" s="25">
        <v>37.681800000000003</v>
      </c>
      <c r="AM27" s="25">
        <v>43.7545</v>
      </c>
      <c r="AN27" s="25">
        <v>44.082299999999996</v>
      </c>
      <c r="AO27" s="26"/>
      <c r="AP27" s="27"/>
      <c r="AQ27" s="27"/>
      <c r="AS27" s="28">
        <f t="shared" si="10"/>
        <v>2.0455875024843362E-2</v>
      </c>
      <c r="AT27" s="28"/>
      <c r="AV27" s="29"/>
      <c r="AW27" s="29"/>
      <c r="AX27" s="29"/>
      <c r="AY27" s="30"/>
      <c r="BA27" s="29"/>
      <c r="BB27" s="29"/>
      <c r="BC27" s="29"/>
      <c r="BD27" s="30"/>
    </row>
    <row r="28" spans="1:56" outlineLevel="1" x14ac:dyDescent="0.15">
      <c r="A28" s="31"/>
      <c r="B28" s="46" t="s">
        <v>239</v>
      </c>
      <c r="C28" s="47" t="s">
        <v>230</v>
      </c>
      <c r="D28" s="46">
        <v>272684</v>
      </c>
      <c r="E28" s="48">
        <v>12</v>
      </c>
      <c r="F28" s="47">
        <v>1</v>
      </c>
      <c r="G28" s="47"/>
      <c r="I28" s="49" t="str">
        <f t="shared" si="0"/>
        <v>·</v>
      </c>
      <c r="J28" s="50">
        <f t="shared" si="1"/>
        <v>13.372753810271229</v>
      </c>
      <c r="K28" s="50">
        <f t="shared" si="2"/>
        <v>11.739009256135306</v>
      </c>
      <c r="L28" s="50">
        <f t="shared" si="3"/>
        <v>1.6318669228850977</v>
      </c>
      <c r="M28" s="51"/>
      <c r="N28" s="50">
        <f t="shared" si="4"/>
        <v>13.372753810271229</v>
      </c>
      <c r="O28" s="52">
        <v>272684</v>
      </c>
      <c r="P28" s="53">
        <v>3646536</v>
      </c>
      <c r="Q28" s="53">
        <v>3201040</v>
      </c>
      <c r="R28" s="53">
        <v>444984</v>
      </c>
      <c r="S28" s="54"/>
      <c r="T28" s="55">
        <v>42.9604</v>
      </c>
      <c r="U28" s="55">
        <v>47.493099999999998</v>
      </c>
      <c r="V28" s="55">
        <v>47.7027</v>
      </c>
      <c r="W28" s="56"/>
      <c r="X28" s="57"/>
      <c r="Y28" s="57"/>
      <c r="AA28" s="49" t="str">
        <f t="shared" si="5"/>
        <v>·</v>
      </c>
      <c r="AB28" s="50">
        <f t="shared" si="6"/>
        <v>12.903815405377653</v>
      </c>
      <c r="AC28" s="50">
        <f t="shared" si="7"/>
        <v>11.739009256135306</v>
      </c>
      <c r="AD28" s="50">
        <f t="shared" si="8"/>
        <v>1.1629578559798155</v>
      </c>
      <c r="AE28" s="51"/>
      <c r="AF28" s="50">
        <f t="shared" si="9"/>
        <v>12.903815405377653</v>
      </c>
      <c r="AG28" s="52">
        <v>272684</v>
      </c>
      <c r="AH28" s="53">
        <v>3518664</v>
      </c>
      <c r="AI28" s="53">
        <v>3201040</v>
      </c>
      <c r="AJ28" s="53">
        <v>317120</v>
      </c>
      <c r="AK28" s="54"/>
      <c r="AL28" s="55">
        <v>41.2729</v>
      </c>
      <c r="AM28" s="55">
        <v>45.868000000000002</v>
      </c>
      <c r="AN28" s="55">
        <v>46.04</v>
      </c>
      <c r="AO28" s="56"/>
      <c r="AP28" s="57"/>
      <c r="AQ28" s="57"/>
      <c r="AS28" s="58">
        <f t="shared" si="10"/>
        <v>3.1901290789948633E-2</v>
      </c>
      <c r="AT28" s="58"/>
      <c r="AV28" s="59"/>
      <c r="AW28" s="59"/>
      <c r="AX28" s="59"/>
      <c r="AY28" s="60"/>
      <c r="BA28" s="59"/>
      <c r="BB28" s="59"/>
      <c r="BC28" s="59"/>
      <c r="BD28" s="60"/>
    </row>
    <row r="29" spans="1:56" collapsed="1" x14ac:dyDescent="0.15">
      <c r="A29" s="16"/>
      <c r="B29" s="16" t="s">
        <v>242</v>
      </c>
      <c r="C29" s="17" t="s">
        <v>225</v>
      </c>
      <c r="D29" s="16">
        <v>1596085</v>
      </c>
      <c r="E29" s="18">
        <v>12</v>
      </c>
      <c r="F29" s="17">
        <v>1</v>
      </c>
      <c r="G29" s="17"/>
      <c r="I29" s="19" t="str">
        <f t="shared" si="0"/>
        <v>·</v>
      </c>
      <c r="J29" s="20">
        <f t="shared" si="1"/>
        <v>7.0895973585366692</v>
      </c>
      <c r="K29" s="20">
        <f t="shared" si="2"/>
        <v>6.9863096263670164</v>
      </c>
      <c r="L29" s="20">
        <f t="shared" si="3"/>
        <v>0.10291682460520586</v>
      </c>
      <c r="M29" s="21"/>
      <c r="N29" s="20">
        <f t="shared" si="4"/>
        <v>7.0895973585366692</v>
      </c>
      <c r="O29" s="22">
        <v>1596085</v>
      </c>
      <c r="P29" s="23">
        <v>11315600</v>
      </c>
      <c r="Q29" s="23">
        <v>11150744</v>
      </c>
      <c r="R29" s="23">
        <v>164264</v>
      </c>
      <c r="S29" s="24"/>
      <c r="T29" s="25">
        <v>24.2959</v>
      </c>
      <c r="U29" s="25">
        <v>36.657299999999999</v>
      </c>
      <c r="V29" s="25">
        <v>36.761099999999999</v>
      </c>
      <c r="W29" s="26"/>
      <c r="X29" s="27"/>
      <c r="Y29" s="27"/>
      <c r="AA29" s="19" t="str">
        <f t="shared" si="5"/>
        <v>·</v>
      </c>
      <c r="AB29" s="20">
        <f t="shared" si="6"/>
        <v>7.0383720165279415</v>
      </c>
      <c r="AC29" s="20">
        <f t="shared" si="7"/>
        <v>6.9863096263670164</v>
      </c>
      <c r="AD29" s="20">
        <f t="shared" si="8"/>
        <v>5.1696494860862675E-2</v>
      </c>
      <c r="AE29" s="21"/>
      <c r="AF29" s="20">
        <f t="shared" si="9"/>
        <v>7.0383720165279415</v>
      </c>
      <c r="AG29" s="22">
        <v>1596085</v>
      </c>
      <c r="AH29" s="23">
        <v>11233840</v>
      </c>
      <c r="AI29" s="23">
        <v>11150744</v>
      </c>
      <c r="AJ29" s="23">
        <v>82512</v>
      </c>
      <c r="AK29" s="24"/>
      <c r="AL29" s="25">
        <v>21.9709</v>
      </c>
      <c r="AM29" s="25">
        <v>36.934399999999997</v>
      </c>
      <c r="AN29" s="25">
        <v>36.0989</v>
      </c>
      <c r="AO29" s="26"/>
      <c r="AP29" s="27"/>
      <c r="AQ29" s="27"/>
      <c r="AS29" s="28">
        <f t="shared" si="10"/>
        <v>7.1719773127356667E-3</v>
      </c>
      <c r="AT29" s="28">
        <f t="array" ref="AT29">AVERAGE(AI29:AI34/AH29:AH34) - AVERAGE(Q29:Q34/P29:P34)</f>
        <v>2.9527983048117656E-2</v>
      </c>
      <c r="AV29" s="29">
        <f>IF( OR(ISBLANK(R29:R34),ISBLANK(AJ29:AJ34), ISBLANK(T29:T34),ISBLANK(AL29:AL34)), "·", bdRateExtend( R29:R34,T29:T34, AJ29:AJ34,AL29:AL34))</f>
        <v>-3.418196516472638E-2</v>
      </c>
      <c r="AW29" s="29">
        <f>IF( OR(ISBLANK(R29:R34),ISBLANK(AJ29:AJ34), ISBLANK(U29:U34),ISBLANK(AM29:AM34)), "·", bdRateExtend( R29:R34,U29:U34, AJ29:AJ34,AM29:AM34))</f>
        <v>0.19070864756269357</v>
      </c>
      <c r="AX29" s="29">
        <f>IF( OR(ISBLANK(R29:R34),ISBLANK(AJ29:AJ34), ISBLANK(V29:V34),ISBLANK(AN29:AN34)), "·", bdRateExtend( R29:R34,V29:V34, AJ29:AJ34,AN29:AN34))</f>
        <v>0.20861540215033236</v>
      </c>
      <c r="AY29" s="30"/>
      <c r="BA29" s="29">
        <f>IF( OR(ISBLANK(P29:P34),ISBLANK(AH29:AH34), ISBLANK(T29:T34),ISBLANK(AL29:AL34)), "·", bdRateExtend( P29:P34,T29:T34, AH29:AH34,AL29:AL34))</f>
        <v>-8.9986951566219942E-3</v>
      </c>
      <c r="BB29" s="29">
        <f>IF( OR(ISBLANK(P29:P34),ISBLANK(AH29:AH34), ISBLANK(U29:U34),ISBLANK(AM29:AM34)), "·", bdRateExtend( P29:P34,U29:U34, AH29:AH34,AM29:AM34))</f>
        <v>2.2426190755266084E-2</v>
      </c>
      <c r="BC29" s="29">
        <f>IF( OR(ISBLANK(P29:P34),ISBLANK(AH29:AH34), ISBLANK(V29:V34),ISBLANK(AN29:AN34)), "·", bdRateExtend( P29:P34,V29:V34, AH29:AH34,AN29:AN34))</f>
        <v>1.7501186932769697E-2</v>
      </c>
      <c r="BD29" s="30"/>
    </row>
    <row r="30" spans="1:56" outlineLevel="1" x14ac:dyDescent="0.15">
      <c r="A30" s="31"/>
      <c r="B30" s="31" t="s">
        <v>242</v>
      </c>
      <c r="C30" s="32" t="s">
        <v>226</v>
      </c>
      <c r="D30" s="31">
        <v>1596085</v>
      </c>
      <c r="E30" s="33">
        <v>12</v>
      </c>
      <c r="F30" s="32">
        <v>1</v>
      </c>
      <c r="G30" s="32"/>
      <c r="I30" s="34" t="str">
        <f t="shared" si="0"/>
        <v>·</v>
      </c>
      <c r="J30" s="35">
        <f t="shared" si="1"/>
        <v>7.1933111331789972</v>
      </c>
      <c r="K30" s="35">
        <f t="shared" si="2"/>
        <v>6.9863096263670164</v>
      </c>
      <c r="L30" s="35">
        <f t="shared" si="3"/>
        <v>0.2066305992475338</v>
      </c>
      <c r="M30" s="36"/>
      <c r="N30" s="35">
        <f t="shared" si="4"/>
        <v>7.1933111331789972</v>
      </c>
      <c r="O30" s="37">
        <v>1596085</v>
      </c>
      <c r="P30" s="38">
        <v>11481136</v>
      </c>
      <c r="Q30" s="38">
        <v>11150744</v>
      </c>
      <c r="R30" s="38">
        <v>329800</v>
      </c>
      <c r="S30" s="39"/>
      <c r="T30" s="40">
        <v>26.6372</v>
      </c>
      <c r="U30" s="40">
        <v>38.769100000000002</v>
      </c>
      <c r="V30" s="40">
        <v>37.709400000000002</v>
      </c>
      <c r="W30" s="41"/>
      <c r="X30" s="42"/>
      <c r="Y30" s="42"/>
      <c r="AA30" s="34" t="str">
        <f t="shared" si="5"/>
        <v>·</v>
      </c>
      <c r="AB30" s="35">
        <f t="shared" si="6"/>
        <v>7.1035865884335738</v>
      </c>
      <c r="AC30" s="35">
        <f t="shared" si="7"/>
        <v>6.9863096263670164</v>
      </c>
      <c r="AD30" s="35">
        <f t="shared" si="8"/>
        <v>0.11691106676649426</v>
      </c>
      <c r="AE30" s="36"/>
      <c r="AF30" s="35">
        <f t="shared" si="9"/>
        <v>7.1035865884335738</v>
      </c>
      <c r="AG30" s="37">
        <v>1596085</v>
      </c>
      <c r="AH30" s="38">
        <v>11337928</v>
      </c>
      <c r="AI30" s="38">
        <v>11150744</v>
      </c>
      <c r="AJ30" s="38">
        <v>186600</v>
      </c>
      <c r="AK30" s="39"/>
      <c r="AL30" s="40">
        <v>24.38</v>
      </c>
      <c r="AM30" s="40">
        <v>37.6571</v>
      </c>
      <c r="AN30" s="40">
        <v>36.783200000000001</v>
      </c>
      <c r="AO30" s="41"/>
      <c r="AP30" s="42"/>
      <c r="AQ30" s="42"/>
      <c r="AS30" s="43">
        <f t="shared" si="10"/>
        <v>1.2267401195354743E-2</v>
      </c>
      <c r="AT30" s="43"/>
      <c r="AV30" s="44"/>
      <c r="AW30" s="44"/>
      <c r="AX30" s="44"/>
      <c r="AY30" s="45"/>
      <c r="BA30" s="44"/>
      <c r="BB30" s="44"/>
      <c r="BC30" s="44"/>
      <c r="BD30" s="45"/>
    </row>
    <row r="31" spans="1:56" outlineLevel="1" x14ac:dyDescent="0.15">
      <c r="A31" s="16"/>
      <c r="B31" s="16" t="s">
        <v>242</v>
      </c>
      <c r="C31" s="17" t="s">
        <v>227</v>
      </c>
      <c r="D31" s="16">
        <v>1596085</v>
      </c>
      <c r="E31" s="18">
        <v>12</v>
      </c>
      <c r="F31" s="17">
        <v>1</v>
      </c>
      <c r="G31" s="17"/>
      <c r="I31" s="19" t="str">
        <f t="shared" si="0"/>
        <v>·</v>
      </c>
      <c r="J31" s="20">
        <f t="shared" si="1"/>
        <v>7.4376038870110301</v>
      </c>
      <c r="K31" s="20">
        <f t="shared" si="2"/>
        <v>6.9863096263670164</v>
      </c>
      <c r="L31" s="20">
        <f t="shared" si="3"/>
        <v>0.45092335307956655</v>
      </c>
      <c r="M31" s="21"/>
      <c r="N31" s="20">
        <f t="shared" si="4"/>
        <v>7.4376038870110301</v>
      </c>
      <c r="O31" s="22">
        <v>1596085</v>
      </c>
      <c r="P31" s="23">
        <v>11871048</v>
      </c>
      <c r="Q31" s="23">
        <v>11150744</v>
      </c>
      <c r="R31" s="23">
        <v>719712</v>
      </c>
      <c r="S31" s="24"/>
      <c r="T31" s="25">
        <v>29.519600000000001</v>
      </c>
      <c r="U31" s="25">
        <v>40.478099999999998</v>
      </c>
      <c r="V31" s="25">
        <v>39.087699999999998</v>
      </c>
      <c r="W31" s="26"/>
      <c r="X31" s="27"/>
      <c r="Y31" s="27"/>
      <c r="AA31" s="19" t="str">
        <f t="shared" si="5"/>
        <v>·</v>
      </c>
      <c r="AB31" s="20">
        <f t="shared" si="6"/>
        <v>7.27172800947318</v>
      </c>
      <c r="AC31" s="20">
        <f t="shared" si="7"/>
        <v>6.9863096263670164</v>
      </c>
      <c r="AD31" s="20">
        <f t="shared" si="8"/>
        <v>0.28505248780610054</v>
      </c>
      <c r="AE31" s="21"/>
      <c r="AF31" s="20">
        <f t="shared" si="9"/>
        <v>7.27172800947318</v>
      </c>
      <c r="AG31" s="22">
        <v>1596085</v>
      </c>
      <c r="AH31" s="23">
        <v>11606296</v>
      </c>
      <c r="AI31" s="23">
        <v>11150744</v>
      </c>
      <c r="AJ31" s="23">
        <v>454968</v>
      </c>
      <c r="AK31" s="24"/>
      <c r="AL31" s="25">
        <v>27.5809</v>
      </c>
      <c r="AM31" s="25">
        <v>38.863300000000002</v>
      </c>
      <c r="AN31" s="25">
        <v>37.802199999999999</v>
      </c>
      <c r="AO31" s="26"/>
      <c r="AP31" s="27"/>
      <c r="AQ31" s="27"/>
      <c r="AS31" s="28">
        <f t="shared" si="10"/>
        <v>2.142695174312903E-2</v>
      </c>
      <c r="AT31" s="28"/>
      <c r="AV31" s="29"/>
      <c r="AW31" s="29"/>
      <c r="AX31" s="29"/>
      <c r="AY31" s="30"/>
      <c r="BA31" s="29"/>
      <c r="BB31" s="29"/>
      <c r="BC31" s="29"/>
      <c r="BD31" s="30"/>
    </row>
    <row r="32" spans="1:56" outlineLevel="1" x14ac:dyDescent="0.15">
      <c r="A32" s="31"/>
      <c r="B32" s="31" t="s">
        <v>242</v>
      </c>
      <c r="C32" s="32" t="s">
        <v>228</v>
      </c>
      <c r="D32" s="31">
        <v>1596085</v>
      </c>
      <c r="E32" s="33">
        <v>12</v>
      </c>
      <c r="F32" s="32">
        <v>1</v>
      </c>
      <c r="G32" s="32"/>
      <c r="I32" s="34" t="str">
        <f t="shared" si="0"/>
        <v>·</v>
      </c>
      <c r="J32" s="35">
        <f t="shared" si="1"/>
        <v>7.9249413408433762</v>
      </c>
      <c r="K32" s="35">
        <f t="shared" si="2"/>
        <v>6.9863096263670164</v>
      </c>
      <c r="L32" s="35">
        <f t="shared" si="3"/>
        <v>0.9382608069119126</v>
      </c>
      <c r="M32" s="36"/>
      <c r="N32" s="35">
        <f t="shared" si="4"/>
        <v>7.9249413408433762</v>
      </c>
      <c r="O32" s="37">
        <v>1596085</v>
      </c>
      <c r="P32" s="38">
        <v>12648880</v>
      </c>
      <c r="Q32" s="38">
        <v>11150744</v>
      </c>
      <c r="R32" s="38">
        <v>1497544</v>
      </c>
      <c r="S32" s="39"/>
      <c r="T32" s="40">
        <v>32.858699999999999</v>
      </c>
      <c r="U32" s="40">
        <v>42.665399999999998</v>
      </c>
      <c r="V32" s="40">
        <v>40.773600000000002</v>
      </c>
      <c r="W32" s="41"/>
      <c r="X32" s="42"/>
      <c r="Y32" s="42"/>
      <c r="AA32" s="34" t="str">
        <f t="shared" si="5"/>
        <v>·</v>
      </c>
      <c r="AB32" s="35">
        <f t="shared" si="6"/>
        <v>7.6206768436518102</v>
      </c>
      <c r="AC32" s="35">
        <f t="shared" si="7"/>
        <v>6.9863096263670164</v>
      </c>
      <c r="AD32" s="35">
        <f t="shared" si="8"/>
        <v>0.63400132198473136</v>
      </c>
      <c r="AE32" s="36"/>
      <c r="AF32" s="35">
        <f t="shared" si="9"/>
        <v>7.6206768436518102</v>
      </c>
      <c r="AG32" s="37">
        <v>1596085</v>
      </c>
      <c r="AH32" s="38">
        <v>12163248</v>
      </c>
      <c r="AI32" s="38">
        <v>11150744</v>
      </c>
      <c r="AJ32" s="38">
        <v>1011920</v>
      </c>
      <c r="AK32" s="39"/>
      <c r="AL32" s="40">
        <v>31.173500000000001</v>
      </c>
      <c r="AM32" s="40">
        <v>40.625300000000003</v>
      </c>
      <c r="AN32" s="40">
        <v>39.201799999999999</v>
      </c>
      <c r="AO32" s="41"/>
      <c r="AP32" s="42"/>
      <c r="AQ32" s="42"/>
      <c r="AS32" s="43">
        <f t="shared" si="10"/>
        <v>3.5197312763030508E-2</v>
      </c>
      <c r="AT32" s="43"/>
      <c r="AV32" s="44"/>
      <c r="AW32" s="44"/>
      <c r="AX32" s="44"/>
      <c r="AY32" s="45"/>
      <c r="BA32" s="44"/>
      <c r="BB32" s="44"/>
      <c r="BC32" s="44"/>
      <c r="BD32" s="45"/>
    </row>
    <row r="33" spans="1:56" outlineLevel="1" x14ac:dyDescent="0.15">
      <c r="A33" s="16"/>
      <c r="B33" s="16" t="s">
        <v>242</v>
      </c>
      <c r="C33" s="17" t="s">
        <v>229</v>
      </c>
      <c r="D33" s="16">
        <v>1596085</v>
      </c>
      <c r="E33" s="18">
        <v>12</v>
      </c>
      <c r="F33" s="17">
        <v>1</v>
      </c>
      <c r="G33" s="17"/>
      <c r="I33" s="19" t="str">
        <f t="shared" si="0"/>
        <v>·</v>
      </c>
      <c r="J33" s="20">
        <f t="shared" si="1"/>
        <v>8.7788307013724207</v>
      </c>
      <c r="K33" s="20">
        <f t="shared" si="2"/>
        <v>6.9863096263670164</v>
      </c>
      <c r="L33" s="20">
        <f t="shared" si="3"/>
        <v>1.792150167440957</v>
      </c>
      <c r="M33" s="21"/>
      <c r="N33" s="20">
        <f t="shared" si="4"/>
        <v>8.7788307013724207</v>
      </c>
      <c r="O33" s="22">
        <v>1596085</v>
      </c>
      <c r="P33" s="23">
        <v>14011760</v>
      </c>
      <c r="Q33" s="23">
        <v>11150744</v>
      </c>
      <c r="R33" s="23">
        <v>2860424</v>
      </c>
      <c r="S33" s="24"/>
      <c r="T33" s="25">
        <v>36.924500000000002</v>
      </c>
      <c r="U33" s="25">
        <v>44.9602</v>
      </c>
      <c r="V33" s="25">
        <v>42.834299999999999</v>
      </c>
      <c r="W33" s="26"/>
      <c r="X33" s="27"/>
      <c r="Y33" s="27"/>
      <c r="AA33" s="19" t="str">
        <f t="shared" si="5"/>
        <v>·</v>
      </c>
      <c r="AB33" s="20">
        <f t="shared" si="6"/>
        <v>8.3072167209139867</v>
      </c>
      <c r="AC33" s="20">
        <f t="shared" si="7"/>
        <v>6.9863096263670164</v>
      </c>
      <c r="AD33" s="20">
        <f t="shared" si="8"/>
        <v>1.3205411992469074</v>
      </c>
      <c r="AE33" s="21"/>
      <c r="AF33" s="20">
        <f t="shared" si="9"/>
        <v>8.3072167209139867</v>
      </c>
      <c r="AG33" s="22">
        <v>1596085</v>
      </c>
      <c r="AH33" s="23">
        <v>13259024</v>
      </c>
      <c r="AI33" s="23">
        <v>11150744</v>
      </c>
      <c r="AJ33" s="23">
        <v>2107696</v>
      </c>
      <c r="AK33" s="24"/>
      <c r="AL33" s="25">
        <v>35.519199999999998</v>
      </c>
      <c r="AM33" s="25">
        <v>42.981900000000003</v>
      </c>
      <c r="AN33" s="25">
        <v>41.2682</v>
      </c>
      <c r="AO33" s="26"/>
      <c r="AP33" s="27"/>
      <c r="AQ33" s="27"/>
      <c r="AS33" s="28">
        <f t="shared" si="10"/>
        <v>4.5179590019531757E-2</v>
      </c>
      <c r="AT33" s="28"/>
      <c r="AV33" s="29"/>
      <c r="AW33" s="29"/>
      <c r="AX33" s="29"/>
      <c r="AY33" s="30"/>
      <c r="BA33" s="29"/>
      <c r="BB33" s="29"/>
      <c r="BC33" s="29"/>
      <c r="BD33" s="30"/>
    </row>
    <row r="34" spans="1:56" outlineLevel="1" x14ac:dyDescent="0.15">
      <c r="A34" s="31"/>
      <c r="B34" s="46" t="s">
        <v>242</v>
      </c>
      <c r="C34" s="47" t="s">
        <v>230</v>
      </c>
      <c r="D34" s="46">
        <v>1596085</v>
      </c>
      <c r="E34" s="48">
        <v>12</v>
      </c>
      <c r="F34" s="47">
        <v>1</v>
      </c>
      <c r="G34" s="47"/>
      <c r="I34" s="49" t="str">
        <f t="shared" si="0"/>
        <v>·</v>
      </c>
      <c r="J34" s="50">
        <f t="shared" si="1"/>
        <v>10.125941914121116</v>
      </c>
      <c r="K34" s="50">
        <f t="shared" si="2"/>
        <v>6.9863096263670164</v>
      </c>
      <c r="L34" s="50">
        <f t="shared" si="3"/>
        <v>3.1392613801896516</v>
      </c>
      <c r="M34" s="51"/>
      <c r="N34" s="50">
        <f t="shared" si="4"/>
        <v>10.125941914121116</v>
      </c>
      <c r="O34" s="52">
        <v>1596085</v>
      </c>
      <c r="P34" s="53">
        <v>16161864</v>
      </c>
      <c r="Q34" s="53">
        <v>11150744</v>
      </c>
      <c r="R34" s="53">
        <v>5010528</v>
      </c>
      <c r="S34" s="54"/>
      <c r="T34" s="55">
        <v>41.620100000000001</v>
      </c>
      <c r="U34" s="55">
        <v>47.283200000000001</v>
      </c>
      <c r="V34" s="55">
        <v>45.405700000000003</v>
      </c>
      <c r="W34" s="56"/>
      <c r="X34" s="57"/>
      <c r="Y34" s="57"/>
      <c r="AA34" s="49" t="str">
        <f t="shared" si="5"/>
        <v>·</v>
      </c>
      <c r="AB34" s="50">
        <f t="shared" si="6"/>
        <v>9.3667041542273743</v>
      </c>
      <c r="AC34" s="50">
        <f t="shared" si="7"/>
        <v>6.9863096263670164</v>
      </c>
      <c r="AD34" s="50">
        <f t="shared" si="8"/>
        <v>2.380028632560296</v>
      </c>
      <c r="AE34" s="51"/>
      <c r="AF34" s="50">
        <f t="shared" si="9"/>
        <v>9.3667041542273743</v>
      </c>
      <c r="AG34" s="52">
        <v>1596085</v>
      </c>
      <c r="AH34" s="53">
        <v>14950056</v>
      </c>
      <c r="AI34" s="53">
        <v>11150744</v>
      </c>
      <c r="AJ34" s="53">
        <v>3798728</v>
      </c>
      <c r="AK34" s="54"/>
      <c r="AL34" s="55">
        <v>40.017600000000002</v>
      </c>
      <c r="AM34" s="55">
        <v>45.447000000000003</v>
      </c>
      <c r="AN34" s="55">
        <v>43.833199999999998</v>
      </c>
      <c r="AO34" s="56"/>
      <c r="AP34" s="57"/>
      <c r="AQ34" s="57"/>
      <c r="AS34" s="58">
        <f t="shared" si="10"/>
        <v>5.5924665254923789E-2</v>
      </c>
      <c r="AT34" s="58"/>
      <c r="AV34" s="59"/>
      <c r="AW34" s="59"/>
      <c r="AX34" s="59"/>
      <c r="AY34" s="60"/>
      <c r="BA34" s="59"/>
      <c r="BB34" s="59"/>
      <c r="BC34" s="59"/>
      <c r="BD34" s="60"/>
    </row>
    <row r="35" spans="1:56" collapsed="1" x14ac:dyDescent="0.15">
      <c r="A35" s="16"/>
      <c r="B35" s="16" t="s">
        <v>245</v>
      </c>
      <c r="C35" s="17" t="s">
        <v>225</v>
      </c>
      <c r="D35" s="16">
        <v>8907880</v>
      </c>
      <c r="E35" s="18">
        <v>14</v>
      </c>
      <c r="F35" s="17">
        <v>1</v>
      </c>
      <c r="G35" s="17"/>
      <c r="I35" s="19" t="str">
        <f t="shared" si="0"/>
        <v>·</v>
      </c>
      <c r="J35" s="20">
        <f t="shared" si="1"/>
        <v>8.6732708568144155</v>
      </c>
      <c r="K35" s="20">
        <f t="shared" si="2"/>
        <v>8.6158762803270807</v>
      </c>
      <c r="L35" s="20">
        <f t="shared" si="3"/>
        <v>5.7255373893676159E-2</v>
      </c>
      <c r="M35" s="21"/>
      <c r="N35" s="20">
        <f t="shared" si="4"/>
        <v>8.6732708568144155</v>
      </c>
      <c r="O35" s="22">
        <v>8907880</v>
      </c>
      <c r="P35" s="23">
        <v>77260456</v>
      </c>
      <c r="Q35" s="23">
        <v>76749192</v>
      </c>
      <c r="R35" s="23">
        <v>510024</v>
      </c>
      <c r="S35" s="24"/>
      <c r="T35" s="25">
        <v>25.167400000000001</v>
      </c>
      <c r="U35" s="25">
        <v>37.7181</v>
      </c>
      <c r="V35" s="25">
        <v>40.204000000000001</v>
      </c>
      <c r="W35" s="26"/>
      <c r="X35" s="27"/>
      <c r="Y35" s="27"/>
      <c r="AA35" s="19" t="str">
        <f t="shared" si="5"/>
        <v>·</v>
      </c>
      <c r="AB35" s="20">
        <f t="shared" si="6"/>
        <v>8.6389848089556658</v>
      </c>
      <c r="AC35" s="20">
        <f t="shared" si="7"/>
        <v>8.6158762803270807</v>
      </c>
      <c r="AD35" s="20">
        <f t="shared" si="8"/>
        <v>2.2970224116175792E-2</v>
      </c>
      <c r="AE35" s="21"/>
      <c r="AF35" s="20">
        <f t="shared" si="9"/>
        <v>8.6389848089556658</v>
      </c>
      <c r="AG35" s="22">
        <v>8907880</v>
      </c>
      <c r="AH35" s="23">
        <v>76955040</v>
      </c>
      <c r="AI35" s="23">
        <v>76749192</v>
      </c>
      <c r="AJ35" s="23">
        <v>204616</v>
      </c>
      <c r="AK35" s="24"/>
      <c r="AL35" s="25">
        <v>23.878599999999999</v>
      </c>
      <c r="AM35" s="25">
        <v>37.467300000000002</v>
      </c>
      <c r="AN35" s="25">
        <v>38.831699999999998</v>
      </c>
      <c r="AO35" s="26"/>
      <c r="AP35" s="27"/>
      <c r="AQ35" s="27"/>
      <c r="AS35" s="28">
        <f t="shared" si="10"/>
        <v>3.9424960023234368E-3</v>
      </c>
      <c r="AT35" s="28">
        <f t="array" ref="AT35">AVERAGE(AI35:AI40/AH35:AH40) - AVERAGE(Q35:Q40/P35:P40)</f>
        <v>2.2364287035974151E-2</v>
      </c>
      <c r="AV35" s="29">
        <f>IF( OR(ISBLANK(R35:R40),ISBLANK(AJ35:AJ40), ISBLANK(T35:T40),ISBLANK(AL35:AL40)), "·", bdRateExtend( R35:R40,T35:T40, AJ35:AJ40,AL35:AL40))</f>
        <v>-9.7600304008902627E-2</v>
      </c>
      <c r="AW35" s="29">
        <f>IF( OR(ISBLANK(R35:R40),ISBLANK(AJ35:AJ40), ISBLANK(U35:U40),ISBLANK(AM35:AM40)), "·", bdRateExtend( R35:R40,U35:U40, AJ35:AJ40,AM35:AM40))</f>
        <v>0.13040909055123917</v>
      </c>
      <c r="AX35" s="29">
        <f>IF( OR(ISBLANK(R35:R40),ISBLANK(AJ35:AJ40), ISBLANK(V35:V40),ISBLANK(AN35:AN40)), "·", bdRateExtend( R35:R40,V35:V40, AJ35:AJ40,AN35:AN40))</f>
        <v>0.30621540408192138</v>
      </c>
      <c r="AY35" s="30"/>
      <c r="BA35" s="29">
        <f>IF( OR(ISBLANK(P35:P40),ISBLANK(AH35:AH40), ISBLANK(T35:T40),ISBLANK(AL35:AL40)), "·", bdRateExtend( P35:P40,T35:T40, AH35:AH40,AL35:AL40))</f>
        <v>-1.040654071986935E-2</v>
      </c>
      <c r="BB35" s="29">
        <f>IF( OR(ISBLANK(P35:P40),ISBLANK(AH35:AH40), ISBLANK(U35:U40),ISBLANK(AM35:AM40)), "·", bdRateExtend( P35:P40,U35:U40, AH35:AH40,AM35:AM40))</f>
        <v>1.2557429248710283E-2</v>
      </c>
      <c r="BC35" s="29">
        <f>IF( OR(ISBLANK(P35:P40),ISBLANK(AH35:AH40), ISBLANK(V35:V40),ISBLANK(AN35:AN40)), "·", bdRateExtend( P35:P40,V35:V40, AH35:AH40,AN35:AN40))</f>
        <v>1.6059114415277964E-2</v>
      </c>
      <c r="BD35" s="30"/>
    </row>
    <row r="36" spans="1:56" outlineLevel="1" x14ac:dyDescent="0.15">
      <c r="A36" s="31"/>
      <c r="B36" s="31" t="s">
        <v>245</v>
      </c>
      <c r="C36" s="32" t="s">
        <v>226</v>
      </c>
      <c r="D36" s="31">
        <v>8907880</v>
      </c>
      <c r="E36" s="33">
        <v>14</v>
      </c>
      <c r="F36" s="32">
        <v>1</v>
      </c>
      <c r="G36" s="32"/>
      <c r="I36" s="34" t="str">
        <f t="shared" si="0"/>
        <v>·</v>
      </c>
      <c r="J36" s="35">
        <f t="shared" si="1"/>
        <v>8.748054082452839</v>
      </c>
      <c r="K36" s="35">
        <f t="shared" si="2"/>
        <v>8.6158762803270807</v>
      </c>
      <c r="L36" s="35">
        <f t="shared" si="3"/>
        <v>0.13203859953209968</v>
      </c>
      <c r="M36" s="36"/>
      <c r="N36" s="35">
        <f t="shared" si="4"/>
        <v>8.748054082452839</v>
      </c>
      <c r="O36" s="37">
        <v>8907880</v>
      </c>
      <c r="P36" s="38">
        <v>77926616</v>
      </c>
      <c r="Q36" s="38">
        <v>76749192</v>
      </c>
      <c r="R36" s="38">
        <v>1176184</v>
      </c>
      <c r="S36" s="39"/>
      <c r="T36" s="40">
        <v>26.712399999999999</v>
      </c>
      <c r="U36" s="40">
        <v>40.0655</v>
      </c>
      <c r="V36" s="40">
        <v>41.291600000000003</v>
      </c>
      <c r="W36" s="41"/>
      <c r="X36" s="42"/>
      <c r="Y36" s="42"/>
      <c r="AA36" s="34" t="str">
        <f t="shared" si="5"/>
        <v>·</v>
      </c>
      <c r="AB36" s="35">
        <f t="shared" si="6"/>
        <v>8.6742120459637988</v>
      </c>
      <c r="AC36" s="35">
        <f t="shared" si="7"/>
        <v>8.6158762803270807</v>
      </c>
      <c r="AD36" s="35">
        <f t="shared" si="8"/>
        <v>5.8197461124307917E-2</v>
      </c>
      <c r="AE36" s="36"/>
      <c r="AF36" s="35">
        <f t="shared" si="9"/>
        <v>8.6742120459637988</v>
      </c>
      <c r="AG36" s="37">
        <v>8907880</v>
      </c>
      <c r="AH36" s="38">
        <v>77268840</v>
      </c>
      <c r="AI36" s="38">
        <v>76749192</v>
      </c>
      <c r="AJ36" s="38">
        <v>518416</v>
      </c>
      <c r="AK36" s="39"/>
      <c r="AL36" s="40">
        <v>25.314499999999999</v>
      </c>
      <c r="AM36" s="40">
        <v>38.707799999999999</v>
      </c>
      <c r="AN36" s="40">
        <v>39.9788</v>
      </c>
      <c r="AO36" s="41"/>
      <c r="AP36" s="42"/>
      <c r="AQ36" s="42"/>
      <c r="AS36" s="43">
        <f t="shared" si="10"/>
        <v>8.3841999282182611E-3</v>
      </c>
      <c r="AT36" s="43"/>
      <c r="AV36" s="44"/>
      <c r="AW36" s="44"/>
      <c r="AX36" s="44"/>
      <c r="AY36" s="45"/>
      <c r="BA36" s="44"/>
      <c r="BB36" s="44"/>
      <c r="BC36" s="44"/>
      <c r="BD36" s="45"/>
    </row>
    <row r="37" spans="1:56" outlineLevel="1" x14ac:dyDescent="0.15">
      <c r="A37" s="16"/>
      <c r="B37" s="16" t="s">
        <v>245</v>
      </c>
      <c r="C37" s="17" t="s">
        <v>227</v>
      </c>
      <c r="D37" s="16">
        <v>8907880</v>
      </c>
      <c r="E37" s="18">
        <v>14</v>
      </c>
      <c r="F37" s="17">
        <v>1</v>
      </c>
      <c r="G37" s="17"/>
      <c r="I37" s="19" t="str">
        <f t="shared" si="0"/>
        <v>·</v>
      </c>
      <c r="J37" s="20">
        <f t="shared" si="1"/>
        <v>8.9667620129593129</v>
      </c>
      <c r="K37" s="20">
        <f t="shared" si="2"/>
        <v>8.6158762803270807</v>
      </c>
      <c r="L37" s="20">
        <f t="shared" si="3"/>
        <v>0.35074653003857259</v>
      </c>
      <c r="M37" s="21"/>
      <c r="N37" s="20">
        <f t="shared" si="4"/>
        <v>8.9667620129593129</v>
      </c>
      <c r="O37" s="22">
        <v>8907880</v>
      </c>
      <c r="P37" s="23">
        <v>79874840</v>
      </c>
      <c r="Q37" s="23">
        <v>76749192</v>
      </c>
      <c r="R37" s="23">
        <v>3124408</v>
      </c>
      <c r="S37" s="24"/>
      <c r="T37" s="25">
        <v>29.071200000000001</v>
      </c>
      <c r="U37" s="25">
        <v>41.433999999999997</v>
      </c>
      <c r="V37" s="25">
        <v>42.497300000000003</v>
      </c>
      <c r="W37" s="26"/>
      <c r="X37" s="27"/>
      <c r="Y37" s="27"/>
      <c r="AA37" s="19" t="str">
        <f t="shared" si="5"/>
        <v>·</v>
      </c>
      <c r="AB37" s="20">
        <f t="shared" si="6"/>
        <v>8.8100037270371843</v>
      </c>
      <c r="AC37" s="20">
        <f t="shared" si="7"/>
        <v>8.6158762803270807</v>
      </c>
      <c r="AD37" s="20">
        <f t="shared" si="8"/>
        <v>0.19398914219769461</v>
      </c>
      <c r="AE37" s="21"/>
      <c r="AF37" s="20">
        <f t="shared" si="9"/>
        <v>8.8100037270371843</v>
      </c>
      <c r="AG37" s="22">
        <v>8907880</v>
      </c>
      <c r="AH37" s="23">
        <v>78478456</v>
      </c>
      <c r="AI37" s="23">
        <v>76749192</v>
      </c>
      <c r="AJ37" s="23">
        <v>1728032</v>
      </c>
      <c r="AK37" s="24"/>
      <c r="AL37" s="25">
        <v>27.639299999999999</v>
      </c>
      <c r="AM37" s="25">
        <v>40.170499999999997</v>
      </c>
      <c r="AN37" s="25">
        <v>41.3414</v>
      </c>
      <c r="AO37" s="26"/>
      <c r="AP37" s="27"/>
      <c r="AQ37" s="27"/>
      <c r="AS37" s="28">
        <f t="shared" si="10"/>
        <v>1.7096933586948304E-2</v>
      </c>
      <c r="AT37" s="28"/>
      <c r="AV37" s="29"/>
      <c r="AW37" s="29"/>
      <c r="AX37" s="29"/>
      <c r="AY37" s="30"/>
      <c r="BA37" s="29"/>
      <c r="BB37" s="29"/>
      <c r="BC37" s="29"/>
      <c r="BD37" s="30"/>
    </row>
    <row r="38" spans="1:56" outlineLevel="1" x14ac:dyDescent="0.15">
      <c r="A38" s="31"/>
      <c r="B38" s="31" t="s">
        <v>245</v>
      </c>
      <c r="C38" s="32" t="s">
        <v>228</v>
      </c>
      <c r="D38" s="31">
        <v>8907880</v>
      </c>
      <c r="E38" s="33">
        <v>14</v>
      </c>
      <c r="F38" s="32">
        <v>1</v>
      </c>
      <c r="G38" s="32"/>
      <c r="I38" s="34" t="str">
        <f t="shared" si="0"/>
        <v>·</v>
      </c>
      <c r="J38" s="35">
        <f t="shared" si="1"/>
        <v>9.4163603461205128</v>
      </c>
      <c r="K38" s="35">
        <f t="shared" si="2"/>
        <v>8.6158762803270807</v>
      </c>
      <c r="L38" s="35">
        <f t="shared" si="3"/>
        <v>0.80034486319977372</v>
      </c>
      <c r="M38" s="36"/>
      <c r="N38" s="35">
        <f t="shared" si="4"/>
        <v>9.4163603461205128</v>
      </c>
      <c r="O38" s="37">
        <v>8907880</v>
      </c>
      <c r="P38" s="38">
        <v>83879808</v>
      </c>
      <c r="Q38" s="38">
        <v>76749192</v>
      </c>
      <c r="R38" s="38">
        <v>7129376</v>
      </c>
      <c r="S38" s="39"/>
      <c r="T38" s="40">
        <v>32.563000000000002</v>
      </c>
      <c r="U38" s="40">
        <v>42.887999999999998</v>
      </c>
      <c r="V38" s="40">
        <v>43.735700000000001</v>
      </c>
      <c r="W38" s="41"/>
      <c r="X38" s="42"/>
      <c r="Y38" s="42"/>
      <c r="AA38" s="34" t="str">
        <f t="shared" si="5"/>
        <v>·</v>
      </c>
      <c r="AB38" s="35">
        <f t="shared" si="6"/>
        <v>9.1584278189647819</v>
      </c>
      <c r="AC38" s="35">
        <f t="shared" si="7"/>
        <v>8.6158762803270807</v>
      </c>
      <c r="AD38" s="35">
        <f t="shared" si="8"/>
        <v>0.5424132341252913</v>
      </c>
      <c r="AE38" s="36"/>
      <c r="AF38" s="35">
        <f t="shared" si="9"/>
        <v>9.1584278189647819</v>
      </c>
      <c r="AG38" s="37">
        <v>8907880</v>
      </c>
      <c r="AH38" s="38">
        <v>81582176</v>
      </c>
      <c r="AI38" s="38">
        <v>76749192</v>
      </c>
      <c r="AJ38" s="38">
        <v>4831752</v>
      </c>
      <c r="AK38" s="39"/>
      <c r="AL38" s="40">
        <v>31.207899999999999</v>
      </c>
      <c r="AM38" s="40">
        <v>41.607300000000002</v>
      </c>
      <c r="AN38" s="40">
        <v>42.601900000000001</v>
      </c>
      <c r="AO38" s="41"/>
      <c r="AP38" s="42"/>
      <c r="AQ38" s="42"/>
      <c r="AS38" s="43">
        <f t="shared" si="10"/>
        <v>2.5769237647292997E-2</v>
      </c>
      <c r="AT38" s="43"/>
      <c r="AV38" s="44"/>
      <c r="AW38" s="44"/>
      <c r="AX38" s="44"/>
      <c r="AY38" s="45"/>
      <c r="BA38" s="44"/>
      <c r="BB38" s="44"/>
      <c r="BC38" s="44"/>
      <c r="BD38" s="45"/>
    </row>
    <row r="39" spans="1:56" outlineLevel="1" x14ac:dyDescent="0.15">
      <c r="A39" s="16"/>
      <c r="B39" s="16" t="s">
        <v>245</v>
      </c>
      <c r="C39" s="17" t="s">
        <v>229</v>
      </c>
      <c r="D39" s="16">
        <v>8907880</v>
      </c>
      <c r="E39" s="18">
        <v>14</v>
      </c>
      <c r="F39" s="17">
        <v>1</v>
      </c>
      <c r="G39" s="17"/>
      <c r="I39" s="19" t="str">
        <f t="shared" si="0"/>
        <v>·</v>
      </c>
      <c r="J39" s="20">
        <f t="shared" si="1"/>
        <v>10.187279577183348</v>
      </c>
      <c r="K39" s="20">
        <f t="shared" si="2"/>
        <v>8.6158762803270807</v>
      </c>
      <c r="L39" s="20">
        <f t="shared" si="3"/>
        <v>1.5712640942626079</v>
      </c>
      <c r="M39" s="21"/>
      <c r="N39" s="20">
        <f t="shared" si="4"/>
        <v>10.187279577183348</v>
      </c>
      <c r="O39" s="22">
        <v>8907880</v>
      </c>
      <c r="P39" s="23">
        <v>90747064</v>
      </c>
      <c r="Q39" s="23">
        <v>76749192</v>
      </c>
      <c r="R39" s="23">
        <v>13996632</v>
      </c>
      <c r="S39" s="24"/>
      <c r="T39" s="25">
        <v>36.822600000000001</v>
      </c>
      <c r="U39" s="25">
        <v>44.507100000000001</v>
      </c>
      <c r="V39" s="25">
        <v>45.133400000000002</v>
      </c>
      <c r="W39" s="26"/>
      <c r="X39" s="27"/>
      <c r="Y39" s="27"/>
      <c r="AA39" s="19" t="str">
        <f t="shared" si="5"/>
        <v>·</v>
      </c>
      <c r="AB39" s="20">
        <f t="shared" si="6"/>
        <v>9.7958661320089622</v>
      </c>
      <c r="AC39" s="20">
        <f t="shared" si="7"/>
        <v>8.6158762803270807</v>
      </c>
      <c r="AD39" s="20">
        <f t="shared" si="8"/>
        <v>1.1798515471694724</v>
      </c>
      <c r="AE39" s="21"/>
      <c r="AF39" s="20">
        <f t="shared" si="9"/>
        <v>9.7958661320089622</v>
      </c>
      <c r="AG39" s="22">
        <v>8907880</v>
      </c>
      <c r="AH39" s="23">
        <v>87260400</v>
      </c>
      <c r="AI39" s="23">
        <v>76749192</v>
      </c>
      <c r="AJ39" s="23">
        <v>10509976</v>
      </c>
      <c r="AK39" s="24"/>
      <c r="AL39" s="25">
        <v>35.645299999999999</v>
      </c>
      <c r="AM39" s="25">
        <v>43.221899999999998</v>
      </c>
      <c r="AN39" s="25">
        <v>44.027999999999999</v>
      </c>
      <c r="AO39" s="26"/>
      <c r="AP39" s="27"/>
      <c r="AQ39" s="27"/>
      <c r="AS39" s="28">
        <f t="shared" si="10"/>
        <v>3.3793574172159446E-2</v>
      </c>
      <c r="AT39" s="28"/>
      <c r="AV39" s="29"/>
      <c r="AW39" s="29"/>
      <c r="AX39" s="29"/>
      <c r="AY39" s="30"/>
      <c r="BA39" s="29"/>
      <c r="BB39" s="29"/>
      <c r="BC39" s="29"/>
      <c r="BD39" s="30"/>
    </row>
    <row r="40" spans="1:56" outlineLevel="1" x14ac:dyDescent="0.15">
      <c r="A40" s="31"/>
      <c r="B40" s="46" t="s">
        <v>245</v>
      </c>
      <c r="C40" s="47" t="s">
        <v>230</v>
      </c>
      <c r="D40" s="46">
        <v>8907880</v>
      </c>
      <c r="E40" s="48">
        <v>14</v>
      </c>
      <c r="F40" s="47">
        <v>1</v>
      </c>
      <c r="G40" s="47"/>
      <c r="I40" s="49" t="str">
        <f t="shared" si="0"/>
        <v>·</v>
      </c>
      <c r="J40" s="50">
        <f t="shared" si="1"/>
        <v>11.381269617462292</v>
      </c>
      <c r="K40" s="50">
        <f t="shared" si="2"/>
        <v>8.6158762803270807</v>
      </c>
      <c r="L40" s="50">
        <f t="shared" si="3"/>
        <v>2.7652541345415518</v>
      </c>
      <c r="M40" s="51"/>
      <c r="N40" s="50">
        <f t="shared" si="4"/>
        <v>11.381269617462292</v>
      </c>
      <c r="O40" s="52">
        <v>8907880</v>
      </c>
      <c r="P40" s="53">
        <v>101382984</v>
      </c>
      <c r="Q40" s="53">
        <v>76749192</v>
      </c>
      <c r="R40" s="53">
        <v>24632552</v>
      </c>
      <c r="S40" s="54"/>
      <c r="T40" s="55">
        <v>41.734200000000001</v>
      </c>
      <c r="U40" s="55">
        <v>46.562800000000003</v>
      </c>
      <c r="V40" s="55">
        <v>46.937800000000003</v>
      </c>
      <c r="W40" s="56"/>
      <c r="X40" s="57"/>
      <c r="Y40" s="57"/>
      <c r="AA40" s="49" t="str">
        <f t="shared" si="5"/>
        <v>·</v>
      </c>
      <c r="AB40" s="50">
        <f t="shared" si="6"/>
        <v>10.740018949514363</v>
      </c>
      <c r="AC40" s="50">
        <f t="shared" si="7"/>
        <v>8.6158762803270807</v>
      </c>
      <c r="AD40" s="50">
        <f t="shared" si="8"/>
        <v>2.1240043646748723</v>
      </c>
      <c r="AE40" s="51"/>
      <c r="AF40" s="50">
        <f t="shared" si="9"/>
        <v>10.740018949514363</v>
      </c>
      <c r="AG40" s="52">
        <v>8907880</v>
      </c>
      <c r="AH40" s="53">
        <v>95670800</v>
      </c>
      <c r="AI40" s="53">
        <v>76749192</v>
      </c>
      <c r="AJ40" s="53">
        <v>18920376</v>
      </c>
      <c r="AK40" s="54"/>
      <c r="AL40" s="55">
        <v>40.290599999999998</v>
      </c>
      <c r="AM40" s="55">
        <v>45.1691</v>
      </c>
      <c r="AN40" s="55">
        <v>45.692999999999998</v>
      </c>
      <c r="AO40" s="56"/>
      <c r="AP40" s="57"/>
      <c r="AQ40" s="57"/>
      <c r="AS40" s="58">
        <f t="shared" si="10"/>
        <v>4.5199280878903014E-2</v>
      </c>
      <c r="AT40" s="58"/>
      <c r="AV40" s="59"/>
      <c r="AW40" s="59"/>
      <c r="AX40" s="59"/>
      <c r="AY40" s="60"/>
      <c r="BA40" s="59"/>
      <c r="BB40" s="59"/>
      <c r="BC40" s="59"/>
      <c r="BD40" s="60"/>
    </row>
    <row r="41" spans="1:56" collapsed="1" x14ac:dyDescent="0.15">
      <c r="A41" s="16"/>
      <c r="B41" s="16" t="s">
        <v>248</v>
      </c>
      <c r="C41" s="17" t="s">
        <v>225</v>
      </c>
      <c r="D41" s="16">
        <v>4061755</v>
      </c>
      <c r="E41" s="18">
        <v>11</v>
      </c>
      <c r="F41" s="17">
        <v>1</v>
      </c>
      <c r="G41" s="17"/>
      <c r="I41" s="19" t="str">
        <f t="shared" si="0"/>
        <v>·</v>
      </c>
      <c r="J41" s="20">
        <f t="shared" si="1"/>
        <v>1.2229157100809871</v>
      </c>
      <c r="K41" s="20">
        <f t="shared" si="2"/>
        <v>1.2030622231030674</v>
      </c>
      <c r="L41" s="20">
        <f t="shared" si="3"/>
        <v>1.9628953494240792E-2</v>
      </c>
      <c r="M41" s="21"/>
      <c r="N41" s="20">
        <f t="shared" si="4"/>
        <v>1.2229157100809871</v>
      </c>
      <c r="O41" s="22">
        <v>4061755</v>
      </c>
      <c r="P41" s="23">
        <v>4967184</v>
      </c>
      <c r="Q41" s="23">
        <v>4886544</v>
      </c>
      <c r="R41" s="23">
        <v>79728</v>
      </c>
      <c r="S41" s="24"/>
      <c r="T41" s="25">
        <v>28.725100000000001</v>
      </c>
      <c r="U41" s="25">
        <v>40.344200000000001</v>
      </c>
      <c r="V41" s="25">
        <v>43.290900000000001</v>
      </c>
      <c r="W41" s="26"/>
      <c r="X41" s="27"/>
      <c r="Y41" s="27"/>
      <c r="AA41" s="19" t="str">
        <f t="shared" si="5"/>
        <v>·</v>
      </c>
      <c r="AB41" s="20">
        <f t="shared" si="6"/>
        <v>1.2105250070474463</v>
      </c>
      <c r="AC41" s="20">
        <f t="shared" si="7"/>
        <v>1.2030622231030674</v>
      </c>
      <c r="AD41" s="20">
        <f t="shared" si="8"/>
        <v>7.2402200526619654E-3</v>
      </c>
      <c r="AE41" s="21"/>
      <c r="AF41" s="20">
        <f t="shared" si="9"/>
        <v>1.2105250070474463</v>
      </c>
      <c r="AG41" s="22">
        <v>4061755</v>
      </c>
      <c r="AH41" s="23">
        <v>4916856</v>
      </c>
      <c r="AI41" s="23">
        <v>4886544</v>
      </c>
      <c r="AJ41" s="23">
        <v>29408</v>
      </c>
      <c r="AK41" s="24"/>
      <c r="AL41" s="25">
        <v>27.596599999999999</v>
      </c>
      <c r="AM41" s="25">
        <v>41.100099999999998</v>
      </c>
      <c r="AN41" s="25">
        <v>42.7483</v>
      </c>
      <c r="AO41" s="26"/>
      <c r="AP41" s="27"/>
      <c r="AQ41" s="27"/>
      <c r="AS41" s="28">
        <f t="shared" si="10"/>
        <v>1.0069635461619542E-2</v>
      </c>
      <c r="AT41" s="28">
        <f t="array" ref="AT41">AVERAGE(AI41:AI46/AH41:AH46) - AVERAGE(Q41:Q46/P41:P46)</f>
        <v>5.4041217849360113E-2</v>
      </c>
      <c r="AV41" s="29">
        <f>IF( OR(ISBLANK(R41:R46),ISBLANK(AJ41:AJ46), ISBLANK(T41:T46),ISBLANK(AL41:AL46)), "·", bdRateExtend( R41:R46,T41:T46, AJ41:AJ46,AL41:AL46))</f>
        <v>-5.8880287136090725E-2</v>
      </c>
      <c r="AW41" s="29">
        <f>IF( OR(ISBLANK(R41:R46),ISBLANK(AJ41:AJ46), ISBLANK(U41:U46),ISBLANK(AM41:AM46)), "·", bdRateExtend( R41:R46,U41:U46, AJ41:AJ46,AM41:AM46))</f>
        <v>0.16893908973234706</v>
      </c>
      <c r="AX41" s="29">
        <f>IF( OR(ISBLANK(R41:R46),ISBLANK(AJ41:AJ46), ISBLANK(V41:V46),ISBLANK(AN41:AN46)), "·", bdRateExtend( R41:R46,V41:V46, AJ41:AJ46,AN41:AN46))</f>
        <v>0.33010754719002855</v>
      </c>
      <c r="AY41" s="30"/>
      <c r="BA41" s="29">
        <f>IF( OR(ISBLANK(P41:P46),ISBLANK(AH41:AH46), ISBLANK(T41:T46),ISBLANK(AL41:AL46)), "·", bdRateExtend( P41:P46,T41:T46, AH41:AH46,AL41:AL46))</f>
        <v>-2.9663359622171703E-2</v>
      </c>
      <c r="BB41" s="29">
        <f>IF( OR(ISBLANK(P41:P46),ISBLANK(AH41:AH46), ISBLANK(U41:U46),ISBLANK(AM41:AM46)), "·", bdRateExtend( P41:P46,U41:U46, AH41:AH46,AM41:AM46))</f>
        <v>7.110539855731246E-2</v>
      </c>
      <c r="BC41" s="29">
        <f>IF( OR(ISBLANK(P41:P46),ISBLANK(AH41:AH46), ISBLANK(V41:V46),ISBLANK(AN41:AN46)), "·", bdRateExtend( P41:P46,V41:V46, AH41:AH46,AN41:AN46))</f>
        <v>8.2944827091743001E-2</v>
      </c>
      <c r="BD41" s="30"/>
    </row>
    <row r="42" spans="1:56" outlineLevel="1" x14ac:dyDescent="0.15">
      <c r="A42" s="31"/>
      <c r="B42" s="31" t="s">
        <v>248</v>
      </c>
      <c r="C42" s="32" t="s">
        <v>226</v>
      </c>
      <c r="D42" s="31">
        <v>4061755</v>
      </c>
      <c r="E42" s="33">
        <v>11</v>
      </c>
      <c r="F42" s="32">
        <v>1</v>
      </c>
      <c r="G42" s="32"/>
      <c r="I42" s="34" t="str">
        <f t="shared" si="0"/>
        <v>·</v>
      </c>
      <c r="J42" s="35">
        <f t="shared" si="1"/>
        <v>1.252248843172471</v>
      </c>
      <c r="K42" s="35">
        <f t="shared" si="2"/>
        <v>1.2030622231030674</v>
      </c>
      <c r="L42" s="35">
        <f t="shared" si="3"/>
        <v>4.8962086585724644E-2</v>
      </c>
      <c r="M42" s="36"/>
      <c r="N42" s="35">
        <f t="shared" si="4"/>
        <v>1.252248843172471</v>
      </c>
      <c r="O42" s="37">
        <v>4061755</v>
      </c>
      <c r="P42" s="38">
        <v>5086328</v>
      </c>
      <c r="Q42" s="38">
        <v>4886544</v>
      </c>
      <c r="R42" s="38">
        <v>198872</v>
      </c>
      <c r="S42" s="39"/>
      <c r="T42" s="40">
        <v>30.0899</v>
      </c>
      <c r="U42" s="40">
        <v>42.742699999999999</v>
      </c>
      <c r="V42" s="40">
        <v>44.564500000000002</v>
      </c>
      <c r="W42" s="41"/>
      <c r="X42" s="42"/>
      <c r="Y42" s="42"/>
      <c r="AA42" s="34" t="str">
        <f t="shared" si="5"/>
        <v>·</v>
      </c>
      <c r="AB42" s="35">
        <f t="shared" si="6"/>
        <v>1.2220215153301959</v>
      </c>
      <c r="AC42" s="35">
        <f t="shared" si="7"/>
        <v>1.2030622231030674</v>
      </c>
      <c r="AD42" s="35">
        <f t="shared" si="8"/>
        <v>1.8736728335411665E-2</v>
      </c>
      <c r="AE42" s="36"/>
      <c r="AF42" s="35">
        <f t="shared" si="9"/>
        <v>1.2220215153301959</v>
      </c>
      <c r="AG42" s="37">
        <v>4061755</v>
      </c>
      <c r="AH42" s="38">
        <v>4963552</v>
      </c>
      <c r="AI42" s="38">
        <v>4886544</v>
      </c>
      <c r="AJ42" s="38">
        <v>76104</v>
      </c>
      <c r="AK42" s="39"/>
      <c r="AL42" s="40">
        <v>28.7517</v>
      </c>
      <c r="AM42" s="40">
        <v>41.851900000000001</v>
      </c>
      <c r="AN42" s="40">
        <v>43.648499999999999</v>
      </c>
      <c r="AO42" s="41"/>
      <c r="AP42" s="42"/>
      <c r="AQ42" s="42"/>
      <c r="AS42" s="43">
        <f t="shared" si="10"/>
        <v>2.3763934943403897E-2</v>
      </c>
      <c r="AT42" s="43"/>
      <c r="AV42" s="44"/>
      <c r="AW42" s="44"/>
      <c r="AX42" s="44"/>
      <c r="AY42" s="45"/>
      <c r="BA42" s="44"/>
      <c r="BB42" s="44"/>
      <c r="BC42" s="44"/>
      <c r="BD42" s="45"/>
    </row>
    <row r="43" spans="1:56" outlineLevel="1" x14ac:dyDescent="0.15">
      <c r="A43" s="16"/>
      <c r="B43" s="16" t="s">
        <v>248</v>
      </c>
      <c r="C43" s="17" t="s">
        <v>227</v>
      </c>
      <c r="D43" s="16">
        <v>4061755</v>
      </c>
      <c r="E43" s="18">
        <v>11</v>
      </c>
      <c r="F43" s="17">
        <v>1</v>
      </c>
      <c r="G43" s="17"/>
      <c r="I43" s="19" t="str">
        <f t="shared" si="0"/>
        <v>·</v>
      </c>
      <c r="J43" s="20">
        <f t="shared" si="1"/>
        <v>1.338952250935864</v>
      </c>
      <c r="K43" s="20">
        <f t="shared" si="2"/>
        <v>1.2030622231030674</v>
      </c>
      <c r="L43" s="20">
        <f t="shared" si="3"/>
        <v>0.13566549434911757</v>
      </c>
      <c r="M43" s="21"/>
      <c r="N43" s="20">
        <f t="shared" si="4"/>
        <v>1.338952250935864</v>
      </c>
      <c r="O43" s="22">
        <v>4061755</v>
      </c>
      <c r="P43" s="23">
        <v>5438496</v>
      </c>
      <c r="Q43" s="23">
        <v>4886544</v>
      </c>
      <c r="R43" s="23">
        <v>551040</v>
      </c>
      <c r="S43" s="24"/>
      <c r="T43" s="25">
        <v>31.704699999999999</v>
      </c>
      <c r="U43" s="25">
        <v>43.749499999999998</v>
      </c>
      <c r="V43" s="25">
        <v>45.572000000000003</v>
      </c>
      <c r="W43" s="26"/>
      <c r="X43" s="27"/>
      <c r="Y43" s="27"/>
      <c r="AA43" s="19" t="str">
        <f t="shared" si="5"/>
        <v>·</v>
      </c>
      <c r="AB43" s="20">
        <f t="shared" si="6"/>
        <v>1.2657031258655433</v>
      </c>
      <c r="AC43" s="20">
        <f t="shared" si="7"/>
        <v>1.2030622231030674</v>
      </c>
      <c r="AD43" s="20">
        <f t="shared" si="8"/>
        <v>6.2418338870759066E-2</v>
      </c>
      <c r="AE43" s="21"/>
      <c r="AF43" s="20">
        <f t="shared" si="9"/>
        <v>1.2657031258655433</v>
      </c>
      <c r="AG43" s="22">
        <v>4061755</v>
      </c>
      <c r="AH43" s="23">
        <v>5140976</v>
      </c>
      <c r="AI43" s="23">
        <v>4886544</v>
      </c>
      <c r="AJ43" s="23">
        <v>253528</v>
      </c>
      <c r="AK43" s="24"/>
      <c r="AL43" s="25">
        <v>30.3674</v>
      </c>
      <c r="AM43" s="25">
        <v>42.775199999999998</v>
      </c>
      <c r="AN43" s="25">
        <v>44.612499999999997</v>
      </c>
      <c r="AO43" s="26"/>
      <c r="AP43" s="27"/>
      <c r="AQ43" s="27"/>
      <c r="AS43" s="28">
        <f t="shared" si="10"/>
        <v>5.1998832063314682E-2</v>
      </c>
      <c r="AT43" s="28"/>
      <c r="AV43" s="29"/>
      <c r="AW43" s="29"/>
      <c r="AX43" s="29"/>
      <c r="AY43" s="30"/>
      <c r="BA43" s="29"/>
      <c r="BB43" s="29"/>
      <c r="BC43" s="29"/>
      <c r="BD43" s="30"/>
    </row>
    <row r="44" spans="1:56" outlineLevel="1" x14ac:dyDescent="0.15">
      <c r="A44" s="31"/>
      <c r="B44" s="31" t="s">
        <v>248</v>
      </c>
      <c r="C44" s="32" t="s">
        <v>228</v>
      </c>
      <c r="D44" s="31">
        <v>4061755</v>
      </c>
      <c r="E44" s="33">
        <v>11</v>
      </c>
      <c r="F44" s="32">
        <v>1</v>
      </c>
      <c r="G44" s="32"/>
      <c r="I44" s="34" t="str">
        <f t="shared" si="0"/>
        <v>·</v>
      </c>
      <c r="J44" s="35">
        <f t="shared" si="1"/>
        <v>1.5689592306773796</v>
      </c>
      <c r="K44" s="35">
        <f t="shared" si="2"/>
        <v>1.2030622231030674</v>
      </c>
      <c r="L44" s="35">
        <f t="shared" si="3"/>
        <v>0.36567247409063325</v>
      </c>
      <c r="M44" s="36"/>
      <c r="N44" s="35">
        <f t="shared" si="4"/>
        <v>1.5689592306773796</v>
      </c>
      <c r="O44" s="37">
        <v>4061755</v>
      </c>
      <c r="P44" s="38">
        <v>6372728</v>
      </c>
      <c r="Q44" s="38">
        <v>4886544</v>
      </c>
      <c r="R44" s="38">
        <v>1485272</v>
      </c>
      <c r="S44" s="39"/>
      <c r="T44" s="40">
        <v>33.656999999999996</v>
      </c>
      <c r="U44" s="40">
        <v>44.852800000000002</v>
      </c>
      <c r="V44" s="40">
        <v>46.668599999999998</v>
      </c>
      <c r="W44" s="41"/>
      <c r="X44" s="42"/>
      <c r="Y44" s="42"/>
      <c r="AA44" s="34" t="str">
        <f t="shared" si="5"/>
        <v>·</v>
      </c>
      <c r="AB44" s="35">
        <f t="shared" si="6"/>
        <v>1.412809979922472</v>
      </c>
      <c r="AC44" s="35">
        <f t="shared" si="7"/>
        <v>1.2030622231030674</v>
      </c>
      <c r="AD44" s="35">
        <f t="shared" si="8"/>
        <v>0.20952519292768768</v>
      </c>
      <c r="AE44" s="36"/>
      <c r="AF44" s="35">
        <f t="shared" si="9"/>
        <v>1.412809979922472</v>
      </c>
      <c r="AG44" s="37">
        <v>4061755</v>
      </c>
      <c r="AH44" s="38">
        <v>5738488</v>
      </c>
      <c r="AI44" s="38">
        <v>4886544</v>
      </c>
      <c r="AJ44" s="38">
        <v>851040</v>
      </c>
      <c r="AK44" s="39"/>
      <c r="AL44" s="40">
        <v>32.4788</v>
      </c>
      <c r="AM44" s="40">
        <v>43.762999999999998</v>
      </c>
      <c r="AN44" s="40">
        <v>45.5976</v>
      </c>
      <c r="AO44" s="41"/>
      <c r="AP44" s="42"/>
      <c r="AQ44" s="42"/>
      <c r="AS44" s="43">
        <f t="shared" si="10"/>
        <v>8.4748609622791737E-2</v>
      </c>
      <c r="AT44" s="43"/>
      <c r="AV44" s="44"/>
      <c r="AW44" s="44"/>
      <c r="AX44" s="44"/>
      <c r="AY44" s="45"/>
      <c r="BA44" s="44"/>
      <c r="BB44" s="44"/>
      <c r="BC44" s="44"/>
      <c r="BD44" s="45"/>
    </row>
    <row r="45" spans="1:56" outlineLevel="1" x14ac:dyDescent="0.15">
      <c r="A45" s="16"/>
      <c r="B45" s="16" t="s">
        <v>248</v>
      </c>
      <c r="C45" s="17" t="s">
        <v>229</v>
      </c>
      <c r="D45" s="16">
        <v>4061755</v>
      </c>
      <c r="E45" s="18">
        <v>11</v>
      </c>
      <c r="F45" s="17">
        <v>1</v>
      </c>
      <c r="G45" s="17"/>
      <c r="I45" s="19" t="str">
        <f t="shared" si="0"/>
        <v>·</v>
      </c>
      <c r="J45" s="20">
        <f t="shared" si="1"/>
        <v>2.1352799467225374</v>
      </c>
      <c r="K45" s="20">
        <f t="shared" si="2"/>
        <v>1.2030622231030674</v>
      </c>
      <c r="L45" s="20">
        <f t="shared" si="3"/>
        <v>0.93199319013579107</v>
      </c>
      <c r="M45" s="21"/>
      <c r="N45" s="20">
        <f t="shared" si="4"/>
        <v>2.1352799467225374</v>
      </c>
      <c r="O45" s="22">
        <v>4061755</v>
      </c>
      <c r="P45" s="23">
        <v>8672984</v>
      </c>
      <c r="Q45" s="23">
        <v>4886544</v>
      </c>
      <c r="R45" s="23">
        <v>3785528</v>
      </c>
      <c r="S45" s="24"/>
      <c r="T45" s="25">
        <v>36.558500000000002</v>
      </c>
      <c r="U45" s="25">
        <v>46.0884</v>
      </c>
      <c r="V45" s="25">
        <v>47.814999999999998</v>
      </c>
      <c r="W45" s="26"/>
      <c r="X45" s="27"/>
      <c r="Y45" s="27"/>
      <c r="AA45" s="19" t="str">
        <f t="shared" si="5"/>
        <v>·</v>
      </c>
      <c r="AB45" s="20">
        <f t="shared" si="6"/>
        <v>1.8624835816045036</v>
      </c>
      <c r="AC45" s="20">
        <f t="shared" si="7"/>
        <v>1.2030622231030674</v>
      </c>
      <c r="AD45" s="20">
        <f t="shared" si="8"/>
        <v>0.6591987946097192</v>
      </c>
      <c r="AE45" s="21"/>
      <c r="AF45" s="20">
        <f t="shared" si="9"/>
        <v>1.8624835816045036</v>
      </c>
      <c r="AG45" s="22">
        <v>4061755</v>
      </c>
      <c r="AH45" s="23">
        <v>7564952</v>
      </c>
      <c r="AI45" s="23">
        <v>4886544</v>
      </c>
      <c r="AJ45" s="23">
        <v>2677504</v>
      </c>
      <c r="AK45" s="24"/>
      <c r="AL45" s="25">
        <v>35.6905</v>
      </c>
      <c r="AM45" s="25">
        <v>44.962899999999998</v>
      </c>
      <c r="AN45" s="25">
        <v>46.715200000000003</v>
      </c>
      <c r="AO45" s="26"/>
      <c r="AP45" s="27"/>
      <c r="AQ45" s="27"/>
      <c r="AS45" s="28">
        <f t="shared" si="10"/>
        <v>8.2523833605526953E-2</v>
      </c>
      <c r="AT45" s="28"/>
      <c r="AV45" s="29"/>
      <c r="AW45" s="29"/>
      <c r="AX45" s="29"/>
      <c r="AY45" s="30"/>
      <c r="BA45" s="29"/>
      <c r="BB45" s="29"/>
      <c r="BC45" s="29"/>
      <c r="BD45" s="30"/>
    </row>
    <row r="46" spans="1:56" outlineLevel="1" x14ac:dyDescent="0.15">
      <c r="A46" s="31"/>
      <c r="B46" s="46" t="s">
        <v>248</v>
      </c>
      <c r="C46" s="47" t="s">
        <v>230</v>
      </c>
      <c r="D46" s="46">
        <v>4061755</v>
      </c>
      <c r="E46" s="48">
        <v>11</v>
      </c>
      <c r="F46" s="47">
        <v>1</v>
      </c>
      <c r="G46" s="47"/>
      <c r="I46" s="49" t="str">
        <f t="shared" si="0"/>
        <v>·</v>
      </c>
      <c r="J46" s="50">
        <f t="shared" si="1"/>
        <v>3.2145749805195045</v>
      </c>
      <c r="K46" s="50">
        <f t="shared" si="2"/>
        <v>1.2030622231030674</v>
      </c>
      <c r="L46" s="50">
        <f t="shared" si="3"/>
        <v>2.0112882239327581</v>
      </c>
      <c r="M46" s="51"/>
      <c r="N46" s="50">
        <f t="shared" si="4"/>
        <v>3.2145749805195045</v>
      </c>
      <c r="O46" s="52">
        <v>4061755</v>
      </c>
      <c r="P46" s="53">
        <v>13056816</v>
      </c>
      <c r="Q46" s="53">
        <v>4886544</v>
      </c>
      <c r="R46" s="53">
        <v>8169360</v>
      </c>
      <c r="S46" s="54"/>
      <c r="T46" s="55">
        <v>40.974499999999999</v>
      </c>
      <c r="U46" s="55">
        <v>47.496099999999998</v>
      </c>
      <c r="V46" s="55">
        <v>49.021700000000003</v>
      </c>
      <c r="W46" s="56"/>
      <c r="X46" s="57"/>
      <c r="Y46" s="57"/>
      <c r="AA46" s="49" t="str">
        <f t="shared" si="5"/>
        <v>·</v>
      </c>
      <c r="AB46" s="50">
        <f t="shared" si="6"/>
        <v>2.7011141735530577</v>
      </c>
      <c r="AC46" s="50">
        <f t="shared" si="7"/>
        <v>1.2030622231030674</v>
      </c>
      <c r="AD46" s="50">
        <f t="shared" si="8"/>
        <v>1.4978293865582735</v>
      </c>
      <c r="AE46" s="51"/>
      <c r="AF46" s="50">
        <f t="shared" si="9"/>
        <v>2.7011141735530577</v>
      </c>
      <c r="AG46" s="52">
        <v>4061755</v>
      </c>
      <c r="AH46" s="53">
        <v>10971264</v>
      </c>
      <c r="AI46" s="53">
        <v>4886544</v>
      </c>
      <c r="AJ46" s="53">
        <v>6083816</v>
      </c>
      <c r="AK46" s="54"/>
      <c r="AL46" s="55">
        <v>39.843699999999998</v>
      </c>
      <c r="AM46" s="55">
        <v>46.336599999999997</v>
      </c>
      <c r="AN46" s="55">
        <v>47.868200000000002</v>
      </c>
      <c r="AO46" s="56"/>
      <c r="AP46" s="57"/>
      <c r="AQ46" s="57"/>
      <c r="AS46" s="58">
        <f t="shared" si="10"/>
        <v>7.1142461399503865E-2</v>
      </c>
      <c r="AT46" s="58"/>
      <c r="AV46" s="59"/>
      <c r="AW46" s="59"/>
      <c r="AX46" s="59"/>
      <c r="AY46" s="60"/>
      <c r="BA46" s="59"/>
      <c r="BB46" s="59"/>
      <c r="BC46" s="59"/>
      <c r="BD46" s="60"/>
    </row>
    <row r="47" spans="1:56" collapsed="1" x14ac:dyDescent="0.15">
      <c r="A47" s="16"/>
      <c r="B47" s="16" t="s">
        <v>251</v>
      </c>
      <c r="C47" s="17" t="s">
        <v>225</v>
      </c>
      <c r="D47" s="16">
        <v>3614251</v>
      </c>
      <c r="E47" s="18">
        <v>12</v>
      </c>
      <c r="F47" s="17">
        <v>1</v>
      </c>
      <c r="G47" s="17"/>
      <c r="I47" s="19" t="str">
        <f t="shared" si="0"/>
        <v>·</v>
      </c>
      <c r="J47" s="20">
        <f t="shared" si="1"/>
        <v>6.4576876370788856</v>
      </c>
      <c r="K47" s="20">
        <f t="shared" si="2"/>
        <v>6.4338221114139555</v>
      </c>
      <c r="L47" s="20">
        <f t="shared" si="3"/>
        <v>2.3635325825461486E-2</v>
      </c>
      <c r="M47" s="21"/>
      <c r="N47" s="20">
        <f t="shared" si="4"/>
        <v>6.4576876370788856</v>
      </c>
      <c r="O47" s="22">
        <v>3614251</v>
      </c>
      <c r="P47" s="23">
        <v>23339704</v>
      </c>
      <c r="Q47" s="23">
        <v>23253448</v>
      </c>
      <c r="R47" s="23">
        <v>85424</v>
      </c>
      <c r="S47" s="24"/>
      <c r="T47" s="25">
        <v>28.5869</v>
      </c>
      <c r="U47" s="25">
        <v>40.764400000000002</v>
      </c>
      <c r="V47" s="25">
        <v>45.950699999999998</v>
      </c>
      <c r="W47" s="26"/>
      <c r="X47" s="27"/>
      <c r="Y47" s="27"/>
      <c r="AA47" s="19" t="str">
        <f t="shared" si="5"/>
        <v>·</v>
      </c>
      <c r="AB47" s="20">
        <f t="shared" si="6"/>
        <v>6.4436454468712885</v>
      </c>
      <c r="AC47" s="20">
        <f t="shared" si="7"/>
        <v>6.4338221114139555</v>
      </c>
      <c r="AD47" s="20">
        <f t="shared" si="8"/>
        <v>9.5953490778587312E-3</v>
      </c>
      <c r="AE47" s="21"/>
      <c r="AF47" s="20">
        <f t="shared" si="9"/>
        <v>6.4436454468712885</v>
      </c>
      <c r="AG47" s="22">
        <v>3614251</v>
      </c>
      <c r="AH47" s="23">
        <v>23288952</v>
      </c>
      <c r="AI47" s="23">
        <v>23253448</v>
      </c>
      <c r="AJ47" s="23">
        <v>34680</v>
      </c>
      <c r="AK47" s="24"/>
      <c r="AL47" s="25">
        <v>27.2439</v>
      </c>
      <c r="AM47" s="25">
        <v>41.6509</v>
      </c>
      <c r="AN47" s="25">
        <v>45.4099</v>
      </c>
      <c r="AO47" s="26"/>
      <c r="AP47" s="27"/>
      <c r="AQ47" s="27"/>
      <c r="AS47" s="28">
        <f t="shared" si="10"/>
        <v>2.1711770034427147E-3</v>
      </c>
      <c r="AT47" s="28">
        <f t="array" ref="AT47">AVERAGE(AI47:AI52/AH47:AH52) - AVERAGE(Q47:Q52/P47:P52)</f>
        <v>2.1165649547551624E-2</v>
      </c>
      <c r="AV47" s="29">
        <f>IF( OR(ISBLANK(R47:R52),ISBLANK(AJ47:AJ52), ISBLANK(T47:T52),ISBLANK(AL47:AL52)), "·", bdRateExtend( R47:R52,T47:T52, AJ47:AJ52,AL47:AL52))</f>
        <v>-3.4603856554213497E-2</v>
      </c>
      <c r="AW47" s="29">
        <f>IF( OR(ISBLANK(R47:R52),ISBLANK(AJ47:AJ52), ISBLANK(U47:U52),ISBLANK(AM47:AM52)), "·", bdRateExtend( R47:R52,U47:U52, AJ47:AJ52,AM47:AM52))</f>
        <v>0.13549755562845656</v>
      </c>
      <c r="AX47" s="29">
        <f>IF( OR(ISBLANK(R47:R52),ISBLANK(AJ47:AJ52), ISBLANK(V47:V52),ISBLANK(AN47:AN52)), "·", bdRateExtend( R47:R52,V47:V52, AJ47:AJ52,AN47:AN52))</f>
        <v>0.59434204537070157</v>
      </c>
      <c r="AY47" s="30"/>
      <c r="BA47" s="29">
        <f>IF( OR(ISBLANK(P47:P52),ISBLANK(AH47:AH52), ISBLANK(T47:T52),ISBLANK(AL47:AL52)), "·", bdRateExtend( P47:P52,T47:T52, AH47:AH52,AL47:AL52))</f>
        <v>-4.1872265466174063E-3</v>
      </c>
      <c r="BB47" s="29">
        <f>IF( OR(ISBLANK(P47:P52),ISBLANK(AH47:AH52), ISBLANK(U47:U52),ISBLANK(AM47:AM52)), "·", bdRateExtend( P47:P52,U47:U52, AH47:AH52,AM47:AM52))</f>
        <v>1.4199310230908813E-2</v>
      </c>
      <c r="BC47" s="29">
        <f>IF( OR(ISBLANK(P47:P52),ISBLANK(AH47:AH52), ISBLANK(V47:V52),ISBLANK(AN47:AN52)), "·", bdRateExtend( P47:P52,V47:V52, AH47:AH52,AN47:AN52))</f>
        <v>1.9373225162241159E-2</v>
      </c>
      <c r="BD47" s="30"/>
    </row>
    <row r="48" spans="1:56" outlineLevel="1" x14ac:dyDescent="0.15">
      <c r="A48" s="31"/>
      <c r="B48" s="31" t="s">
        <v>251</v>
      </c>
      <c r="C48" s="32" t="s">
        <v>226</v>
      </c>
      <c r="D48" s="31">
        <v>3614251</v>
      </c>
      <c r="E48" s="33">
        <v>12</v>
      </c>
      <c r="F48" s="32">
        <v>1</v>
      </c>
      <c r="G48" s="32"/>
      <c r="I48" s="34" t="str">
        <f t="shared" si="0"/>
        <v>·</v>
      </c>
      <c r="J48" s="35">
        <f t="shared" si="1"/>
        <v>6.4899709511043921</v>
      </c>
      <c r="K48" s="35">
        <f t="shared" si="2"/>
        <v>6.4338221114139555</v>
      </c>
      <c r="L48" s="35">
        <f t="shared" si="3"/>
        <v>5.591863985096774E-2</v>
      </c>
      <c r="M48" s="36"/>
      <c r="N48" s="35">
        <f t="shared" si="4"/>
        <v>6.4899709511043921</v>
      </c>
      <c r="O48" s="37">
        <v>3614251</v>
      </c>
      <c r="P48" s="38">
        <v>23456384</v>
      </c>
      <c r="Q48" s="38">
        <v>23253448</v>
      </c>
      <c r="R48" s="38">
        <v>202104</v>
      </c>
      <c r="S48" s="39"/>
      <c r="T48" s="40">
        <v>29.978400000000001</v>
      </c>
      <c r="U48" s="40">
        <v>43.6342</v>
      </c>
      <c r="V48" s="40">
        <v>46.9101</v>
      </c>
      <c r="W48" s="41"/>
      <c r="X48" s="42"/>
      <c r="Y48" s="42"/>
      <c r="AA48" s="34" t="str">
        <f t="shared" si="5"/>
        <v>·</v>
      </c>
      <c r="AB48" s="35">
        <f t="shared" si="6"/>
        <v>6.4564480994817464</v>
      </c>
      <c r="AC48" s="35">
        <f t="shared" si="7"/>
        <v>6.4338221114139555</v>
      </c>
      <c r="AD48" s="35">
        <f t="shared" si="8"/>
        <v>2.2398001688316613E-2</v>
      </c>
      <c r="AE48" s="36"/>
      <c r="AF48" s="35">
        <f t="shared" si="9"/>
        <v>6.4564480994817464</v>
      </c>
      <c r="AG48" s="37">
        <v>3614251</v>
      </c>
      <c r="AH48" s="38">
        <v>23335224</v>
      </c>
      <c r="AI48" s="38">
        <v>23253448</v>
      </c>
      <c r="AJ48" s="38">
        <v>80952</v>
      </c>
      <c r="AK48" s="39"/>
      <c r="AL48" s="40">
        <v>28.5411</v>
      </c>
      <c r="AM48" s="40">
        <v>42.5411</v>
      </c>
      <c r="AN48" s="40">
        <v>45.791600000000003</v>
      </c>
      <c r="AO48" s="41"/>
      <c r="AP48" s="42"/>
      <c r="AQ48" s="42"/>
      <c r="AS48" s="43">
        <f t="shared" si="10"/>
        <v>5.1472301392682107E-3</v>
      </c>
      <c r="AT48" s="43"/>
      <c r="AV48" s="44"/>
      <c r="AW48" s="44"/>
      <c r="AX48" s="44"/>
      <c r="AY48" s="45"/>
      <c r="BA48" s="44"/>
      <c r="BB48" s="44"/>
      <c r="BC48" s="44"/>
      <c r="BD48" s="45"/>
    </row>
    <row r="49" spans="1:56" outlineLevel="1" x14ac:dyDescent="0.15">
      <c r="A49" s="16"/>
      <c r="B49" s="16" t="s">
        <v>251</v>
      </c>
      <c r="C49" s="17" t="s">
        <v>227</v>
      </c>
      <c r="D49" s="16">
        <v>3614251</v>
      </c>
      <c r="E49" s="18">
        <v>12</v>
      </c>
      <c r="F49" s="17">
        <v>1</v>
      </c>
      <c r="G49" s="17"/>
      <c r="I49" s="19" t="str">
        <f t="shared" si="0"/>
        <v>·</v>
      </c>
      <c r="J49" s="20">
        <f t="shared" si="1"/>
        <v>6.5965357690984936</v>
      </c>
      <c r="K49" s="20">
        <f t="shared" si="2"/>
        <v>6.4338221114139555</v>
      </c>
      <c r="L49" s="20">
        <f t="shared" si="3"/>
        <v>0.16248345784506943</v>
      </c>
      <c r="M49" s="21"/>
      <c r="N49" s="20">
        <f t="shared" si="4"/>
        <v>6.5965357690984936</v>
      </c>
      <c r="O49" s="22">
        <v>3614251</v>
      </c>
      <c r="P49" s="23">
        <v>23841536</v>
      </c>
      <c r="Q49" s="23">
        <v>23253448</v>
      </c>
      <c r="R49" s="23">
        <v>587256</v>
      </c>
      <c r="S49" s="24"/>
      <c r="T49" s="25">
        <v>31.9146</v>
      </c>
      <c r="U49" s="25">
        <v>44.700400000000002</v>
      </c>
      <c r="V49" s="25">
        <v>47.607999999999997</v>
      </c>
      <c r="W49" s="26"/>
      <c r="X49" s="27"/>
      <c r="Y49" s="27"/>
      <c r="AA49" s="19" t="str">
        <f t="shared" si="5"/>
        <v>·</v>
      </c>
      <c r="AB49" s="20">
        <f t="shared" si="6"/>
        <v>6.5097437892387662</v>
      </c>
      <c r="AC49" s="20">
        <f t="shared" si="7"/>
        <v>6.4338221114139555</v>
      </c>
      <c r="AD49" s="20">
        <f t="shared" si="8"/>
        <v>7.5693691445336803E-2</v>
      </c>
      <c r="AE49" s="21"/>
      <c r="AF49" s="20">
        <f t="shared" si="9"/>
        <v>6.5097437892387662</v>
      </c>
      <c r="AG49" s="22">
        <v>3614251</v>
      </c>
      <c r="AH49" s="23">
        <v>23527848</v>
      </c>
      <c r="AI49" s="23">
        <v>23253448</v>
      </c>
      <c r="AJ49" s="23">
        <v>273576</v>
      </c>
      <c r="AK49" s="24"/>
      <c r="AL49" s="25">
        <v>30.354800000000001</v>
      </c>
      <c r="AM49" s="25">
        <v>43.597499999999997</v>
      </c>
      <c r="AN49" s="25">
        <v>46.767499999999998</v>
      </c>
      <c r="AO49" s="26"/>
      <c r="AP49" s="27"/>
      <c r="AQ49" s="27"/>
      <c r="AS49" s="28">
        <f t="shared" si="10"/>
        <v>1.3003756444295855E-2</v>
      </c>
      <c r="AT49" s="28"/>
      <c r="AV49" s="29"/>
      <c r="AW49" s="29"/>
      <c r="AX49" s="29"/>
      <c r="AY49" s="30"/>
      <c r="BA49" s="29"/>
      <c r="BB49" s="29"/>
      <c r="BC49" s="29"/>
      <c r="BD49" s="30"/>
    </row>
    <row r="50" spans="1:56" outlineLevel="1" x14ac:dyDescent="0.15">
      <c r="A50" s="31"/>
      <c r="B50" s="31" t="s">
        <v>251</v>
      </c>
      <c r="C50" s="32" t="s">
        <v>228</v>
      </c>
      <c r="D50" s="31">
        <v>3614251</v>
      </c>
      <c r="E50" s="33">
        <v>12</v>
      </c>
      <c r="F50" s="32">
        <v>1</v>
      </c>
      <c r="G50" s="32"/>
      <c r="I50" s="34" t="str">
        <f t="shared" si="0"/>
        <v>·</v>
      </c>
      <c r="J50" s="35">
        <f t="shared" si="1"/>
        <v>6.8464265486818707</v>
      </c>
      <c r="K50" s="35">
        <f t="shared" si="2"/>
        <v>6.4338221114139555</v>
      </c>
      <c r="L50" s="35">
        <f t="shared" si="3"/>
        <v>0.41237423742844642</v>
      </c>
      <c r="M50" s="36"/>
      <c r="N50" s="35">
        <f t="shared" si="4"/>
        <v>6.8464265486818707</v>
      </c>
      <c r="O50" s="37">
        <v>3614251</v>
      </c>
      <c r="P50" s="38">
        <v>24744704</v>
      </c>
      <c r="Q50" s="38">
        <v>23253448</v>
      </c>
      <c r="R50" s="38">
        <v>1490424</v>
      </c>
      <c r="S50" s="39"/>
      <c r="T50" s="40">
        <v>34.599400000000003</v>
      </c>
      <c r="U50" s="40">
        <v>45.700600000000001</v>
      </c>
      <c r="V50" s="40">
        <v>48.258800000000001</v>
      </c>
      <c r="W50" s="41"/>
      <c r="X50" s="42"/>
      <c r="Y50" s="42"/>
      <c r="AA50" s="34" t="str">
        <f t="shared" si="5"/>
        <v>·</v>
      </c>
      <c r="AB50" s="35">
        <f t="shared" si="6"/>
        <v>6.6709545075867727</v>
      </c>
      <c r="AC50" s="35">
        <f t="shared" si="7"/>
        <v>6.4338221114139555</v>
      </c>
      <c r="AD50" s="35">
        <f t="shared" si="8"/>
        <v>0.23690440979334307</v>
      </c>
      <c r="AE50" s="36"/>
      <c r="AF50" s="35">
        <f t="shared" si="9"/>
        <v>6.6709545075867727</v>
      </c>
      <c r="AG50" s="37">
        <v>3614251</v>
      </c>
      <c r="AH50" s="38">
        <v>24110504</v>
      </c>
      <c r="AI50" s="38">
        <v>23253448</v>
      </c>
      <c r="AJ50" s="38">
        <v>856232</v>
      </c>
      <c r="AK50" s="39"/>
      <c r="AL50" s="40">
        <v>33.007399999999997</v>
      </c>
      <c r="AM50" s="40">
        <v>44.6432</v>
      </c>
      <c r="AN50" s="40">
        <v>47.508099999999999</v>
      </c>
      <c r="AO50" s="41"/>
      <c r="AP50" s="42"/>
      <c r="AQ50" s="42"/>
      <c r="AS50" s="43">
        <f t="shared" si="10"/>
        <v>2.4718666865197858E-2</v>
      </c>
      <c r="AT50" s="43"/>
      <c r="AV50" s="44"/>
      <c r="AW50" s="44"/>
      <c r="AX50" s="44"/>
      <c r="AY50" s="45"/>
      <c r="BA50" s="44"/>
      <c r="BB50" s="44"/>
      <c r="BC50" s="44"/>
      <c r="BD50" s="45"/>
    </row>
    <row r="51" spans="1:56" outlineLevel="1" x14ac:dyDescent="0.15">
      <c r="A51" s="16"/>
      <c r="B51" s="16" t="s">
        <v>251</v>
      </c>
      <c r="C51" s="17" t="s">
        <v>229</v>
      </c>
      <c r="D51" s="16">
        <v>3614251</v>
      </c>
      <c r="E51" s="18">
        <v>12</v>
      </c>
      <c r="F51" s="17">
        <v>1</v>
      </c>
      <c r="G51" s="17"/>
      <c r="I51" s="19" t="str">
        <f t="shared" si="0"/>
        <v>·</v>
      </c>
      <c r="J51" s="20">
        <f t="shared" si="1"/>
        <v>7.3357539362927477</v>
      </c>
      <c r="K51" s="20">
        <f t="shared" si="2"/>
        <v>6.4338221114139555</v>
      </c>
      <c r="L51" s="20">
        <f t="shared" si="3"/>
        <v>0.9017016250393235</v>
      </c>
      <c r="M51" s="21"/>
      <c r="N51" s="20">
        <f t="shared" si="4"/>
        <v>7.3357539362927477</v>
      </c>
      <c r="O51" s="22">
        <v>3614251</v>
      </c>
      <c r="P51" s="23">
        <v>26513256</v>
      </c>
      <c r="Q51" s="23">
        <v>23253448</v>
      </c>
      <c r="R51" s="23">
        <v>3258976</v>
      </c>
      <c r="S51" s="24"/>
      <c r="T51" s="25">
        <v>38.020299999999999</v>
      </c>
      <c r="U51" s="25">
        <v>46.773699999999998</v>
      </c>
      <c r="V51" s="25">
        <v>48.866799999999998</v>
      </c>
      <c r="W51" s="26"/>
      <c r="X51" s="27"/>
      <c r="Y51" s="27"/>
      <c r="AA51" s="19" t="str">
        <f t="shared" si="5"/>
        <v>·</v>
      </c>
      <c r="AB51" s="20">
        <f t="shared" si="6"/>
        <v>7.0691935894878357</v>
      </c>
      <c r="AC51" s="20">
        <f t="shared" si="7"/>
        <v>6.4338221114139555</v>
      </c>
      <c r="AD51" s="20">
        <f t="shared" si="8"/>
        <v>0.63514349169440643</v>
      </c>
      <c r="AE51" s="21"/>
      <c r="AF51" s="20">
        <f t="shared" si="9"/>
        <v>7.0691935894878357</v>
      </c>
      <c r="AG51" s="22">
        <v>3614251</v>
      </c>
      <c r="AH51" s="23">
        <v>25549840</v>
      </c>
      <c r="AI51" s="23">
        <v>23253448</v>
      </c>
      <c r="AJ51" s="23">
        <v>2295568</v>
      </c>
      <c r="AK51" s="24"/>
      <c r="AL51" s="25">
        <v>36.614199999999997</v>
      </c>
      <c r="AM51" s="25">
        <v>45.719700000000003</v>
      </c>
      <c r="AN51" s="25">
        <v>48.2029</v>
      </c>
      <c r="AO51" s="26"/>
      <c r="AP51" s="27"/>
      <c r="AQ51" s="27"/>
      <c r="AS51" s="28">
        <f t="shared" si="10"/>
        <v>3.307120073694525E-2</v>
      </c>
      <c r="AT51" s="28"/>
      <c r="AV51" s="29"/>
      <c r="AW51" s="29"/>
      <c r="AX51" s="29"/>
      <c r="AY51" s="30"/>
      <c r="BA51" s="29"/>
      <c r="BB51" s="29"/>
      <c r="BC51" s="29"/>
      <c r="BD51" s="30"/>
    </row>
    <row r="52" spans="1:56" outlineLevel="1" x14ac:dyDescent="0.15">
      <c r="A52" s="31"/>
      <c r="B52" s="46" t="s">
        <v>251</v>
      </c>
      <c r="C52" s="47" t="s">
        <v>230</v>
      </c>
      <c r="D52" s="46">
        <v>3614251</v>
      </c>
      <c r="E52" s="48">
        <v>12</v>
      </c>
      <c r="F52" s="47">
        <v>1</v>
      </c>
      <c r="G52" s="47"/>
      <c r="I52" s="49" t="str">
        <f t="shared" si="0"/>
        <v>·</v>
      </c>
      <c r="J52" s="50">
        <f t="shared" si="1"/>
        <v>8.2255139446596264</v>
      </c>
      <c r="K52" s="50">
        <f t="shared" si="2"/>
        <v>6.4338221114139555</v>
      </c>
      <c r="L52" s="50">
        <f t="shared" si="3"/>
        <v>1.7914616334062023</v>
      </c>
      <c r="M52" s="51"/>
      <c r="N52" s="50">
        <f t="shared" si="4"/>
        <v>8.2255139446596264</v>
      </c>
      <c r="O52" s="52">
        <v>3614251</v>
      </c>
      <c r="P52" s="53">
        <v>29729072</v>
      </c>
      <c r="Q52" s="53">
        <v>23253448</v>
      </c>
      <c r="R52" s="53">
        <v>6474792</v>
      </c>
      <c r="S52" s="54"/>
      <c r="T52" s="55">
        <v>42.079900000000002</v>
      </c>
      <c r="U52" s="55">
        <v>48.121699999999997</v>
      </c>
      <c r="V52" s="55">
        <v>49.692300000000003</v>
      </c>
      <c r="W52" s="56"/>
      <c r="X52" s="57"/>
      <c r="Y52" s="57"/>
      <c r="AA52" s="49" t="str">
        <f t="shared" si="5"/>
        <v>·</v>
      </c>
      <c r="AB52" s="50">
        <f t="shared" si="6"/>
        <v>7.7417002858960267</v>
      </c>
      <c r="AC52" s="50">
        <f t="shared" si="7"/>
        <v>6.4338221114139555</v>
      </c>
      <c r="AD52" s="50">
        <f t="shared" si="8"/>
        <v>1.3076501881025973</v>
      </c>
      <c r="AE52" s="51"/>
      <c r="AF52" s="50">
        <f t="shared" si="9"/>
        <v>7.7417002858960267</v>
      </c>
      <c r="AG52" s="52">
        <v>3614251</v>
      </c>
      <c r="AH52" s="53">
        <v>27980448</v>
      </c>
      <c r="AI52" s="53">
        <v>23253448</v>
      </c>
      <c r="AJ52" s="53">
        <v>4726176</v>
      </c>
      <c r="AK52" s="54"/>
      <c r="AL52" s="55">
        <v>40.550600000000003</v>
      </c>
      <c r="AM52" s="55">
        <v>46.809100000000001</v>
      </c>
      <c r="AN52" s="55">
        <v>48.828899999999997</v>
      </c>
      <c r="AO52" s="56"/>
      <c r="AP52" s="57"/>
      <c r="AQ52" s="57"/>
      <c r="AS52" s="58">
        <f t="shared" si="10"/>
        <v>4.8881866096158855E-2</v>
      </c>
      <c r="AT52" s="58"/>
      <c r="AV52" s="59"/>
      <c r="AW52" s="59"/>
      <c r="AX52" s="59"/>
      <c r="AY52" s="60"/>
      <c r="BA52" s="59"/>
      <c r="BB52" s="59"/>
      <c r="BC52" s="59"/>
      <c r="BD52" s="60"/>
    </row>
    <row r="53" spans="1:56" collapsed="1" x14ac:dyDescent="0.15">
      <c r="A53" s="16"/>
      <c r="B53" s="16" t="s">
        <v>254</v>
      </c>
      <c r="C53" s="17" t="s">
        <v>225</v>
      </c>
      <c r="D53" s="16">
        <v>13903516</v>
      </c>
      <c r="E53" s="18">
        <v>12</v>
      </c>
      <c r="F53" s="17">
        <v>1</v>
      </c>
      <c r="G53" s="17"/>
      <c r="I53" s="19" t="str">
        <f t="shared" si="0"/>
        <v>·</v>
      </c>
      <c r="J53" s="20">
        <f t="shared" si="1"/>
        <v>4.9737628956589113</v>
      </c>
      <c r="K53" s="20">
        <f t="shared" si="2"/>
        <v>4.9336815234362303</v>
      </c>
      <c r="L53" s="20">
        <f t="shared" si="3"/>
        <v>3.9963991842063548E-2</v>
      </c>
      <c r="M53" s="21"/>
      <c r="N53" s="20">
        <f t="shared" si="4"/>
        <v>4.9737628956589113</v>
      </c>
      <c r="O53" s="22">
        <v>13903516</v>
      </c>
      <c r="P53" s="23">
        <v>69152792</v>
      </c>
      <c r="Q53" s="23">
        <v>68595520</v>
      </c>
      <c r="R53" s="23">
        <v>555640</v>
      </c>
      <c r="S53" s="24"/>
      <c r="T53" s="25">
        <v>26.159099999999999</v>
      </c>
      <c r="U53" s="25">
        <v>37.756300000000003</v>
      </c>
      <c r="V53" s="25">
        <v>43.303699999999999</v>
      </c>
      <c r="W53" s="26"/>
      <c r="X53" s="27"/>
      <c r="Y53" s="27"/>
      <c r="AA53" s="19" t="str">
        <f t="shared" si="5"/>
        <v>·</v>
      </c>
      <c r="AB53" s="20">
        <f t="shared" si="6"/>
        <v>4.9468770345573017</v>
      </c>
      <c r="AC53" s="20">
        <f t="shared" si="7"/>
        <v>4.9336815234362303</v>
      </c>
      <c r="AD53" s="20">
        <f t="shared" si="8"/>
        <v>1.3078706134477064E-2</v>
      </c>
      <c r="AE53" s="21"/>
      <c r="AF53" s="20">
        <f t="shared" si="9"/>
        <v>4.9468770345573017</v>
      </c>
      <c r="AG53" s="22">
        <v>13903516</v>
      </c>
      <c r="AH53" s="23">
        <v>68778984</v>
      </c>
      <c r="AI53" s="23">
        <v>68595520</v>
      </c>
      <c r="AJ53" s="23">
        <v>181840</v>
      </c>
      <c r="AK53" s="24"/>
      <c r="AL53" s="25">
        <v>24.8719</v>
      </c>
      <c r="AM53" s="25">
        <v>37.904699999999998</v>
      </c>
      <c r="AN53" s="25">
        <v>42.288499999999999</v>
      </c>
      <c r="AO53" s="26"/>
      <c r="AP53" s="27"/>
      <c r="AQ53" s="27"/>
      <c r="AS53" s="28">
        <f t="shared" si="10"/>
        <v>5.3911183885761993E-3</v>
      </c>
      <c r="AT53" s="28">
        <f t="array" ref="AT53">AVERAGE(AI53:AI58/AH53:AH58) - AVERAGE(Q53:Q58/P53:P58)</f>
        <v>3.3049346002669844E-2</v>
      </c>
      <c r="AV53" s="29">
        <f>IF( OR(ISBLANK(R53:R58),ISBLANK(AJ53:AJ58), ISBLANK(T53:T58),ISBLANK(AL53:AL58)), "·", bdRateExtend( R53:R58,T53:T58, AJ53:AJ58,AL53:AL58))</f>
        <v>-9.147273841123349E-2</v>
      </c>
      <c r="AW53" s="29">
        <f>IF( OR(ISBLANK(R53:R58),ISBLANK(AJ53:AJ58), ISBLANK(U53:U58),ISBLANK(AM53:AM58)), "·", bdRateExtend( R53:R58,U53:U58, AJ53:AJ58,AM53:AM58))</f>
        <v>0.1256319359360536</v>
      </c>
      <c r="AX53" s="29">
        <f>IF( OR(ISBLANK(R53:R58),ISBLANK(AJ53:AJ58), ISBLANK(V53:V58),ISBLANK(AN53:AN58)), "·", bdRateExtend( R53:R58,V53:V58, AJ53:AJ58,AN53:AN58))</f>
        <v>0.37895118680053019</v>
      </c>
      <c r="AY53" s="30"/>
      <c r="BA53" s="29">
        <f>IF( OR(ISBLANK(P53:P58),ISBLANK(AH53:AH58), ISBLANK(T53:T58),ISBLANK(AL53:AL58)), "·", bdRateExtend( P53:P58,T53:T58, AH53:AH58,AL53:AL58))</f>
        <v>-1.2636994660928935E-2</v>
      </c>
      <c r="BB53" s="29">
        <f>IF( OR(ISBLANK(P53:P58),ISBLANK(AH53:AH58), ISBLANK(U53:U58),ISBLANK(AM53:AM58)), "·", bdRateExtend( P53:P58,U53:U58, AH53:AH58,AM53:AM58))</f>
        <v>2.0184777973537793E-2</v>
      </c>
      <c r="BC53" s="29">
        <f>IF( OR(ISBLANK(P53:P58),ISBLANK(AH53:AH58), ISBLANK(V53:V58),ISBLANK(AN53:AN58)), "·", bdRateExtend( P53:P58,V53:V58, AH53:AH58,AN53:AN58))</f>
        <v>3.1165228202215012E-2</v>
      </c>
      <c r="BD53" s="30"/>
    </row>
    <row r="54" spans="1:56" outlineLevel="1" x14ac:dyDescent="0.15">
      <c r="A54" s="31"/>
      <c r="B54" s="31" t="s">
        <v>254</v>
      </c>
      <c r="C54" s="32" t="s">
        <v>226</v>
      </c>
      <c r="D54" s="31">
        <v>13903516</v>
      </c>
      <c r="E54" s="33">
        <v>12</v>
      </c>
      <c r="F54" s="32">
        <v>1</v>
      </c>
      <c r="G54" s="32"/>
      <c r="I54" s="34" t="str">
        <f t="shared" si="0"/>
        <v>·</v>
      </c>
      <c r="J54" s="35">
        <f t="shared" si="1"/>
        <v>5.0359129302257069</v>
      </c>
      <c r="K54" s="35">
        <f t="shared" si="2"/>
        <v>4.9336815234362303</v>
      </c>
      <c r="L54" s="35">
        <f t="shared" si="3"/>
        <v>0.10211402640885946</v>
      </c>
      <c r="M54" s="36"/>
      <c r="N54" s="35">
        <f t="shared" si="4"/>
        <v>5.0359129302257069</v>
      </c>
      <c r="O54" s="37">
        <v>13903516</v>
      </c>
      <c r="P54" s="38">
        <v>70016896</v>
      </c>
      <c r="Q54" s="38">
        <v>68595520</v>
      </c>
      <c r="R54" s="38">
        <v>1419744</v>
      </c>
      <c r="S54" s="39"/>
      <c r="T54" s="40">
        <v>27.703900000000001</v>
      </c>
      <c r="U54" s="40">
        <v>40.113999999999997</v>
      </c>
      <c r="V54" s="40">
        <v>44.373600000000003</v>
      </c>
      <c r="W54" s="41"/>
      <c r="X54" s="42"/>
      <c r="Y54" s="42"/>
      <c r="AA54" s="34" t="str">
        <f t="shared" si="5"/>
        <v>·</v>
      </c>
      <c r="AB54" s="35">
        <f t="shared" si="6"/>
        <v>4.9710815595134354</v>
      </c>
      <c r="AC54" s="35">
        <f t="shared" si="7"/>
        <v>4.9336815234362303</v>
      </c>
      <c r="AD54" s="35">
        <f t="shared" si="8"/>
        <v>3.7283231090610464E-2</v>
      </c>
      <c r="AE54" s="36"/>
      <c r="AF54" s="35">
        <f t="shared" si="9"/>
        <v>4.9710815595134354</v>
      </c>
      <c r="AG54" s="37">
        <v>13903516</v>
      </c>
      <c r="AH54" s="38">
        <v>69115512</v>
      </c>
      <c r="AI54" s="38">
        <v>68595520</v>
      </c>
      <c r="AJ54" s="38">
        <v>518368</v>
      </c>
      <c r="AK54" s="39"/>
      <c r="AL54" s="40">
        <v>26.205100000000002</v>
      </c>
      <c r="AM54" s="40">
        <v>38.808500000000002</v>
      </c>
      <c r="AN54" s="40">
        <v>43.148499999999999</v>
      </c>
      <c r="AO54" s="41"/>
      <c r="AP54" s="42"/>
      <c r="AQ54" s="42"/>
      <c r="AS54" s="43">
        <f t="shared" si="10"/>
        <v>1.2776950560970834E-2</v>
      </c>
      <c r="AT54" s="43"/>
      <c r="AV54" s="44"/>
      <c r="AW54" s="44"/>
      <c r="AX54" s="44"/>
      <c r="AY54" s="45"/>
      <c r="BA54" s="44"/>
      <c r="BB54" s="44"/>
      <c r="BC54" s="44"/>
      <c r="BD54" s="45"/>
    </row>
    <row r="55" spans="1:56" outlineLevel="1" x14ac:dyDescent="0.15">
      <c r="A55" s="16"/>
      <c r="B55" s="16" t="s">
        <v>254</v>
      </c>
      <c r="C55" s="17" t="s">
        <v>227</v>
      </c>
      <c r="D55" s="16">
        <v>13903516</v>
      </c>
      <c r="E55" s="18">
        <v>12</v>
      </c>
      <c r="F55" s="17">
        <v>1</v>
      </c>
      <c r="G55" s="17"/>
      <c r="I55" s="19" t="str">
        <f t="shared" si="0"/>
        <v>·</v>
      </c>
      <c r="J55" s="20">
        <f t="shared" si="1"/>
        <v>5.2301889680279432</v>
      </c>
      <c r="K55" s="20">
        <f t="shared" si="2"/>
        <v>4.9336815234362303</v>
      </c>
      <c r="L55" s="20">
        <f t="shared" si="3"/>
        <v>0.29639006421109598</v>
      </c>
      <c r="M55" s="21"/>
      <c r="N55" s="20">
        <f t="shared" si="4"/>
        <v>5.2301889680279432</v>
      </c>
      <c r="O55" s="22">
        <v>13903516</v>
      </c>
      <c r="P55" s="23">
        <v>72718016</v>
      </c>
      <c r="Q55" s="23">
        <v>68595520</v>
      </c>
      <c r="R55" s="23">
        <v>4120864</v>
      </c>
      <c r="S55" s="24"/>
      <c r="T55" s="25">
        <v>30.087499999999999</v>
      </c>
      <c r="U55" s="25">
        <v>41.704599999999999</v>
      </c>
      <c r="V55" s="25">
        <v>45.756799999999998</v>
      </c>
      <c r="W55" s="26"/>
      <c r="X55" s="27"/>
      <c r="Y55" s="27"/>
      <c r="AA55" s="19" t="str">
        <f t="shared" si="5"/>
        <v>·</v>
      </c>
      <c r="AB55" s="20">
        <f t="shared" si="6"/>
        <v>5.0789955576704484</v>
      </c>
      <c r="AC55" s="20">
        <f t="shared" si="7"/>
        <v>4.9336815234362303</v>
      </c>
      <c r="AD55" s="20">
        <f t="shared" si="8"/>
        <v>0.1451972292476234</v>
      </c>
      <c r="AE55" s="21"/>
      <c r="AF55" s="20">
        <f t="shared" si="9"/>
        <v>5.0789955576704484</v>
      </c>
      <c r="AG55" s="22">
        <v>13903516</v>
      </c>
      <c r="AH55" s="23">
        <v>70615896</v>
      </c>
      <c r="AI55" s="23">
        <v>68595520</v>
      </c>
      <c r="AJ55" s="23">
        <v>2018752</v>
      </c>
      <c r="AK55" s="24"/>
      <c r="AL55" s="25">
        <v>28.4697</v>
      </c>
      <c r="AM55" s="25">
        <v>40.135599999999997</v>
      </c>
      <c r="AN55" s="25">
        <v>44.405999999999999</v>
      </c>
      <c r="AO55" s="26"/>
      <c r="AP55" s="27"/>
      <c r="AQ55" s="27"/>
      <c r="AS55" s="28">
        <f t="shared" si="10"/>
        <v>2.808075378633057E-2</v>
      </c>
      <c r="AT55" s="28"/>
      <c r="AV55" s="29"/>
      <c r="AW55" s="29"/>
      <c r="AX55" s="29"/>
      <c r="AY55" s="30"/>
      <c r="BA55" s="29"/>
      <c r="BB55" s="29"/>
      <c r="BC55" s="29"/>
      <c r="BD55" s="30"/>
    </row>
    <row r="56" spans="1:56" outlineLevel="1" x14ac:dyDescent="0.15">
      <c r="A56" s="31"/>
      <c r="B56" s="31" t="s">
        <v>254</v>
      </c>
      <c r="C56" s="32" t="s">
        <v>228</v>
      </c>
      <c r="D56" s="31">
        <v>13903516</v>
      </c>
      <c r="E56" s="33">
        <v>12</v>
      </c>
      <c r="F56" s="32">
        <v>1</v>
      </c>
      <c r="G56" s="32"/>
      <c r="I56" s="34" t="str">
        <f t="shared" si="0"/>
        <v>·</v>
      </c>
      <c r="J56" s="35">
        <f t="shared" si="1"/>
        <v>5.6325257582326653</v>
      </c>
      <c r="K56" s="35">
        <f t="shared" si="2"/>
        <v>4.9336815234362303</v>
      </c>
      <c r="L56" s="35">
        <f t="shared" si="3"/>
        <v>0.69872685441581828</v>
      </c>
      <c r="M56" s="36"/>
      <c r="N56" s="35">
        <f t="shared" si="4"/>
        <v>5.6325257582326653</v>
      </c>
      <c r="O56" s="37">
        <v>13903516</v>
      </c>
      <c r="P56" s="38">
        <v>78311912</v>
      </c>
      <c r="Q56" s="38">
        <v>68595520</v>
      </c>
      <c r="R56" s="38">
        <v>9714760</v>
      </c>
      <c r="S56" s="39"/>
      <c r="T56" s="40">
        <v>33.538600000000002</v>
      </c>
      <c r="U56" s="40">
        <v>43.527700000000003</v>
      </c>
      <c r="V56" s="40">
        <v>47.204000000000001</v>
      </c>
      <c r="W56" s="41"/>
      <c r="X56" s="42"/>
      <c r="Y56" s="42"/>
      <c r="AA56" s="34" t="str">
        <f t="shared" si="5"/>
        <v>·</v>
      </c>
      <c r="AB56" s="35">
        <f t="shared" si="6"/>
        <v>5.3679095273454571</v>
      </c>
      <c r="AC56" s="35">
        <f t="shared" si="7"/>
        <v>4.9336815234362303</v>
      </c>
      <c r="AD56" s="35">
        <f t="shared" si="8"/>
        <v>0.43411119892263222</v>
      </c>
      <c r="AE56" s="36"/>
      <c r="AF56" s="35">
        <f t="shared" si="9"/>
        <v>5.3679095273454571</v>
      </c>
      <c r="AG56" s="37">
        <v>13903516</v>
      </c>
      <c r="AH56" s="38">
        <v>74632816</v>
      </c>
      <c r="AI56" s="38">
        <v>68595520</v>
      </c>
      <c r="AJ56" s="38">
        <v>6035672</v>
      </c>
      <c r="AK56" s="39"/>
      <c r="AL56" s="40">
        <v>31.875900000000001</v>
      </c>
      <c r="AM56" s="40">
        <v>41.7547</v>
      </c>
      <c r="AN56" s="40">
        <v>45.734400000000001</v>
      </c>
      <c r="AO56" s="41"/>
      <c r="AP56" s="42"/>
      <c r="AQ56" s="42"/>
      <c r="AS56" s="43">
        <f t="shared" si="10"/>
        <v>4.317965985982597E-2</v>
      </c>
      <c r="AT56" s="43"/>
      <c r="AV56" s="44"/>
      <c r="AW56" s="44"/>
      <c r="AX56" s="44"/>
      <c r="AY56" s="45"/>
      <c r="BA56" s="44"/>
      <c r="BB56" s="44"/>
      <c r="BC56" s="44"/>
      <c r="BD56" s="45"/>
    </row>
    <row r="57" spans="1:56" outlineLevel="1" x14ac:dyDescent="0.15">
      <c r="A57" s="16"/>
      <c r="B57" s="16" t="s">
        <v>254</v>
      </c>
      <c r="C57" s="17" t="s">
        <v>229</v>
      </c>
      <c r="D57" s="16">
        <v>13903516</v>
      </c>
      <c r="E57" s="18">
        <v>12</v>
      </c>
      <c r="F57" s="17">
        <v>1</v>
      </c>
      <c r="G57" s="17"/>
      <c r="I57" s="19" t="str">
        <f t="shared" si="0"/>
        <v>·</v>
      </c>
      <c r="J57" s="20">
        <f t="shared" si="1"/>
        <v>6.3091920058206856</v>
      </c>
      <c r="K57" s="20">
        <f t="shared" si="2"/>
        <v>4.9336815234362303</v>
      </c>
      <c r="L57" s="20">
        <f t="shared" si="3"/>
        <v>1.3753931020038384</v>
      </c>
      <c r="M57" s="21"/>
      <c r="N57" s="20">
        <f t="shared" si="4"/>
        <v>6.3091920058206856</v>
      </c>
      <c r="O57" s="22">
        <v>13903516</v>
      </c>
      <c r="P57" s="23">
        <v>87719952</v>
      </c>
      <c r="Q57" s="23">
        <v>68595520</v>
      </c>
      <c r="R57" s="23">
        <v>19122800</v>
      </c>
      <c r="S57" s="24"/>
      <c r="T57" s="25">
        <v>37.689599999999999</v>
      </c>
      <c r="U57" s="25">
        <v>45.543399999999998</v>
      </c>
      <c r="V57" s="25">
        <v>48.696199999999997</v>
      </c>
      <c r="W57" s="26"/>
      <c r="X57" s="27"/>
      <c r="Y57" s="27"/>
      <c r="AA57" s="19" t="str">
        <f t="shared" si="5"/>
        <v>·</v>
      </c>
      <c r="AB57" s="20">
        <f t="shared" si="6"/>
        <v>5.9303186330709439</v>
      </c>
      <c r="AC57" s="20">
        <f t="shared" si="7"/>
        <v>4.9336815234362303</v>
      </c>
      <c r="AD57" s="20">
        <f t="shared" si="8"/>
        <v>0.99652030464811925</v>
      </c>
      <c r="AE57" s="21"/>
      <c r="AF57" s="20">
        <f t="shared" si="9"/>
        <v>5.9303186330709439</v>
      </c>
      <c r="AG57" s="22">
        <v>13903516</v>
      </c>
      <c r="AH57" s="23">
        <v>82452280</v>
      </c>
      <c r="AI57" s="23">
        <v>68595520</v>
      </c>
      <c r="AJ57" s="23">
        <v>13855136</v>
      </c>
      <c r="AK57" s="24"/>
      <c r="AL57" s="25">
        <v>36.192500000000003</v>
      </c>
      <c r="AM57" s="25">
        <v>43.840600000000002</v>
      </c>
      <c r="AN57" s="25">
        <v>47.246899999999997</v>
      </c>
      <c r="AO57" s="26"/>
      <c r="AP57" s="27"/>
      <c r="AQ57" s="27"/>
      <c r="AS57" s="28">
        <f t="shared" si="10"/>
        <v>4.9958963906573506E-2</v>
      </c>
      <c r="AT57" s="28"/>
      <c r="AV57" s="29"/>
      <c r="AW57" s="29"/>
      <c r="AX57" s="29"/>
      <c r="AY57" s="30"/>
      <c r="BA57" s="29"/>
      <c r="BB57" s="29"/>
      <c r="BC57" s="29"/>
      <c r="BD57" s="30"/>
    </row>
    <row r="58" spans="1:56" outlineLevel="1" x14ac:dyDescent="0.15">
      <c r="A58" s="31"/>
      <c r="B58" s="46" t="s">
        <v>254</v>
      </c>
      <c r="C58" s="47" t="s">
        <v>230</v>
      </c>
      <c r="D58" s="46">
        <v>13903516</v>
      </c>
      <c r="E58" s="48">
        <v>12</v>
      </c>
      <c r="F58" s="47">
        <v>1</v>
      </c>
      <c r="G58" s="47"/>
      <c r="I58" s="49" t="str">
        <f t="shared" si="0"/>
        <v>·</v>
      </c>
      <c r="J58" s="50">
        <f t="shared" si="1"/>
        <v>7.3158789474547303</v>
      </c>
      <c r="K58" s="50">
        <f t="shared" si="2"/>
        <v>4.9336815234362303</v>
      </c>
      <c r="L58" s="50">
        <f t="shared" si="3"/>
        <v>2.3820800436378828</v>
      </c>
      <c r="M58" s="51"/>
      <c r="N58" s="50">
        <f t="shared" si="4"/>
        <v>7.3158789474547303</v>
      </c>
      <c r="O58" s="52">
        <v>13903516</v>
      </c>
      <c r="P58" s="53">
        <v>101716440</v>
      </c>
      <c r="Q58" s="53">
        <v>68595520</v>
      </c>
      <c r="R58" s="53">
        <v>33119288</v>
      </c>
      <c r="S58" s="54"/>
      <c r="T58" s="55">
        <v>42.193800000000003</v>
      </c>
      <c r="U58" s="55">
        <v>47.787100000000002</v>
      </c>
      <c r="V58" s="55">
        <v>50.170099999999998</v>
      </c>
      <c r="W58" s="56"/>
      <c r="X58" s="57"/>
      <c r="Y58" s="57"/>
      <c r="AA58" s="49" t="str">
        <f t="shared" si="5"/>
        <v>·</v>
      </c>
      <c r="AB58" s="50">
        <f t="shared" si="6"/>
        <v>6.7281588340675844</v>
      </c>
      <c r="AC58" s="50">
        <f t="shared" si="7"/>
        <v>4.9336815234362303</v>
      </c>
      <c r="AD58" s="50">
        <f t="shared" si="8"/>
        <v>1.7943605056447591</v>
      </c>
      <c r="AE58" s="51"/>
      <c r="AF58" s="50">
        <f t="shared" si="9"/>
        <v>6.7281588340675844</v>
      </c>
      <c r="AG58" s="52">
        <v>13903516</v>
      </c>
      <c r="AH58" s="53">
        <v>93545064</v>
      </c>
      <c r="AI58" s="53">
        <v>68595520</v>
      </c>
      <c r="AJ58" s="53">
        <v>24947920</v>
      </c>
      <c r="AK58" s="54"/>
      <c r="AL58" s="55">
        <v>40.565399999999997</v>
      </c>
      <c r="AM58" s="55">
        <v>46.139000000000003</v>
      </c>
      <c r="AN58" s="55">
        <v>48.749600000000001</v>
      </c>
      <c r="AO58" s="56"/>
      <c r="AP58" s="57"/>
      <c r="AQ58" s="57"/>
      <c r="AS58" s="58">
        <f t="shared" si="10"/>
        <v>5.8908629513742983E-2</v>
      </c>
      <c r="AT58" s="58"/>
      <c r="AV58" s="59"/>
      <c r="AW58" s="59"/>
      <c r="AX58" s="59"/>
      <c r="AY58" s="60"/>
      <c r="BA58" s="59"/>
      <c r="BB58" s="59"/>
      <c r="BC58" s="59"/>
      <c r="BD58" s="60"/>
    </row>
    <row r="59" spans="1:56" collapsed="1" x14ac:dyDescent="0.15">
      <c r="A59" s="16"/>
      <c r="B59" s="16" t="s">
        <v>257</v>
      </c>
      <c r="C59" s="17" t="s">
        <v>225</v>
      </c>
      <c r="D59" s="16">
        <v>4848745</v>
      </c>
      <c r="E59" s="18">
        <v>12</v>
      </c>
      <c r="F59" s="17">
        <v>1</v>
      </c>
      <c r="G59" s="17"/>
      <c r="I59" s="19" t="str">
        <f t="shared" si="0"/>
        <v>·</v>
      </c>
      <c r="J59" s="20">
        <f t="shared" si="1"/>
        <v>5.2943151269039719</v>
      </c>
      <c r="K59" s="20">
        <f t="shared" si="2"/>
        <v>5.2585796943332763</v>
      </c>
      <c r="L59" s="20">
        <f t="shared" si="3"/>
        <v>3.5547342662895241E-2</v>
      </c>
      <c r="M59" s="21"/>
      <c r="N59" s="20">
        <f t="shared" si="4"/>
        <v>5.2943151269039719</v>
      </c>
      <c r="O59" s="22">
        <v>4848745</v>
      </c>
      <c r="P59" s="23">
        <v>25670784</v>
      </c>
      <c r="Q59" s="23">
        <v>25497512</v>
      </c>
      <c r="R59" s="23">
        <v>172360</v>
      </c>
      <c r="S59" s="24"/>
      <c r="T59" s="25">
        <v>27.257300000000001</v>
      </c>
      <c r="U59" s="25">
        <v>37.782200000000003</v>
      </c>
      <c r="V59" s="25">
        <v>40.9803</v>
      </c>
      <c r="W59" s="26"/>
      <c r="X59" s="27"/>
      <c r="Y59" s="27"/>
      <c r="AA59" s="19" t="str">
        <f t="shared" si="5"/>
        <v>·</v>
      </c>
      <c r="AB59" s="20">
        <f t="shared" si="6"/>
        <v>5.2724785485728782</v>
      </c>
      <c r="AC59" s="20">
        <f t="shared" si="7"/>
        <v>5.2585796943332763</v>
      </c>
      <c r="AD59" s="20">
        <f t="shared" si="8"/>
        <v>1.371241424327326E-2</v>
      </c>
      <c r="AE59" s="21"/>
      <c r="AF59" s="20">
        <f t="shared" si="9"/>
        <v>5.2724785485728782</v>
      </c>
      <c r="AG59" s="22">
        <v>4848745</v>
      </c>
      <c r="AH59" s="23">
        <v>25564904</v>
      </c>
      <c r="AI59" s="23">
        <v>25497512</v>
      </c>
      <c r="AJ59" s="23">
        <v>66488</v>
      </c>
      <c r="AK59" s="24"/>
      <c r="AL59" s="25">
        <v>26.051100000000002</v>
      </c>
      <c r="AM59" s="25">
        <v>38.048000000000002</v>
      </c>
      <c r="AN59" s="25">
        <v>40.558799999999998</v>
      </c>
      <c r="AO59" s="26"/>
      <c r="AP59" s="27"/>
      <c r="AQ59" s="27"/>
      <c r="AS59" s="28">
        <f t="shared" si="10"/>
        <v>4.1136604263913856E-3</v>
      </c>
      <c r="AT59" s="28">
        <f t="array" ref="AT59">AVERAGE(AI59:AI64/AH59:AH64) - AVERAGE(Q59:Q64/P59:P64)</f>
        <v>2.9747058989221475E-2</v>
      </c>
      <c r="AV59" s="29">
        <f>IF( OR(ISBLANK(R59:R64),ISBLANK(AJ59:AJ64), ISBLANK(T59:T64),ISBLANK(AL59:AL64)), "·", bdRateExtend( R59:R64,T59:T64, AJ59:AJ64,AL59:AL64))</f>
        <v>-0.11900083273924311</v>
      </c>
      <c r="AW59" s="29">
        <f>IF( OR(ISBLANK(R59:R64),ISBLANK(AJ59:AJ64), ISBLANK(U59:U64),ISBLANK(AM59:AM64)), "·", bdRateExtend( R59:R64,U59:U64, AJ59:AJ64,AM59:AM64))</f>
        <v>1.4301660064875321E-2</v>
      </c>
      <c r="AX59" s="29">
        <f>IF( OR(ISBLANK(R59:R64),ISBLANK(AJ59:AJ64), ISBLANK(V59:V64),ISBLANK(AN59:AN64)), "·", bdRateExtend( R59:R64,V59:V64, AJ59:AJ64,AN59:AN64))</f>
        <v>5.7944707982949817E-2</v>
      </c>
      <c r="AY59" s="30"/>
      <c r="BA59" s="29">
        <f>IF( OR(ISBLANK(P59:P64),ISBLANK(AH59:AH64), ISBLANK(T59:T64),ISBLANK(AL59:AL64)), "·", bdRateExtend( P59:P64,T59:T64, AH59:AH64,AL59:AL64))</f>
        <v>-1.3314004982262095E-2</v>
      </c>
      <c r="BB59" s="29">
        <f>IF( OR(ISBLANK(P59:P64),ISBLANK(AH59:AH64), ISBLANK(U59:U64),ISBLANK(AM59:AM64)), "·", bdRateExtend( P59:P64,U59:U64, AH59:AH64,AM59:AM64))</f>
        <v>7.1512958380928193E-3</v>
      </c>
      <c r="BC59" s="29">
        <f>IF( OR(ISBLANK(P59:P64),ISBLANK(AH59:AH64), ISBLANK(V59:V64),ISBLANK(AN59:AN64)), "·", bdRateExtend( P59:P64,V59:V64, AH59:AH64,AN59:AN64))</f>
        <v>5.555596537333729E-3</v>
      </c>
      <c r="BD59" s="30"/>
    </row>
    <row r="60" spans="1:56" outlineLevel="1" x14ac:dyDescent="0.15">
      <c r="A60" s="31"/>
      <c r="B60" s="31" t="s">
        <v>257</v>
      </c>
      <c r="C60" s="32" t="s">
        <v>226</v>
      </c>
      <c r="D60" s="31">
        <v>4848745</v>
      </c>
      <c r="E60" s="33">
        <v>12</v>
      </c>
      <c r="F60" s="32">
        <v>1</v>
      </c>
      <c r="G60" s="32"/>
      <c r="I60" s="34" t="str">
        <f t="shared" si="0"/>
        <v>·</v>
      </c>
      <c r="J60" s="35">
        <f t="shared" si="1"/>
        <v>5.3434841386791838</v>
      </c>
      <c r="K60" s="35">
        <f t="shared" si="2"/>
        <v>5.2585796943332763</v>
      </c>
      <c r="L60" s="35">
        <f t="shared" si="3"/>
        <v>8.4716354438107183E-2</v>
      </c>
      <c r="M60" s="36"/>
      <c r="N60" s="35">
        <f t="shared" si="4"/>
        <v>5.3434841386791838</v>
      </c>
      <c r="O60" s="37">
        <v>4848745</v>
      </c>
      <c r="P60" s="38">
        <v>25909192</v>
      </c>
      <c r="Q60" s="38">
        <v>25497512</v>
      </c>
      <c r="R60" s="38">
        <v>410768</v>
      </c>
      <c r="S60" s="39"/>
      <c r="T60" s="40">
        <v>28.901299999999999</v>
      </c>
      <c r="U60" s="40">
        <v>39.959499999999998</v>
      </c>
      <c r="V60" s="40">
        <v>41.599600000000002</v>
      </c>
      <c r="W60" s="41"/>
      <c r="X60" s="42"/>
      <c r="Y60" s="42"/>
      <c r="AA60" s="34" t="str">
        <f t="shared" si="5"/>
        <v>·</v>
      </c>
      <c r="AB60" s="35">
        <f t="shared" si="6"/>
        <v>5.2939735952292812</v>
      </c>
      <c r="AC60" s="35">
        <f t="shared" si="7"/>
        <v>5.2585796943332763</v>
      </c>
      <c r="AD60" s="35">
        <f t="shared" si="8"/>
        <v>3.52074608996761E-2</v>
      </c>
      <c r="AE60" s="36"/>
      <c r="AF60" s="35">
        <f t="shared" si="9"/>
        <v>5.2939735952292812</v>
      </c>
      <c r="AG60" s="37">
        <v>4848745</v>
      </c>
      <c r="AH60" s="38">
        <v>25669128</v>
      </c>
      <c r="AI60" s="38">
        <v>25497512</v>
      </c>
      <c r="AJ60" s="38">
        <v>170712</v>
      </c>
      <c r="AK60" s="39"/>
      <c r="AL60" s="40">
        <v>27.4864</v>
      </c>
      <c r="AM60" s="40">
        <v>38.947600000000001</v>
      </c>
      <c r="AN60" s="40">
        <v>41.073300000000003</v>
      </c>
      <c r="AO60" s="41"/>
      <c r="AP60" s="42"/>
      <c r="AQ60" s="42"/>
      <c r="AS60" s="43">
        <f t="shared" si="10"/>
        <v>9.2036449823754696E-3</v>
      </c>
      <c r="AT60" s="43"/>
      <c r="AV60" s="44"/>
      <c r="AW60" s="44"/>
      <c r="AX60" s="44"/>
      <c r="AY60" s="45"/>
      <c r="BA60" s="44"/>
      <c r="BB60" s="44"/>
      <c r="BC60" s="44"/>
      <c r="BD60" s="45"/>
    </row>
    <row r="61" spans="1:56" outlineLevel="1" x14ac:dyDescent="0.15">
      <c r="A61" s="16"/>
      <c r="B61" s="16" t="s">
        <v>257</v>
      </c>
      <c r="C61" s="17" t="s">
        <v>227</v>
      </c>
      <c r="D61" s="16">
        <v>4848745</v>
      </c>
      <c r="E61" s="18">
        <v>12</v>
      </c>
      <c r="F61" s="17">
        <v>1</v>
      </c>
      <c r="G61" s="17"/>
      <c r="I61" s="19" t="str">
        <f t="shared" si="0"/>
        <v>·</v>
      </c>
      <c r="J61" s="20">
        <f t="shared" si="1"/>
        <v>5.4842529355534264</v>
      </c>
      <c r="K61" s="20">
        <f t="shared" si="2"/>
        <v>5.2585796943332763</v>
      </c>
      <c r="L61" s="20">
        <f t="shared" si="3"/>
        <v>0.22548515131234989</v>
      </c>
      <c r="M61" s="21"/>
      <c r="N61" s="20">
        <f t="shared" si="4"/>
        <v>5.4842529355534264</v>
      </c>
      <c r="O61" s="22">
        <v>4848745</v>
      </c>
      <c r="P61" s="23">
        <v>26591744</v>
      </c>
      <c r="Q61" s="23">
        <v>25497512</v>
      </c>
      <c r="R61" s="23">
        <v>1093320</v>
      </c>
      <c r="S61" s="24"/>
      <c r="T61" s="25">
        <v>31.050599999999999</v>
      </c>
      <c r="U61" s="25">
        <v>41.127299999999998</v>
      </c>
      <c r="V61" s="25">
        <v>42.359900000000003</v>
      </c>
      <c r="W61" s="26"/>
      <c r="X61" s="27"/>
      <c r="Y61" s="27"/>
      <c r="AA61" s="19" t="str">
        <f t="shared" si="5"/>
        <v>·</v>
      </c>
      <c r="AB61" s="20">
        <f t="shared" si="6"/>
        <v>5.3726875717324791</v>
      </c>
      <c r="AC61" s="20">
        <f t="shared" si="7"/>
        <v>5.2585796943332763</v>
      </c>
      <c r="AD61" s="20">
        <f t="shared" si="8"/>
        <v>0.11392143740287435</v>
      </c>
      <c r="AE61" s="21"/>
      <c r="AF61" s="20">
        <f t="shared" si="9"/>
        <v>5.3726875717324791</v>
      </c>
      <c r="AG61" s="22">
        <v>4848745</v>
      </c>
      <c r="AH61" s="23">
        <v>26050792</v>
      </c>
      <c r="AI61" s="23">
        <v>25497512</v>
      </c>
      <c r="AJ61" s="23">
        <v>552376</v>
      </c>
      <c r="AK61" s="24"/>
      <c r="AL61" s="25">
        <v>29.6508</v>
      </c>
      <c r="AM61" s="25">
        <v>40.081600000000002</v>
      </c>
      <c r="AN61" s="25">
        <v>41.787700000000001</v>
      </c>
      <c r="AO61" s="26"/>
      <c r="AP61" s="27"/>
      <c r="AQ61" s="27"/>
      <c r="AS61" s="28">
        <f t="shared" si="10"/>
        <v>1.9910803355784989E-2</v>
      </c>
      <c r="AT61" s="28"/>
      <c r="AV61" s="29"/>
      <c r="AW61" s="29"/>
      <c r="AX61" s="29"/>
      <c r="AY61" s="30"/>
      <c r="BA61" s="29"/>
      <c r="BB61" s="29"/>
      <c r="BC61" s="29"/>
      <c r="BD61" s="30"/>
    </row>
    <row r="62" spans="1:56" outlineLevel="1" x14ac:dyDescent="0.15">
      <c r="A62" s="31"/>
      <c r="B62" s="31" t="s">
        <v>257</v>
      </c>
      <c r="C62" s="32" t="s">
        <v>228</v>
      </c>
      <c r="D62" s="31">
        <v>4848745</v>
      </c>
      <c r="E62" s="33">
        <v>12</v>
      </c>
      <c r="F62" s="32">
        <v>1</v>
      </c>
      <c r="G62" s="32"/>
      <c r="I62" s="34" t="str">
        <f t="shared" si="0"/>
        <v>·</v>
      </c>
      <c r="J62" s="35">
        <f t="shared" si="1"/>
        <v>5.8064855957572528</v>
      </c>
      <c r="K62" s="35">
        <f t="shared" si="2"/>
        <v>5.2585796943332763</v>
      </c>
      <c r="L62" s="35">
        <f t="shared" si="3"/>
        <v>0.54771781151617582</v>
      </c>
      <c r="M62" s="36"/>
      <c r="N62" s="35">
        <f t="shared" si="4"/>
        <v>5.8064855957572528</v>
      </c>
      <c r="O62" s="37">
        <v>4848745</v>
      </c>
      <c r="P62" s="38">
        <v>28154168</v>
      </c>
      <c r="Q62" s="38">
        <v>25497512</v>
      </c>
      <c r="R62" s="38">
        <v>2655744</v>
      </c>
      <c r="S62" s="39"/>
      <c r="T62" s="40">
        <v>34.112499999999997</v>
      </c>
      <c r="U62" s="40">
        <v>42.552999999999997</v>
      </c>
      <c r="V62" s="40">
        <v>43.470500000000001</v>
      </c>
      <c r="W62" s="41"/>
      <c r="X62" s="42"/>
      <c r="Y62" s="42"/>
      <c r="AA62" s="34" t="str">
        <f t="shared" si="5"/>
        <v>·</v>
      </c>
      <c r="AB62" s="35">
        <f t="shared" si="6"/>
        <v>5.5920878495363233</v>
      </c>
      <c r="AC62" s="35">
        <f t="shared" si="7"/>
        <v>5.2585796943332763</v>
      </c>
      <c r="AD62" s="35">
        <f t="shared" si="8"/>
        <v>0.33332171520671844</v>
      </c>
      <c r="AE62" s="36"/>
      <c r="AF62" s="35">
        <f t="shared" si="9"/>
        <v>5.5920878495363233</v>
      </c>
      <c r="AG62" s="37">
        <v>4848745</v>
      </c>
      <c r="AH62" s="38">
        <v>27114608</v>
      </c>
      <c r="AI62" s="38">
        <v>25497512</v>
      </c>
      <c r="AJ62" s="38">
        <v>1616192</v>
      </c>
      <c r="AK62" s="39"/>
      <c r="AL62" s="40">
        <v>32.690399999999997</v>
      </c>
      <c r="AM62" s="40">
        <v>41.362499999999997</v>
      </c>
      <c r="AN62" s="40">
        <v>42.631700000000002</v>
      </c>
      <c r="AO62" s="41"/>
      <c r="AP62" s="42"/>
      <c r="AQ62" s="42"/>
      <c r="AS62" s="43">
        <f t="shared" si="10"/>
        <v>3.4721728538657737E-2</v>
      </c>
      <c r="AT62" s="43"/>
      <c r="AV62" s="44"/>
      <c r="AW62" s="44"/>
      <c r="AX62" s="44"/>
      <c r="AY62" s="45"/>
      <c r="BA62" s="44"/>
      <c r="BB62" s="44"/>
      <c r="BC62" s="44"/>
      <c r="BD62" s="45"/>
    </row>
    <row r="63" spans="1:56" outlineLevel="1" x14ac:dyDescent="0.15">
      <c r="A63" s="16"/>
      <c r="B63" s="16" t="s">
        <v>257</v>
      </c>
      <c r="C63" s="17" t="s">
        <v>229</v>
      </c>
      <c r="D63" s="16">
        <v>4848745</v>
      </c>
      <c r="E63" s="18">
        <v>12</v>
      </c>
      <c r="F63" s="17">
        <v>1</v>
      </c>
      <c r="G63" s="17"/>
      <c r="I63" s="19" t="str">
        <f t="shared" si="0"/>
        <v>·</v>
      </c>
      <c r="J63" s="20">
        <f t="shared" si="1"/>
        <v>6.4087989778798429</v>
      </c>
      <c r="K63" s="20">
        <f t="shared" si="2"/>
        <v>5.2585796943332763</v>
      </c>
      <c r="L63" s="20">
        <f t="shared" si="3"/>
        <v>1.1500311936387664</v>
      </c>
      <c r="M63" s="21"/>
      <c r="N63" s="20">
        <f t="shared" si="4"/>
        <v>6.4087989778798429</v>
      </c>
      <c r="O63" s="22">
        <v>4848745</v>
      </c>
      <c r="P63" s="23">
        <v>31074632</v>
      </c>
      <c r="Q63" s="23">
        <v>25497512</v>
      </c>
      <c r="R63" s="23">
        <v>5576208</v>
      </c>
      <c r="S63" s="24"/>
      <c r="T63" s="25">
        <v>38.046599999999998</v>
      </c>
      <c r="U63" s="25">
        <v>44.347200000000001</v>
      </c>
      <c r="V63" s="25">
        <v>44.984299999999998</v>
      </c>
      <c r="W63" s="26"/>
      <c r="X63" s="27"/>
      <c r="Y63" s="27"/>
      <c r="AA63" s="19" t="str">
        <f t="shared" si="5"/>
        <v>·</v>
      </c>
      <c r="AB63" s="20">
        <f t="shared" si="6"/>
        <v>6.0607056052648671</v>
      </c>
      <c r="AC63" s="20">
        <f t="shared" si="7"/>
        <v>5.2585796943332763</v>
      </c>
      <c r="AD63" s="20">
        <f t="shared" si="8"/>
        <v>0.80193947093526263</v>
      </c>
      <c r="AE63" s="21"/>
      <c r="AF63" s="20">
        <f t="shared" si="9"/>
        <v>6.0607056052648671</v>
      </c>
      <c r="AG63" s="22">
        <v>4848745</v>
      </c>
      <c r="AH63" s="23">
        <v>29386816</v>
      </c>
      <c r="AI63" s="23">
        <v>25497512</v>
      </c>
      <c r="AJ63" s="23">
        <v>3888400</v>
      </c>
      <c r="AK63" s="24"/>
      <c r="AL63" s="25">
        <v>36.770099999999999</v>
      </c>
      <c r="AM63" s="25">
        <v>43.131700000000002</v>
      </c>
      <c r="AN63" s="25">
        <v>43.991199999999999</v>
      </c>
      <c r="AO63" s="26"/>
      <c r="AP63" s="27"/>
      <c r="AQ63" s="27"/>
      <c r="AS63" s="28">
        <f t="shared" si="10"/>
        <v>4.7126412078462909E-2</v>
      </c>
      <c r="AT63" s="28"/>
      <c r="AV63" s="29"/>
      <c r="AW63" s="29"/>
      <c r="AX63" s="29"/>
      <c r="AY63" s="30"/>
      <c r="BA63" s="29"/>
      <c r="BB63" s="29"/>
      <c r="BC63" s="29"/>
      <c r="BD63" s="30"/>
    </row>
    <row r="64" spans="1:56" outlineLevel="1" x14ac:dyDescent="0.15">
      <c r="A64" s="31"/>
      <c r="B64" s="46" t="s">
        <v>257</v>
      </c>
      <c r="C64" s="47" t="s">
        <v>230</v>
      </c>
      <c r="D64" s="46">
        <v>4848745</v>
      </c>
      <c r="E64" s="48">
        <v>12</v>
      </c>
      <c r="F64" s="47">
        <v>1</v>
      </c>
      <c r="G64" s="47"/>
      <c r="I64" s="49" t="str">
        <f t="shared" si="0"/>
        <v>·</v>
      </c>
      <c r="J64" s="50">
        <f t="shared" si="1"/>
        <v>7.4318117368514942</v>
      </c>
      <c r="K64" s="50">
        <f t="shared" si="2"/>
        <v>5.2585796943332763</v>
      </c>
      <c r="L64" s="50">
        <f t="shared" si="3"/>
        <v>2.1730439526104179</v>
      </c>
      <c r="M64" s="51"/>
      <c r="N64" s="50">
        <f t="shared" si="4"/>
        <v>7.4318117368514942</v>
      </c>
      <c r="O64" s="52">
        <v>4848745</v>
      </c>
      <c r="P64" s="53">
        <v>36034960</v>
      </c>
      <c r="Q64" s="53">
        <v>25497512</v>
      </c>
      <c r="R64" s="53">
        <v>10536536</v>
      </c>
      <c r="S64" s="54"/>
      <c r="T64" s="55">
        <v>42.429600000000001</v>
      </c>
      <c r="U64" s="55">
        <v>46.5914</v>
      </c>
      <c r="V64" s="55">
        <v>47.025100000000002</v>
      </c>
      <c r="W64" s="56"/>
      <c r="X64" s="57"/>
      <c r="Y64" s="57"/>
      <c r="AA64" s="49" t="str">
        <f t="shared" si="5"/>
        <v>·</v>
      </c>
      <c r="AB64" s="50">
        <f t="shared" si="6"/>
        <v>6.8206152313639921</v>
      </c>
      <c r="AC64" s="50">
        <f t="shared" si="7"/>
        <v>5.2585796943332763</v>
      </c>
      <c r="AD64" s="50">
        <f t="shared" si="8"/>
        <v>1.5618490970343872</v>
      </c>
      <c r="AE64" s="51"/>
      <c r="AF64" s="50">
        <f t="shared" si="9"/>
        <v>6.8206152313639921</v>
      </c>
      <c r="AG64" s="52">
        <v>4848745</v>
      </c>
      <c r="AH64" s="53">
        <v>33071424</v>
      </c>
      <c r="AI64" s="53">
        <v>25497512</v>
      </c>
      <c r="AJ64" s="53">
        <v>7573008</v>
      </c>
      <c r="AK64" s="54"/>
      <c r="AL64" s="55">
        <v>40.9161</v>
      </c>
      <c r="AM64" s="55">
        <v>45.259300000000003</v>
      </c>
      <c r="AN64" s="55">
        <v>45.877499999999998</v>
      </c>
      <c r="AO64" s="56"/>
      <c r="AP64" s="57"/>
      <c r="AQ64" s="57"/>
      <c r="AS64" s="58">
        <f t="shared" si="10"/>
        <v>6.3406104553656362E-2</v>
      </c>
      <c r="AT64" s="58"/>
      <c r="AV64" s="59"/>
      <c r="AW64" s="59"/>
      <c r="AX64" s="59"/>
      <c r="AY64" s="60"/>
      <c r="BA64" s="59"/>
      <c r="BB64" s="59"/>
      <c r="BC64" s="59"/>
      <c r="BD64" s="60"/>
    </row>
    <row r="65" spans="1:56" collapsed="1" x14ac:dyDescent="0.15">
      <c r="A65" s="16"/>
      <c r="B65" s="16" t="s">
        <v>260</v>
      </c>
      <c r="C65" s="17" t="s">
        <v>225</v>
      </c>
      <c r="D65" s="16">
        <v>3096122</v>
      </c>
      <c r="E65" s="18">
        <v>12</v>
      </c>
      <c r="F65" s="17">
        <v>1</v>
      </c>
      <c r="G65" s="17"/>
      <c r="I65" s="19" t="str">
        <f t="shared" si="0"/>
        <v>·</v>
      </c>
      <c r="J65" s="20">
        <f t="shared" si="1"/>
        <v>3.8827255515125052</v>
      </c>
      <c r="K65" s="20">
        <f t="shared" si="2"/>
        <v>3.8253841418393719</v>
      </c>
      <c r="L65" s="20">
        <f t="shared" si="3"/>
        <v>5.7098525187314973E-2</v>
      </c>
      <c r="M65" s="21"/>
      <c r="N65" s="20">
        <f t="shared" si="4"/>
        <v>3.8827255515125052</v>
      </c>
      <c r="O65" s="22">
        <v>3096122</v>
      </c>
      <c r="P65" s="23">
        <v>12021392</v>
      </c>
      <c r="Q65" s="23">
        <v>11843856</v>
      </c>
      <c r="R65" s="23">
        <v>176784</v>
      </c>
      <c r="S65" s="24"/>
      <c r="T65" s="25">
        <v>27.7239</v>
      </c>
      <c r="U65" s="25">
        <v>33.5565</v>
      </c>
      <c r="V65" s="25">
        <v>33.202500000000001</v>
      </c>
      <c r="W65" s="26"/>
      <c r="X65" s="27"/>
      <c r="Y65" s="27"/>
      <c r="AA65" s="19" t="str">
        <f t="shared" si="5"/>
        <v>·</v>
      </c>
      <c r="AB65" s="20">
        <f t="shared" si="6"/>
        <v>3.8525691171084344</v>
      </c>
      <c r="AC65" s="20">
        <f t="shared" si="7"/>
        <v>3.8253841418393719</v>
      </c>
      <c r="AD65" s="20">
        <f t="shared" si="8"/>
        <v>2.6944674660753034E-2</v>
      </c>
      <c r="AE65" s="21"/>
      <c r="AF65" s="20">
        <f t="shared" si="9"/>
        <v>3.8525691171084344</v>
      </c>
      <c r="AG65" s="22">
        <v>3096122</v>
      </c>
      <c r="AH65" s="23">
        <v>11928024</v>
      </c>
      <c r="AI65" s="23">
        <v>11843856</v>
      </c>
      <c r="AJ65" s="23">
        <v>83424</v>
      </c>
      <c r="AK65" s="24"/>
      <c r="AL65" s="25">
        <v>25.560600000000001</v>
      </c>
      <c r="AM65" s="25">
        <v>31.821899999999999</v>
      </c>
      <c r="AN65" s="25">
        <v>30.869900000000001</v>
      </c>
      <c r="AO65" s="26"/>
      <c r="AP65" s="27"/>
      <c r="AQ65" s="27"/>
      <c r="AS65" s="28">
        <f t="shared" si="10"/>
        <v>7.7120158095342894E-3</v>
      </c>
      <c r="AT65" s="28">
        <f t="array" ref="AT65">AVERAGE(AI65:AI70/AH65:AH70) - AVERAGE(Q65:Q70/P65:P70)</f>
        <v>3.1398761227284688E-2</v>
      </c>
      <c r="AV65" s="29">
        <f>IF( OR(ISBLANK(R65:R70),ISBLANK(AJ65:AJ70), ISBLANK(T65:T70),ISBLANK(AL65:AL70)), "·", bdRateExtend( R65:R70,T65:T70, AJ65:AJ70,AL65:AL70))</f>
        <v>-3.6438819186646043E-3</v>
      </c>
      <c r="AW65" s="29">
        <f>IF( OR(ISBLANK(R65:R70),ISBLANK(AJ65:AJ70), ISBLANK(U65:U70),ISBLANK(AM65:AM70)), "·", bdRateExtend( R65:R70,U65:U70, AJ65:AJ70,AM65:AM70))</f>
        <v>0.19953937116315812</v>
      </c>
      <c r="AX65" s="29">
        <f>IF( OR(ISBLANK(R65:R70),ISBLANK(AJ65:AJ70), ISBLANK(V65:V70),ISBLANK(AN65:AN70)), "·", bdRateExtend( R65:R70,V65:V70, AJ65:AJ70,AN65:AN70))</f>
        <v>0.19359580265780307</v>
      </c>
      <c r="AY65" s="30"/>
      <c r="BA65" s="29">
        <f>IF( OR(ISBLANK(P65:P70),ISBLANK(AH65:AH70), ISBLANK(T65:T70),ISBLANK(AL65:AL70)), "·", bdRateExtend( P65:P70,T65:T70, AH65:AH70,AL65:AL70))</f>
        <v>-6.6919292225954274E-3</v>
      </c>
      <c r="BB65" s="29">
        <f>IF( OR(ISBLANK(P65:P70),ISBLANK(AH65:AH70), ISBLANK(U65:U70),ISBLANK(AM65:AM70)), "·", bdRateExtend( P65:P70,U65:U70, AH65:AH70,AM65:AM70))</f>
        <v>1.7769708692822128E-2</v>
      </c>
      <c r="BC65" s="29">
        <f>IF( OR(ISBLANK(P65:P70),ISBLANK(AH65:AH70), ISBLANK(V65:V70),ISBLANK(AN65:AN70)), "·", bdRateExtend( P65:P70,V65:V70, AH65:AH70,AN65:AN70))</f>
        <v>1.6092691116612823E-2</v>
      </c>
      <c r="BD65" s="30"/>
    </row>
    <row r="66" spans="1:56" outlineLevel="1" x14ac:dyDescent="0.15">
      <c r="A66" s="31"/>
      <c r="B66" s="31" t="s">
        <v>260</v>
      </c>
      <c r="C66" s="32" t="s">
        <v>226</v>
      </c>
      <c r="D66" s="31">
        <v>3096122</v>
      </c>
      <c r="E66" s="33">
        <v>12</v>
      </c>
      <c r="F66" s="32">
        <v>1</v>
      </c>
      <c r="G66" s="32"/>
      <c r="I66" s="34" t="str">
        <f t="shared" si="0"/>
        <v>·</v>
      </c>
      <c r="J66" s="35">
        <f t="shared" si="1"/>
        <v>3.942578490124097</v>
      </c>
      <c r="K66" s="35">
        <f t="shared" si="2"/>
        <v>3.8253841418393719</v>
      </c>
      <c r="L66" s="35">
        <f t="shared" si="3"/>
        <v>0.11695146379890715</v>
      </c>
      <c r="M66" s="36"/>
      <c r="N66" s="35">
        <f t="shared" si="4"/>
        <v>3.942578490124097</v>
      </c>
      <c r="O66" s="37">
        <v>3096122</v>
      </c>
      <c r="P66" s="38">
        <v>12206704</v>
      </c>
      <c r="Q66" s="38">
        <v>11843856</v>
      </c>
      <c r="R66" s="38">
        <v>362096</v>
      </c>
      <c r="S66" s="39"/>
      <c r="T66" s="40">
        <v>30.074300000000001</v>
      </c>
      <c r="U66" s="40">
        <v>36.089100000000002</v>
      </c>
      <c r="V66" s="40">
        <v>35.6145</v>
      </c>
      <c r="W66" s="41"/>
      <c r="X66" s="42"/>
      <c r="Y66" s="42"/>
      <c r="AA66" s="34" t="str">
        <f t="shared" si="5"/>
        <v>·</v>
      </c>
      <c r="AB66" s="35">
        <f t="shared" si="6"/>
        <v>3.8880509230579414</v>
      </c>
      <c r="AC66" s="35">
        <f t="shared" si="7"/>
        <v>3.8253841418393719</v>
      </c>
      <c r="AD66" s="35">
        <f t="shared" si="8"/>
        <v>6.2426480610260189E-2</v>
      </c>
      <c r="AE66" s="36"/>
      <c r="AF66" s="35">
        <f t="shared" si="9"/>
        <v>3.8880509230579414</v>
      </c>
      <c r="AG66" s="37">
        <v>3096122</v>
      </c>
      <c r="AH66" s="38">
        <v>12037880</v>
      </c>
      <c r="AI66" s="38">
        <v>11843856</v>
      </c>
      <c r="AJ66" s="38">
        <v>193280</v>
      </c>
      <c r="AK66" s="39"/>
      <c r="AL66" s="40">
        <v>27.761500000000002</v>
      </c>
      <c r="AM66" s="40">
        <v>33.713799999999999</v>
      </c>
      <c r="AN66" s="40">
        <v>33.055</v>
      </c>
      <c r="AO66" s="41"/>
      <c r="AP66" s="42"/>
      <c r="AQ66" s="42"/>
      <c r="AS66" s="43">
        <f t="shared" si="10"/>
        <v>1.3607516863517466E-2</v>
      </c>
      <c r="AT66" s="43"/>
      <c r="AV66" s="44"/>
      <c r="AW66" s="44"/>
      <c r="AX66" s="44"/>
      <c r="AY66" s="45"/>
      <c r="BA66" s="44"/>
      <c r="BB66" s="44"/>
      <c r="BC66" s="44"/>
      <c r="BD66" s="45"/>
    </row>
    <row r="67" spans="1:56" outlineLevel="1" x14ac:dyDescent="0.15">
      <c r="A67" s="16"/>
      <c r="B67" s="16" t="s">
        <v>260</v>
      </c>
      <c r="C67" s="17" t="s">
        <v>227</v>
      </c>
      <c r="D67" s="16">
        <v>3096122</v>
      </c>
      <c r="E67" s="18">
        <v>12</v>
      </c>
      <c r="F67" s="17">
        <v>1</v>
      </c>
      <c r="G67" s="17"/>
      <c r="I67" s="19" t="str">
        <f t="shared" si="0"/>
        <v>·</v>
      </c>
      <c r="J67" s="20">
        <f t="shared" si="1"/>
        <v>4.0786609829974401</v>
      </c>
      <c r="K67" s="20">
        <f t="shared" si="2"/>
        <v>3.8253841418393719</v>
      </c>
      <c r="L67" s="20">
        <f t="shared" si="3"/>
        <v>0.25303395667224998</v>
      </c>
      <c r="M67" s="21"/>
      <c r="N67" s="20">
        <f t="shared" si="4"/>
        <v>4.0786609829974401</v>
      </c>
      <c r="O67" s="22">
        <v>3096122</v>
      </c>
      <c r="P67" s="23">
        <v>12628032</v>
      </c>
      <c r="Q67" s="23">
        <v>11843856</v>
      </c>
      <c r="R67" s="23">
        <v>783424</v>
      </c>
      <c r="S67" s="24"/>
      <c r="T67" s="25">
        <v>32.902000000000001</v>
      </c>
      <c r="U67" s="25">
        <v>38.839599999999997</v>
      </c>
      <c r="V67" s="25">
        <v>38.473700000000001</v>
      </c>
      <c r="W67" s="26"/>
      <c r="X67" s="27"/>
      <c r="Y67" s="27"/>
      <c r="AA67" s="19" t="str">
        <f t="shared" si="5"/>
        <v>·</v>
      </c>
      <c r="AB67" s="20">
        <f t="shared" si="6"/>
        <v>3.9806028315421678</v>
      </c>
      <c r="AC67" s="20">
        <f t="shared" si="7"/>
        <v>3.8253841418393719</v>
      </c>
      <c r="AD67" s="20">
        <f t="shared" si="8"/>
        <v>0.15497838909448658</v>
      </c>
      <c r="AE67" s="21"/>
      <c r="AF67" s="20">
        <f t="shared" si="9"/>
        <v>3.9806028315421678</v>
      </c>
      <c r="AG67" s="22">
        <v>3096122</v>
      </c>
      <c r="AH67" s="23">
        <v>12324432</v>
      </c>
      <c r="AI67" s="23">
        <v>11843856</v>
      </c>
      <c r="AJ67" s="23">
        <v>479832</v>
      </c>
      <c r="AK67" s="24"/>
      <c r="AL67" s="25">
        <v>30.772400000000001</v>
      </c>
      <c r="AM67" s="25">
        <v>36.337200000000003</v>
      </c>
      <c r="AN67" s="25">
        <v>35.8994</v>
      </c>
      <c r="AO67" s="26"/>
      <c r="AP67" s="27"/>
      <c r="AQ67" s="27"/>
      <c r="AS67" s="28">
        <f t="shared" si="10"/>
        <v>2.3104272548032156E-2</v>
      </c>
      <c r="AT67" s="28"/>
      <c r="AV67" s="29"/>
      <c r="AW67" s="29"/>
      <c r="AX67" s="29"/>
      <c r="AY67" s="30"/>
      <c r="BA67" s="29"/>
      <c r="BB67" s="29"/>
      <c r="BC67" s="29"/>
      <c r="BD67" s="30"/>
    </row>
    <row r="68" spans="1:56" outlineLevel="1" x14ac:dyDescent="0.15">
      <c r="A68" s="31"/>
      <c r="B68" s="31" t="s">
        <v>260</v>
      </c>
      <c r="C68" s="32" t="s">
        <v>228</v>
      </c>
      <c r="D68" s="31">
        <v>3096122</v>
      </c>
      <c r="E68" s="33">
        <v>12</v>
      </c>
      <c r="F68" s="32">
        <v>1</v>
      </c>
      <c r="G68" s="32"/>
      <c r="I68" s="34" t="str">
        <f t="shared" si="0"/>
        <v>·</v>
      </c>
      <c r="J68" s="35">
        <f t="shared" si="1"/>
        <v>4.341591190528022</v>
      </c>
      <c r="K68" s="35">
        <f t="shared" si="2"/>
        <v>3.8253841418393719</v>
      </c>
      <c r="L68" s="35">
        <f t="shared" si="3"/>
        <v>0.51596416420283175</v>
      </c>
      <c r="M68" s="36"/>
      <c r="N68" s="35">
        <f t="shared" si="4"/>
        <v>4.341591190528022</v>
      </c>
      <c r="O68" s="37">
        <v>3096122</v>
      </c>
      <c r="P68" s="38">
        <v>13442096</v>
      </c>
      <c r="Q68" s="38">
        <v>11843856</v>
      </c>
      <c r="R68" s="38">
        <v>1597488</v>
      </c>
      <c r="S68" s="39"/>
      <c r="T68" s="40">
        <v>35.7361</v>
      </c>
      <c r="U68" s="40">
        <v>41.583500000000001</v>
      </c>
      <c r="V68" s="40">
        <v>41.2425</v>
      </c>
      <c r="W68" s="41"/>
      <c r="X68" s="42"/>
      <c r="Y68" s="42"/>
      <c r="AA68" s="34" t="str">
        <f t="shared" si="5"/>
        <v>·</v>
      </c>
      <c r="AB68" s="35">
        <f t="shared" si="6"/>
        <v>4.1728510698221841</v>
      </c>
      <c r="AC68" s="35">
        <f t="shared" si="7"/>
        <v>3.8253841418393719</v>
      </c>
      <c r="AD68" s="35">
        <f t="shared" si="8"/>
        <v>0.34722662737450266</v>
      </c>
      <c r="AE68" s="36"/>
      <c r="AF68" s="35">
        <f t="shared" si="9"/>
        <v>4.1728510698221841</v>
      </c>
      <c r="AG68" s="37">
        <v>3096122</v>
      </c>
      <c r="AH68" s="38">
        <v>12919656</v>
      </c>
      <c r="AI68" s="38">
        <v>11843856</v>
      </c>
      <c r="AJ68" s="38">
        <v>1075056</v>
      </c>
      <c r="AK68" s="39"/>
      <c r="AL68" s="40">
        <v>34.017299999999999</v>
      </c>
      <c r="AM68" s="40">
        <v>39.187199999999997</v>
      </c>
      <c r="AN68" s="40">
        <v>38.880099999999999</v>
      </c>
      <c r="AO68" s="41"/>
      <c r="AP68" s="42"/>
      <c r="AQ68" s="42"/>
      <c r="AS68" s="43">
        <f t="shared" si="10"/>
        <v>3.5629653295871533E-2</v>
      </c>
      <c r="AT68" s="43"/>
      <c r="AV68" s="44"/>
      <c r="AW68" s="44"/>
      <c r="AX68" s="44"/>
      <c r="AY68" s="45"/>
      <c r="BA68" s="44"/>
      <c r="BB68" s="44"/>
      <c r="BC68" s="44"/>
      <c r="BD68" s="45"/>
    </row>
    <row r="69" spans="1:56" outlineLevel="1" x14ac:dyDescent="0.15">
      <c r="A69" s="16"/>
      <c r="B69" s="16" t="s">
        <v>260</v>
      </c>
      <c r="C69" s="17" t="s">
        <v>229</v>
      </c>
      <c r="D69" s="16">
        <v>3096122</v>
      </c>
      <c r="E69" s="18">
        <v>12</v>
      </c>
      <c r="F69" s="17">
        <v>1</v>
      </c>
      <c r="G69" s="17"/>
      <c r="I69" s="19" t="str">
        <f t="shared" ref="I69:I132" si="11">IF(OR(ISBLANK(P69),ISBLANK(G69)),"·",P69*G69/F69/1000000)</f>
        <v>·</v>
      </c>
      <c r="J69" s="20">
        <f t="shared" ref="J69:J132" si="12">IF(ISBLANK(P69),"·",P69/D69)</f>
        <v>4.8534418217369986</v>
      </c>
      <c r="K69" s="20">
        <f t="shared" ref="K69:K132" si="13">IF(Q69="","·",Q69/D69)</f>
        <v>3.8253841418393719</v>
      </c>
      <c r="L69" s="20">
        <f t="shared" ref="L69:L132" si="14">IF(ISBLANK(R69),"·",R69/D69)</f>
        <v>1.0278147954118086</v>
      </c>
      <c r="M69" s="21"/>
      <c r="N69" s="20">
        <f t="shared" ref="N69:N132" si="15">IF(ISBLANK(P69),"·",P69/O69)</f>
        <v>4.8534418217369986</v>
      </c>
      <c r="O69" s="22">
        <v>3096122</v>
      </c>
      <c r="P69" s="23">
        <v>15026848</v>
      </c>
      <c r="Q69" s="23">
        <v>11843856</v>
      </c>
      <c r="R69" s="23">
        <v>3182240</v>
      </c>
      <c r="S69" s="24"/>
      <c r="T69" s="25">
        <v>38.846699999999998</v>
      </c>
      <c r="U69" s="25">
        <v>44.269399999999997</v>
      </c>
      <c r="V69" s="25">
        <v>43.907400000000003</v>
      </c>
      <c r="W69" s="26"/>
      <c r="X69" s="27"/>
      <c r="Y69" s="27"/>
      <c r="AA69" s="19" t="str">
        <f t="shared" ref="AA69:AA132" si="16">IF(OR(ISBLANK(AH69),ISBLANK(G69)),"·",AH69*G69/F69/1000000)</f>
        <v>·</v>
      </c>
      <c r="AB69" s="20">
        <f t="shared" ref="AB69:AB132" si="17">IF(ISBLANK(AH69),"·",AH69/D69)</f>
        <v>4.5832922604471014</v>
      </c>
      <c r="AC69" s="20">
        <f t="shared" ref="AC69:AC132" si="18">IF(AI69="","·",AI69/D69)</f>
        <v>3.8253841418393719</v>
      </c>
      <c r="AD69" s="20">
        <f t="shared" ref="AD69:AD132" si="19">IF(ISBLANK(AJ69),"·",AJ69/D69)</f>
        <v>0.75766781799941996</v>
      </c>
      <c r="AE69" s="21"/>
      <c r="AF69" s="20">
        <f t="shared" ref="AF69:AF132" si="20">IF(ISBLANK(AH69),"·",AH69/AG69)</f>
        <v>4.5832922604471014</v>
      </c>
      <c r="AG69" s="22">
        <v>3096122</v>
      </c>
      <c r="AH69" s="23">
        <v>14190432</v>
      </c>
      <c r="AI69" s="23">
        <v>11843856</v>
      </c>
      <c r="AJ69" s="23">
        <v>2345832</v>
      </c>
      <c r="AK69" s="24"/>
      <c r="AL69" s="25">
        <v>37.763500000000001</v>
      </c>
      <c r="AM69" s="25">
        <v>42.341900000000003</v>
      </c>
      <c r="AN69" s="25">
        <v>42.061599999999999</v>
      </c>
      <c r="AO69" s="26"/>
      <c r="AP69" s="27"/>
      <c r="AQ69" s="27"/>
      <c r="AS69" s="28">
        <f t="shared" ref="AS69:AS132" si="21">(AI69/AH69) - (Q69/P69)</f>
        <v>4.6457083295289081E-2</v>
      </c>
      <c r="AT69" s="28"/>
      <c r="AV69" s="29"/>
      <c r="AW69" s="29"/>
      <c r="AX69" s="29"/>
      <c r="AY69" s="30"/>
      <c r="BA69" s="29"/>
      <c r="BB69" s="29"/>
      <c r="BC69" s="29"/>
      <c r="BD69" s="30"/>
    </row>
    <row r="70" spans="1:56" outlineLevel="1" x14ac:dyDescent="0.15">
      <c r="A70" s="31"/>
      <c r="B70" s="46" t="s">
        <v>260</v>
      </c>
      <c r="C70" s="47" t="s">
        <v>230</v>
      </c>
      <c r="D70" s="46">
        <v>3096122</v>
      </c>
      <c r="E70" s="48">
        <v>12</v>
      </c>
      <c r="F70" s="47">
        <v>1</v>
      </c>
      <c r="G70" s="47"/>
      <c r="I70" s="49" t="str">
        <f t="shared" si="11"/>
        <v>·</v>
      </c>
      <c r="J70" s="50">
        <f t="shared" si="12"/>
        <v>5.7997146107291639</v>
      </c>
      <c r="K70" s="50">
        <f t="shared" si="13"/>
        <v>3.8253841418393719</v>
      </c>
      <c r="L70" s="50">
        <f t="shared" si="14"/>
        <v>1.9740875844039738</v>
      </c>
      <c r="M70" s="51"/>
      <c r="N70" s="50">
        <f t="shared" si="15"/>
        <v>5.7997146107291639</v>
      </c>
      <c r="O70" s="52">
        <v>3096122</v>
      </c>
      <c r="P70" s="53">
        <v>17956624</v>
      </c>
      <c r="Q70" s="53">
        <v>11843856</v>
      </c>
      <c r="R70" s="53">
        <v>6112016</v>
      </c>
      <c r="S70" s="54"/>
      <c r="T70" s="55">
        <v>42.6676</v>
      </c>
      <c r="U70" s="55">
        <v>46.880600000000001</v>
      </c>
      <c r="V70" s="55">
        <v>46.652799999999999</v>
      </c>
      <c r="W70" s="56"/>
      <c r="X70" s="57"/>
      <c r="Y70" s="57"/>
      <c r="AA70" s="49" t="str">
        <f t="shared" si="16"/>
        <v>·</v>
      </c>
      <c r="AB70" s="50">
        <f t="shared" si="17"/>
        <v>5.3022561772436614</v>
      </c>
      <c r="AC70" s="50">
        <f t="shared" si="18"/>
        <v>3.8253841418393719</v>
      </c>
      <c r="AD70" s="50">
        <f t="shared" si="19"/>
        <v>1.4766317347959803</v>
      </c>
      <c r="AE70" s="51"/>
      <c r="AF70" s="50">
        <f t="shared" si="20"/>
        <v>5.3022561772436614</v>
      </c>
      <c r="AG70" s="52">
        <v>3096122</v>
      </c>
      <c r="AH70" s="53">
        <v>16416432</v>
      </c>
      <c r="AI70" s="53">
        <v>11843856</v>
      </c>
      <c r="AJ70" s="53">
        <v>4571832</v>
      </c>
      <c r="AK70" s="54"/>
      <c r="AL70" s="55">
        <v>41.5732</v>
      </c>
      <c r="AM70" s="55">
        <v>45.294800000000002</v>
      </c>
      <c r="AN70" s="55">
        <v>45.084000000000003</v>
      </c>
      <c r="AO70" s="56"/>
      <c r="AP70" s="57"/>
      <c r="AQ70" s="57"/>
      <c r="AS70" s="58">
        <f t="shared" si="21"/>
        <v>6.1882025551462494E-2</v>
      </c>
      <c r="AT70" s="58"/>
      <c r="AV70" s="59"/>
      <c r="AW70" s="59"/>
      <c r="AX70" s="59"/>
      <c r="AY70" s="60"/>
      <c r="BA70" s="59"/>
      <c r="BB70" s="59"/>
      <c r="BC70" s="59"/>
      <c r="BD70" s="60"/>
    </row>
    <row r="71" spans="1:56" collapsed="1" x14ac:dyDescent="0.15">
      <c r="A71" s="16"/>
      <c r="B71" s="16" t="s">
        <v>263</v>
      </c>
      <c r="C71" s="17" t="s">
        <v>225</v>
      </c>
      <c r="D71" s="16">
        <v>857966</v>
      </c>
      <c r="E71" s="18">
        <v>10</v>
      </c>
      <c r="F71" s="17">
        <v>1</v>
      </c>
      <c r="G71" s="17"/>
      <c r="I71" s="19" t="str">
        <f t="shared" si="11"/>
        <v>·</v>
      </c>
      <c r="J71" s="20">
        <f t="shared" si="12"/>
        <v>1.1002953496991723</v>
      </c>
      <c r="K71" s="20">
        <f t="shared" si="13"/>
        <v>1.0206278570479483</v>
      </c>
      <c r="L71" s="20">
        <f t="shared" si="14"/>
        <v>7.9052083649002403E-2</v>
      </c>
      <c r="M71" s="21"/>
      <c r="N71" s="20">
        <f t="shared" si="15"/>
        <v>1.1002953496991723</v>
      </c>
      <c r="O71" s="22">
        <v>857966</v>
      </c>
      <c r="P71" s="23">
        <v>944016</v>
      </c>
      <c r="Q71" s="23">
        <v>875664</v>
      </c>
      <c r="R71" s="23">
        <v>67824</v>
      </c>
      <c r="S71" s="24"/>
      <c r="T71" s="25">
        <v>25.490300000000001</v>
      </c>
      <c r="U71" s="25">
        <v>31.773399999999999</v>
      </c>
      <c r="V71" s="25">
        <v>31.0594</v>
      </c>
      <c r="W71" s="26"/>
      <c r="X71" s="27"/>
      <c r="Y71" s="27"/>
      <c r="AA71" s="19" t="str">
        <f t="shared" si="16"/>
        <v>·</v>
      </c>
      <c r="AB71" s="20">
        <f t="shared" si="17"/>
        <v>1.0544380546548464</v>
      </c>
      <c r="AC71" s="20">
        <f t="shared" si="18"/>
        <v>1.0206278570479483</v>
      </c>
      <c r="AD71" s="20">
        <f t="shared" si="19"/>
        <v>3.320411298349818E-2</v>
      </c>
      <c r="AE71" s="21"/>
      <c r="AF71" s="20">
        <f t="shared" si="20"/>
        <v>1.0544380546548464</v>
      </c>
      <c r="AG71" s="22">
        <v>857966</v>
      </c>
      <c r="AH71" s="23">
        <v>904672</v>
      </c>
      <c r="AI71" s="23">
        <v>875664</v>
      </c>
      <c r="AJ71" s="23">
        <v>28488</v>
      </c>
      <c r="AK71" s="24"/>
      <c r="AL71" s="25">
        <v>23.6617</v>
      </c>
      <c r="AM71" s="25">
        <v>30.187200000000001</v>
      </c>
      <c r="AN71" s="25">
        <v>28.889700000000001</v>
      </c>
      <c r="AO71" s="26"/>
      <c r="AP71" s="27"/>
      <c r="AQ71" s="27"/>
      <c r="AS71" s="28">
        <f t="shared" si="21"/>
        <v>4.034089254942741E-2</v>
      </c>
      <c r="AT71" s="28">
        <f t="array" ref="AT71">AVERAGE(AI71:AI76/AH71:AH76) - AVERAGE(Q71:Q76/P71:P76)</f>
        <v>6.1578949722800536E-2</v>
      </c>
      <c r="AV71" s="29">
        <f>IF( OR(ISBLANK(R71:R76),ISBLANK(AJ71:AJ76), ISBLANK(T71:T76),ISBLANK(AL71:AL76)), "·", bdRateExtend( R71:R76,T71:T76, AJ71:AJ76,AL71:AL76))</f>
        <v>-4.2315457936221379E-2</v>
      </c>
      <c r="AW71" s="29">
        <f>IF( OR(ISBLANK(R71:R76),ISBLANK(AJ71:AJ76), ISBLANK(U71:U76),ISBLANK(AM71:AM76)), "·", bdRateExtend( R71:R76,U71:U76, AJ71:AJ76,AM71:AM76))</f>
        <v>0.21276936785430411</v>
      </c>
      <c r="AX71" s="29">
        <f>IF( OR(ISBLANK(R71:R76),ISBLANK(AJ71:AJ76), ISBLANK(V71:V76),ISBLANK(AN71:AN76)), "·", bdRateExtend( R71:R76,V71:V76, AJ71:AJ76,AN71:AN76))</f>
        <v>0.1915843435555793</v>
      </c>
      <c r="AY71" s="30"/>
      <c r="BA71" s="29">
        <f>IF( OR(ISBLANK(P71:P76),ISBLANK(AH71:AH76), ISBLANK(T71:T76),ISBLANK(AL71:AL76)), "·", bdRateExtend( P71:P76,T71:T76, AH71:AH76,AL71:AL76))</f>
        <v>-3.227205210670181E-2</v>
      </c>
      <c r="BB71" s="29">
        <f>IF( OR(ISBLANK(P71:P76),ISBLANK(AH71:AH76), ISBLANK(U71:U76),ISBLANK(AM71:AM76)), "·", bdRateExtend( P71:P76,U71:U76, AH71:AH76,AM71:AM76))</f>
        <v>6.5145484993117897E-2</v>
      </c>
      <c r="BC71" s="29">
        <f>IF( OR(ISBLANK(P71:P76),ISBLANK(AH71:AH76), ISBLANK(V71:V76),ISBLANK(AN71:AN76)), "·", bdRateExtend( P71:P76,V71:V76, AH71:AH76,AN71:AN76))</f>
        <v>5.703674004461301E-2</v>
      </c>
      <c r="BD71" s="30"/>
    </row>
    <row r="72" spans="1:56" outlineLevel="1" x14ac:dyDescent="0.15">
      <c r="A72" s="31"/>
      <c r="B72" s="31" t="s">
        <v>263</v>
      </c>
      <c r="C72" s="32" t="s">
        <v>226</v>
      </c>
      <c r="D72" s="31">
        <v>857966</v>
      </c>
      <c r="E72" s="33">
        <v>10</v>
      </c>
      <c r="F72" s="32">
        <v>1</v>
      </c>
      <c r="G72" s="32"/>
      <c r="I72" s="34" t="str">
        <f t="shared" si="11"/>
        <v>·</v>
      </c>
      <c r="J72" s="35">
        <f t="shared" si="12"/>
        <v>1.1947979290554638</v>
      </c>
      <c r="K72" s="35">
        <f t="shared" si="13"/>
        <v>1.0206278570479483</v>
      </c>
      <c r="L72" s="35">
        <f t="shared" si="14"/>
        <v>0.17355466300529393</v>
      </c>
      <c r="M72" s="36"/>
      <c r="N72" s="35">
        <f t="shared" si="15"/>
        <v>1.1947979290554638</v>
      </c>
      <c r="O72" s="37">
        <v>857966</v>
      </c>
      <c r="P72" s="38">
        <v>1025096</v>
      </c>
      <c r="Q72" s="38">
        <v>875664</v>
      </c>
      <c r="R72" s="38">
        <v>148904</v>
      </c>
      <c r="S72" s="39"/>
      <c r="T72" s="40">
        <v>27.646000000000001</v>
      </c>
      <c r="U72" s="40">
        <v>33.893999999999998</v>
      </c>
      <c r="V72" s="40">
        <v>33.162399999999998</v>
      </c>
      <c r="W72" s="41"/>
      <c r="X72" s="42"/>
      <c r="Y72" s="42"/>
      <c r="AA72" s="34" t="str">
        <f t="shared" si="16"/>
        <v>·</v>
      </c>
      <c r="AB72" s="35">
        <f t="shared" si="17"/>
        <v>1.1091721583372767</v>
      </c>
      <c r="AC72" s="35">
        <f t="shared" si="18"/>
        <v>1.0206278570479483</v>
      </c>
      <c r="AD72" s="35">
        <f t="shared" si="19"/>
        <v>8.7938216665928493E-2</v>
      </c>
      <c r="AE72" s="36"/>
      <c r="AF72" s="35">
        <f t="shared" si="20"/>
        <v>1.1091721583372767</v>
      </c>
      <c r="AG72" s="37">
        <v>857966</v>
      </c>
      <c r="AH72" s="38">
        <v>951632</v>
      </c>
      <c r="AI72" s="38">
        <v>875664</v>
      </c>
      <c r="AJ72" s="38">
        <v>75448</v>
      </c>
      <c r="AK72" s="39"/>
      <c r="AL72" s="40">
        <v>25.580500000000001</v>
      </c>
      <c r="AM72" s="40">
        <v>31.8325</v>
      </c>
      <c r="AN72" s="40">
        <v>30.868500000000001</v>
      </c>
      <c r="AO72" s="41"/>
      <c r="AP72" s="42"/>
      <c r="AQ72" s="42"/>
      <c r="AS72" s="43">
        <f t="shared" si="21"/>
        <v>6.59444864598E-2</v>
      </c>
      <c r="AT72" s="43"/>
      <c r="AV72" s="44"/>
      <c r="AW72" s="44"/>
      <c r="AX72" s="44"/>
      <c r="AY72" s="45"/>
      <c r="BA72" s="44"/>
      <c r="BB72" s="44"/>
      <c r="BC72" s="44"/>
      <c r="BD72" s="45"/>
    </row>
    <row r="73" spans="1:56" outlineLevel="1" x14ac:dyDescent="0.15">
      <c r="A73" s="16"/>
      <c r="B73" s="16" t="s">
        <v>263</v>
      </c>
      <c r="C73" s="17" t="s">
        <v>227</v>
      </c>
      <c r="D73" s="16">
        <v>857966</v>
      </c>
      <c r="E73" s="18">
        <v>10</v>
      </c>
      <c r="F73" s="17">
        <v>1</v>
      </c>
      <c r="G73" s="17"/>
      <c r="I73" s="19" t="str">
        <f t="shared" si="11"/>
        <v>·</v>
      </c>
      <c r="J73" s="20">
        <f t="shared" si="12"/>
        <v>1.4106852719105418</v>
      </c>
      <c r="K73" s="20">
        <f t="shared" si="13"/>
        <v>1.0206278570479483</v>
      </c>
      <c r="L73" s="20">
        <f t="shared" si="14"/>
        <v>0.38944200586037209</v>
      </c>
      <c r="M73" s="21"/>
      <c r="N73" s="20">
        <f t="shared" si="15"/>
        <v>1.4106852719105418</v>
      </c>
      <c r="O73" s="22">
        <v>857966</v>
      </c>
      <c r="P73" s="23">
        <v>1210320</v>
      </c>
      <c r="Q73" s="23">
        <v>875664</v>
      </c>
      <c r="R73" s="23">
        <v>334128</v>
      </c>
      <c r="S73" s="24"/>
      <c r="T73" s="25">
        <v>30.110700000000001</v>
      </c>
      <c r="U73" s="25">
        <v>36.378100000000003</v>
      </c>
      <c r="V73" s="25">
        <v>35.920400000000001</v>
      </c>
      <c r="W73" s="26"/>
      <c r="X73" s="27"/>
      <c r="Y73" s="27"/>
      <c r="AA73" s="19" t="str">
        <f t="shared" si="16"/>
        <v>·</v>
      </c>
      <c r="AB73" s="20">
        <f t="shared" si="17"/>
        <v>1.2663811852684139</v>
      </c>
      <c r="AC73" s="20">
        <f t="shared" si="18"/>
        <v>1.0206278570479483</v>
      </c>
      <c r="AD73" s="20">
        <f t="shared" si="19"/>
        <v>0.24514724359706561</v>
      </c>
      <c r="AE73" s="21"/>
      <c r="AF73" s="20">
        <f t="shared" si="20"/>
        <v>1.2663811852684139</v>
      </c>
      <c r="AG73" s="22">
        <v>857966</v>
      </c>
      <c r="AH73" s="23">
        <v>1086512</v>
      </c>
      <c r="AI73" s="23">
        <v>875664</v>
      </c>
      <c r="AJ73" s="23">
        <v>210328</v>
      </c>
      <c r="AK73" s="24"/>
      <c r="AL73" s="25">
        <v>28.483799999999999</v>
      </c>
      <c r="AM73" s="25">
        <v>34.131399999999999</v>
      </c>
      <c r="AN73" s="25">
        <v>33.569000000000003</v>
      </c>
      <c r="AO73" s="26"/>
      <c r="AP73" s="27"/>
      <c r="AQ73" s="27"/>
      <c r="AS73" s="28">
        <f t="shared" si="21"/>
        <v>8.2442559511636371E-2</v>
      </c>
      <c r="AT73" s="28"/>
      <c r="AV73" s="29"/>
      <c r="AW73" s="29"/>
      <c r="AX73" s="29"/>
      <c r="AY73" s="30"/>
      <c r="BA73" s="29"/>
      <c r="BB73" s="29"/>
      <c r="BC73" s="29"/>
      <c r="BD73" s="30"/>
    </row>
    <row r="74" spans="1:56" outlineLevel="1" x14ac:dyDescent="0.15">
      <c r="A74" s="31"/>
      <c r="B74" s="31" t="s">
        <v>263</v>
      </c>
      <c r="C74" s="32" t="s">
        <v>228</v>
      </c>
      <c r="D74" s="31">
        <v>857966</v>
      </c>
      <c r="E74" s="33">
        <v>10</v>
      </c>
      <c r="F74" s="32">
        <v>1</v>
      </c>
      <c r="G74" s="32"/>
      <c r="I74" s="34" t="str">
        <f t="shared" si="11"/>
        <v>·</v>
      </c>
      <c r="J74" s="35">
        <f t="shared" si="12"/>
        <v>1.8534534002512919</v>
      </c>
      <c r="K74" s="35">
        <f t="shared" si="13"/>
        <v>1.0206278570479483</v>
      </c>
      <c r="L74" s="35">
        <f t="shared" si="14"/>
        <v>0.83221013420112222</v>
      </c>
      <c r="M74" s="36"/>
      <c r="N74" s="35">
        <f t="shared" si="15"/>
        <v>1.8534534002512919</v>
      </c>
      <c r="O74" s="37">
        <v>857966</v>
      </c>
      <c r="P74" s="38">
        <v>1590200</v>
      </c>
      <c r="Q74" s="38">
        <v>875664</v>
      </c>
      <c r="R74" s="38">
        <v>714008</v>
      </c>
      <c r="S74" s="39"/>
      <c r="T74" s="40">
        <v>33.0182</v>
      </c>
      <c r="U74" s="40">
        <v>39.089500000000001</v>
      </c>
      <c r="V74" s="40">
        <v>38.585700000000003</v>
      </c>
      <c r="W74" s="41"/>
      <c r="X74" s="42"/>
      <c r="Y74" s="42"/>
      <c r="AA74" s="34" t="str">
        <f t="shared" si="16"/>
        <v>·</v>
      </c>
      <c r="AB74" s="35">
        <f t="shared" si="17"/>
        <v>1.6169032339276848</v>
      </c>
      <c r="AC74" s="35">
        <f t="shared" si="18"/>
        <v>1.0206278570479483</v>
      </c>
      <c r="AD74" s="35">
        <f t="shared" si="19"/>
        <v>0.59566929225633647</v>
      </c>
      <c r="AE74" s="36"/>
      <c r="AF74" s="35">
        <f t="shared" si="20"/>
        <v>1.6169032339276848</v>
      </c>
      <c r="AG74" s="37">
        <v>857966</v>
      </c>
      <c r="AH74" s="38">
        <v>1387248</v>
      </c>
      <c r="AI74" s="38">
        <v>875664</v>
      </c>
      <c r="AJ74" s="38">
        <v>511064</v>
      </c>
      <c r="AK74" s="39"/>
      <c r="AL74" s="40">
        <v>31.869499999999999</v>
      </c>
      <c r="AM74" s="40">
        <v>36.880600000000001</v>
      </c>
      <c r="AN74" s="40">
        <v>36.477699999999999</v>
      </c>
      <c r="AO74" s="41"/>
      <c r="AP74" s="42"/>
      <c r="AQ74" s="42"/>
      <c r="AS74" s="43">
        <f t="shared" si="21"/>
        <v>8.0561023375889884E-2</v>
      </c>
      <c r="AT74" s="43"/>
      <c r="AV74" s="44"/>
      <c r="AW74" s="44"/>
      <c r="AX74" s="44"/>
      <c r="AY74" s="45"/>
      <c r="BA74" s="44"/>
      <c r="BB74" s="44"/>
      <c r="BC74" s="44"/>
      <c r="BD74" s="45"/>
    </row>
    <row r="75" spans="1:56" outlineLevel="1" x14ac:dyDescent="0.15">
      <c r="A75" s="16"/>
      <c r="B75" s="16" t="s">
        <v>263</v>
      </c>
      <c r="C75" s="17" t="s">
        <v>229</v>
      </c>
      <c r="D75" s="16">
        <v>857966</v>
      </c>
      <c r="E75" s="18">
        <v>10</v>
      </c>
      <c r="F75" s="17">
        <v>1</v>
      </c>
      <c r="G75" s="17"/>
      <c r="I75" s="19" t="str">
        <f t="shared" si="11"/>
        <v>·</v>
      </c>
      <c r="J75" s="20">
        <f t="shared" si="12"/>
        <v>2.7007224062491986</v>
      </c>
      <c r="K75" s="20">
        <f t="shared" si="13"/>
        <v>1.0206278570479483</v>
      </c>
      <c r="L75" s="20">
        <f t="shared" si="14"/>
        <v>1.6794791401990288</v>
      </c>
      <c r="M75" s="21"/>
      <c r="N75" s="20">
        <f t="shared" si="15"/>
        <v>2.7007224062491986</v>
      </c>
      <c r="O75" s="22">
        <v>857966</v>
      </c>
      <c r="P75" s="23">
        <v>2317128</v>
      </c>
      <c r="Q75" s="23">
        <v>875664</v>
      </c>
      <c r="R75" s="23">
        <v>1440936</v>
      </c>
      <c r="S75" s="24"/>
      <c r="T75" s="25">
        <v>36.850999999999999</v>
      </c>
      <c r="U75" s="25">
        <v>41.654899999999998</v>
      </c>
      <c r="V75" s="25">
        <v>41.430599999999998</v>
      </c>
      <c r="W75" s="26"/>
      <c r="X75" s="27"/>
      <c r="Y75" s="27"/>
      <c r="AA75" s="19" t="str">
        <f t="shared" si="16"/>
        <v>·</v>
      </c>
      <c r="AB75" s="20">
        <f t="shared" si="17"/>
        <v>2.3473843951858231</v>
      </c>
      <c r="AC75" s="20">
        <f t="shared" si="18"/>
        <v>1.0206278570479483</v>
      </c>
      <c r="AD75" s="20">
        <f t="shared" si="19"/>
        <v>1.326150453514475</v>
      </c>
      <c r="AE75" s="21"/>
      <c r="AF75" s="20">
        <f t="shared" si="20"/>
        <v>2.3473843951858231</v>
      </c>
      <c r="AG75" s="22">
        <v>857966</v>
      </c>
      <c r="AH75" s="23">
        <v>2013976</v>
      </c>
      <c r="AI75" s="23">
        <v>875664</v>
      </c>
      <c r="AJ75" s="23">
        <v>1137792</v>
      </c>
      <c r="AK75" s="24"/>
      <c r="AL75" s="25">
        <v>36.072299999999998</v>
      </c>
      <c r="AM75" s="25">
        <v>40.14</v>
      </c>
      <c r="AN75" s="25">
        <v>39.888300000000001</v>
      </c>
      <c r="AO75" s="26"/>
      <c r="AP75" s="27"/>
      <c r="AQ75" s="27"/>
      <c r="AS75" s="28">
        <f t="shared" si="21"/>
        <v>5.6884457047470749E-2</v>
      </c>
      <c r="AT75" s="28"/>
      <c r="AV75" s="29"/>
      <c r="AW75" s="29"/>
      <c r="AX75" s="29"/>
      <c r="AY75" s="30"/>
      <c r="BA75" s="29"/>
      <c r="BB75" s="29"/>
      <c r="BC75" s="29"/>
      <c r="BD75" s="30"/>
    </row>
    <row r="76" spans="1:56" outlineLevel="1" x14ac:dyDescent="0.15">
      <c r="A76" s="31"/>
      <c r="B76" s="46" t="s">
        <v>263</v>
      </c>
      <c r="C76" s="47" t="s">
        <v>230</v>
      </c>
      <c r="D76" s="46">
        <v>857966</v>
      </c>
      <c r="E76" s="48">
        <v>10</v>
      </c>
      <c r="F76" s="47">
        <v>1</v>
      </c>
      <c r="G76" s="47"/>
      <c r="I76" s="49" t="str">
        <f t="shared" si="11"/>
        <v>·</v>
      </c>
      <c r="J76" s="50">
        <f t="shared" si="12"/>
        <v>4.1115941657361716</v>
      </c>
      <c r="K76" s="50">
        <f t="shared" si="13"/>
        <v>1.0206278570479483</v>
      </c>
      <c r="L76" s="50">
        <f t="shared" si="14"/>
        <v>3.0903508996860016</v>
      </c>
      <c r="M76" s="51"/>
      <c r="N76" s="50">
        <f t="shared" si="15"/>
        <v>4.1115941657361716</v>
      </c>
      <c r="O76" s="52">
        <v>857966</v>
      </c>
      <c r="P76" s="53">
        <v>3527608</v>
      </c>
      <c r="Q76" s="53">
        <v>875664</v>
      </c>
      <c r="R76" s="53">
        <v>2651416</v>
      </c>
      <c r="S76" s="54"/>
      <c r="T76" s="55">
        <v>41.525100000000002</v>
      </c>
      <c r="U76" s="55">
        <v>44.564</v>
      </c>
      <c r="V76" s="55">
        <v>44.5565</v>
      </c>
      <c r="W76" s="56"/>
      <c r="X76" s="57"/>
      <c r="Y76" s="57"/>
      <c r="AA76" s="49" t="str">
        <f t="shared" si="16"/>
        <v>·</v>
      </c>
      <c r="AB76" s="50">
        <f t="shared" si="17"/>
        <v>3.5009126235771579</v>
      </c>
      <c r="AC76" s="50">
        <f t="shared" si="18"/>
        <v>1.0206278570479483</v>
      </c>
      <c r="AD76" s="50">
        <f t="shared" si="19"/>
        <v>2.4796786819058099</v>
      </c>
      <c r="AE76" s="51"/>
      <c r="AF76" s="50">
        <f t="shared" si="20"/>
        <v>3.5009126235771579</v>
      </c>
      <c r="AG76" s="52">
        <v>857966</v>
      </c>
      <c r="AH76" s="53">
        <v>3003664</v>
      </c>
      <c r="AI76" s="53">
        <v>875664</v>
      </c>
      <c r="AJ76" s="53">
        <v>2127480</v>
      </c>
      <c r="AK76" s="54"/>
      <c r="AL76" s="55">
        <v>40.460900000000002</v>
      </c>
      <c r="AM76" s="55">
        <v>43.398800000000001</v>
      </c>
      <c r="AN76" s="55">
        <v>43.263500000000001</v>
      </c>
      <c r="AO76" s="56"/>
      <c r="AP76" s="57"/>
      <c r="AQ76" s="57"/>
      <c r="AS76" s="58">
        <f t="shared" si="21"/>
        <v>4.3300279392577773E-2</v>
      </c>
      <c r="AT76" s="58"/>
      <c r="AV76" s="59"/>
      <c r="AW76" s="59"/>
      <c r="AX76" s="59"/>
      <c r="AY76" s="60"/>
      <c r="BA76" s="59"/>
      <c r="BB76" s="59"/>
      <c r="BC76" s="59"/>
      <c r="BD76" s="60"/>
    </row>
    <row r="77" spans="1:56" collapsed="1" x14ac:dyDescent="0.15">
      <c r="A77" s="16"/>
      <c r="B77" s="16" t="s">
        <v>266</v>
      </c>
      <c r="C77" s="17" t="s">
        <v>225</v>
      </c>
      <c r="D77" s="16">
        <v>3017285</v>
      </c>
      <c r="E77" s="18">
        <v>12</v>
      </c>
      <c r="F77" s="17">
        <v>1</v>
      </c>
      <c r="G77" s="17"/>
      <c r="I77" s="19" t="str">
        <f t="shared" si="11"/>
        <v>·</v>
      </c>
      <c r="J77" s="20">
        <f t="shared" si="12"/>
        <v>3.7286951680069995</v>
      </c>
      <c r="K77" s="20">
        <f t="shared" si="13"/>
        <v>3.7168832244882402</v>
      </c>
      <c r="L77" s="20">
        <f t="shared" si="14"/>
        <v>1.1536198933809699E-2</v>
      </c>
      <c r="M77" s="21"/>
      <c r="N77" s="20">
        <f t="shared" si="15"/>
        <v>3.7286951680069995</v>
      </c>
      <c r="O77" s="22">
        <v>3017285</v>
      </c>
      <c r="P77" s="23">
        <v>11250536</v>
      </c>
      <c r="Q77" s="23">
        <v>11214896</v>
      </c>
      <c r="R77" s="23">
        <v>34808</v>
      </c>
      <c r="S77" s="24"/>
      <c r="T77" s="25">
        <v>33.268000000000001</v>
      </c>
      <c r="U77" s="25">
        <v>41.669800000000002</v>
      </c>
      <c r="V77" s="25">
        <v>45.6599</v>
      </c>
      <c r="W77" s="26"/>
      <c r="X77" s="27"/>
      <c r="Y77" s="27"/>
      <c r="AA77" s="19" t="str">
        <f t="shared" si="16"/>
        <v>·</v>
      </c>
      <c r="AB77" s="20">
        <f t="shared" si="17"/>
        <v>3.7225333370894695</v>
      </c>
      <c r="AC77" s="20">
        <f t="shared" si="18"/>
        <v>3.7168832244882402</v>
      </c>
      <c r="AD77" s="20">
        <f t="shared" si="19"/>
        <v>5.3770194065194373E-3</v>
      </c>
      <c r="AE77" s="21"/>
      <c r="AF77" s="20">
        <f t="shared" si="20"/>
        <v>3.7225333370894695</v>
      </c>
      <c r="AG77" s="22">
        <v>3017285</v>
      </c>
      <c r="AH77" s="23">
        <v>11231944</v>
      </c>
      <c r="AI77" s="23">
        <v>11214896</v>
      </c>
      <c r="AJ77" s="23">
        <v>16224</v>
      </c>
      <c r="AK77" s="24"/>
      <c r="AL77" s="25">
        <v>31.4541</v>
      </c>
      <c r="AM77" s="25">
        <v>43.748800000000003</v>
      </c>
      <c r="AN77" s="25">
        <v>43.589199999999998</v>
      </c>
      <c r="AO77" s="26"/>
      <c r="AP77" s="27"/>
      <c r="AQ77" s="27"/>
      <c r="AS77" s="28">
        <f t="shared" si="21"/>
        <v>1.6500352343368219E-3</v>
      </c>
      <c r="AT77" s="28">
        <f t="array" ref="AT77">AVERAGE(AI77:AI82/AH77:AH82) - AVERAGE(Q77:Q82/P77:P82)</f>
        <v>1.1454821727179598E-2</v>
      </c>
      <c r="AV77" s="29">
        <f>IF( OR(ISBLANK(R77:R82),ISBLANK(AJ77:AJ82), ISBLANK(T77:T82),ISBLANK(AL77:AL82)), "·", bdRateExtend( R77:R82,T77:T82, AJ77:AJ82,AL77:AL82))</f>
        <v>0.13626836887086791</v>
      </c>
      <c r="AW77" s="29">
        <f>IF( OR(ISBLANK(R77:R82),ISBLANK(AJ77:AJ82), ISBLANK(U77:U82),ISBLANK(AM77:AM82)), "·", bdRateExtend( R77:R82,U77:U82, AJ77:AJ82,AM77:AM82))</f>
        <v>4.4841590742039861E-2</v>
      </c>
      <c r="AX77" s="29">
        <f>IF( OR(ISBLANK(R77:R82),ISBLANK(AJ77:AJ82), ISBLANK(V77:V82),ISBLANK(AN77:AN82)), "·", bdRateExtend( R77:R82,V77:V82, AJ77:AJ82,AN77:AN82))</f>
        <v>0.38599251519543287</v>
      </c>
      <c r="AY77" s="30"/>
      <c r="BA77" s="29">
        <f>IF( OR(ISBLANK(P77:P82),ISBLANK(AH77:AH82), ISBLANK(T77:T82),ISBLANK(AL77:AL82)), "·", bdRateExtend( P77:P82,T77:T82, AH77:AH82,AL77:AL82))</f>
        <v>2.6502053667551984E-3</v>
      </c>
      <c r="BB77" s="29">
        <f>IF( OR(ISBLANK(P77:P82),ISBLANK(AH77:AH82), ISBLANK(U77:U82),ISBLANK(AM77:AM82)), "·", bdRateExtend( P77:P82,U77:U82, AH77:AH82,AM77:AM82))</f>
        <v>4.5507822918979812E-3</v>
      </c>
      <c r="BC77" s="29">
        <f>IF( OR(ISBLANK(P77:P82),ISBLANK(AH77:AH82), ISBLANK(V77:V82),ISBLANK(AN77:AN82)), "·", bdRateExtend( P77:P82,V77:V82, AH77:AH82,AN77:AN82))</f>
        <v>7.5337148686949185E-3</v>
      </c>
      <c r="BD77" s="30"/>
    </row>
    <row r="78" spans="1:56" outlineLevel="1" x14ac:dyDescent="0.15">
      <c r="A78" s="31"/>
      <c r="B78" s="31" t="s">
        <v>266</v>
      </c>
      <c r="C78" s="32" t="s">
        <v>226</v>
      </c>
      <c r="D78" s="31">
        <v>3017285</v>
      </c>
      <c r="E78" s="33">
        <v>12</v>
      </c>
      <c r="F78" s="32">
        <v>1</v>
      </c>
      <c r="G78" s="32"/>
      <c r="I78" s="34" t="str">
        <f t="shared" si="11"/>
        <v>·</v>
      </c>
      <c r="J78" s="35">
        <f t="shared" si="12"/>
        <v>3.741875228889548</v>
      </c>
      <c r="K78" s="35">
        <f t="shared" si="13"/>
        <v>3.7168832244882402</v>
      </c>
      <c r="L78" s="35">
        <f t="shared" si="14"/>
        <v>2.4716259816358083E-2</v>
      </c>
      <c r="M78" s="36"/>
      <c r="N78" s="35">
        <f t="shared" si="15"/>
        <v>3.741875228889548</v>
      </c>
      <c r="O78" s="37">
        <v>3017285</v>
      </c>
      <c r="P78" s="38">
        <v>11290304</v>
      </c>
      <c r="Q78" s="38">
        <v>11214896</v>
      </c>
      <c r="R78" s="38">
        <v>74576</v>
      </c>
      <c r="S78" s="39"/>
      <c r="T78" s="40">
        <v>35.7348</v>
      </c>
      <c r="U78" s="40">
        <v>47.7423</v>
      </c>
      <c r="V78" s="40">
        <v>47.839399999999998</v>
      </c>
      <c r="W78" s="41"/>
      <c r="X78" s="42"/>
      <c r="Y78" s="42"/>
      <c r="AA78" s="34" t="str">
        <f t="shared" si="16"/>
        <v>·</v>
      </c>
      <c r="AB78" s="35">
        <f t="shared" si="17"/>
        <v>3.7292493085671392</v>
      </c>
      <c r="AC78" s="35">
        <f t="shared" si="18"/>
        <v>3.7168832244882402</v>
      </c>
      <c r="AD78" s="35">
        <f t="shared" si="19"/>
        <v>1.2092990884188932E-2</v>
      </c>
      <c r="AE78" s="36"/>
      <c r="AF78" s="35">
        <f t="shared" si="20"/>
        <v>3.7292493085671392</v>
      </c>
      <c r="AG78" s="37">
        <v>3017285</v>
      </c>
      <c r="AH78" s="38">
        <v>11252208</v>
      </c>
      <c r="AI78" s="38">
        <v>11214896</v>
      </c>
      <c r="AJ78" s="38">
        <v>36488</v>
      </c>
      <c r="AK78" s="39"/>
      <c r="AL78" s="40">
        <v>33.2607</v>
      </c>
      <c r="AM78" s="40">
        <v>45.700400000000002</v>
      </c>
      <c r="AN78" s="40">
        <v>45.426299999999998</v>
      </c>
      <c r="AO78" s="41"/>
      <c r="AP78" s="42"/>
      <c r="AQ78" s="42"/>
      <c r="AS78" s="43">
        <f t="shared" si="21"/>
        <v>3.3630338698813489E-3</v>
      </c>
      <c r="AT78" s="43"/>
      <c r="AV78" s="44"/>
      <c r="AW78" s="44"/>
      <c r="AX78" s="44"/>
      <c r="AY78" s="45"/>
      <c r="BA78" s="44"/>
      <c r="BB78" s="44"/>
      <c r="BC78" s="44"/>
      <c r="BD78" s="45"/>
    </row>
    <row r="79" spans="1:56" outlineLevel="1" x14ac:dyDescent="0.15">
      <c r="A79" s="16"/>
      <c r="B79" s="16" t="s">
        <v>266</v>
      </c>
      <c r="C79" s="17" t="s">
        <v>227</v>
      </c>
      <c r="D79" s="16">
        <v>3017285</v>
      </c>
      <c r="E79" s="18">
        <v>12</v>
      </c>
      <c r="F79" s="17">
        <v>1</v>
      </c>
      <c r="G79" s="17"/>
      <c r="I79" s="19" t="str">
        <f t="shared" si="11"/>
        <v>·</v>
      </c>
      <c r="J79" s="20">
        <f t="shared" si="12"/>
        <v>3.7717484427225139</v>
      </c>
      <c r="K79" s="20">
        <f t="shared" si="13"/>
        <v>3.7168832244882402</v>
      </c>
      <c r="L79" s="20">
        <f t="shared" si="14"/>
        <v>5.4589473649323809E-2</v>
      </c>
      <c r="M79" s="21"/>
      <c r="N79" s="20">
        <f t="shared" si="15"/>
        <v>3.7717484427225139</v>
      </c>
      <c r="O79" s="22">
        <v>3017285</v>
      </c>
      <c r="P79" s="23">
        <v>11380440</v>
      </c>
      <c r="Q79" s="23">
        <v>11214896</v>
      </c>
      <c r="R79" s="23">
        <v>164712</v>
      </c>
      <c r="S79" s="24"/>
      <c r="T79" s="25">
        <v>38.605899999999998</v>
      </c>
      <c r="U79" s="25">
        <v>49.536099999999998</v>
      </c>
      <c r="V79" s="25">
        <v>49.949599999999997</v>
      </c>
      <c r="W79" s="26"/>
      <c r="X79" s="27"/>
      <c r="Y79" s="27"/>
      <c r="AA79" s="19" t="str">
        <f t="shared" si="16"/>
        <v>·</v>
      </c>
      <c r="AB79" s="20">
        <f t="shared" si="17"/>
        <v>3.7483658321968258</v>
      </c>
      <c r="AC79" s="20">
        <f t="shared" si="18"/>
        <v>3.7168832244882402</v>
      </c>
      <c r="AD79" s="20">
        <f t="shared" si="19"/>
        <v>3.1209514513875884E-2</v>
      </c>
      <c r="AE79" s="21"/>
      <c r="AF79" s="20">
        <f t="shared" si="20"/>
        <v>3.7483658321968258</v>
      </c>
      <c r="AG79" s="22">
        <v>3017285</v>
      </c>
      <c r="AH79" s="23">
        <v>11309888</v>
      </c>
      <c r="AI79" s="23">
        <v>11214896</v>
      </c>
      <c r="AJ79" s="23">
        <v>94168</v>
      </c>
      <c r="AK79" s="24"/>
      <c r="AL79" s="25">
        <v>35.945599999999999</v>
      </c>
      <c r="AM79" s="25">
        <v>47.647799999999997</v>
      </c>
      <c r="AN79" s="25">
        <v>47.743400000000001</v>
      </c>
      <c r="AO79" s="26"/>
      <c r="AP79" s="27"/>
      <c r="AQ79" s="27"/>
      <c r="AS79" s="28">
        <f t="shared" si="21"/>
        <v>6.1473398381950428E-3</v>
      </c>
      <c r="AT79" s="28"/>
      <c r="AV79" s="29"/>
      <c r="AW79" s="29"/>
      <c r="AX79" s="29"/>
      <c r="AY79" s="30"/>
      <c r="BA79" s="29"/>
      <c r="BB79" s="29"/>
      <c r="BC79" s="29"/>
      <c r="BD79" s="30"/>
    </row>
    <row r="80" spans="1:56" outlineLevel="1" x14ac:dyDescent="0.15">
      <c r="A80" s="31"/>
      <c r="B80" s="31" t="s">
        <v>266</v>
      </c>
      <c r="C80" s="32" t="s">
        <v>228</v>
      </c>
      <c r="D80" s="31">
        <v>3017285</v>
      </c>
      <c r="E80" s="33">
        <v>12</v>
      </c>
      <c r="F80" s="32">
        <v>1</v>
      </c>
      <c r="G80" s="32"/>
      <c r="I80" s="34" t="str">
        <f t="shared" si="11"/>
        <v>·</v>
      </c>
      <c r="J80" s="35">
        <f t="shared" si="12"/>
        <v>3.8296813194643531</v>
      </c>
      <c r="K80" s="35">
        <f t="shared" si="13"/>
        <v>3.7168832244882402</v>
      </c>
      <c r="L80" s="35">
        <f t="shared" si="14"/>
        <v>0.11252235039116291</v>
      </c>
      <c r="M80" s="36"/>
      <c r="N80" s="35">
        <f t="shared" si="15"/>
        <v>3.8296813194643531</v>
      </c>
      <c r="O80" s="37">
        <v>3017285</v>
      </c>
      <c r="P80" s="38">
        <v>11555240</v>
      </c>
      <c r="Q80" s="38">
        <v>11214896</v>
      </c>
      <c r="R80" s="38">
        <v>339512</v>
      </c>
      <c r="S80" s="39"/>
      <c r="T80" s="40">
        <v>41.442900000000002</v>
      </c>
      <c r="U80" s="40">
        <v>51.253399999999999</v>
      </c>
      <c r="V80" s="40">
        <v>51.659599999999998</v>
      </c>
      <c r="W80" s="41"/>
      <c r="X80" s="42"/>
      <c r="Y80" s="42"/>
      <c r="AA80" s="34" t="str">
        <f t="shared" si="16"/>
        <v>·</v>
      </c>
      <c r="AB80" s="35">
        <f t="shared" si="17"/>
        <v>3.7891203515743457</v>
      </c>
      <c r="AC80" s="35">
        <f t="shared" si="18"/>
        <v>3.7168832244882402</v>
      </c>
      <c r="AD80" s="35">
        <f t="shared" si="19"/>
        <v>7.1964033891395746E-2</v>
      </c>
      <c r="AE80" s="36"/>
      <c r="AF80" s="35">
        <f t="shared" si="20"/>
        <v>3.7891203515743457</v>
      </c>
      <c r="AG80" s="37">
        <v>3017285</v>
      </c>
      <c r="AH80" s="38">
        <v>11432856</v>
      </c>
      <c r="AI80" s="38">
        <v>11214896</v>
      </c>
      <c r="AJ80" s="38">
        <v>217136</v>
      </c>
      <c r="AK80" s="39"/>
      <c r="AL80" s="40">
        <v>39.0413</v>
      </c>
      <c r="AM80" s="40">
        <v>49.542999999999999</v>
      </c>
      <c r="AN80" s="40">
        <v>49.703400000000002</v>
      </c>
      <c r="AO80" s="41"/>
      <c r="AP80" s="42"/>
      <c r="AQ80" s="42"/>
      <c r="AS80" s="43">
        <f t="shared" si="21"/>
        <v>1.0389297690925448E-2</v>
      </c>
      <c r="AT80" s="43"/>
      <c r="AV80" s="44"/>
      <c r="AW80" s="44"/>
      <c r="AX80" s="44"/>
      <c r="AY80" s="45"/>
      <c r="BA80" s="44"/>
      <c r="BB80" s="44"/>
      <c r="BC80" s="44"/>
      <c r="BD80" s="45"/>
    </row>
    <row r="81" spans="1:56" outlineLevel="1" x14ac:dyDescent="0.15">
      <c r="A81" s="16"/>
      <c r="B81" s="16" t="s">
        <v>266</v>
      </c>
      <c r="C81" s="17" t="s">
        <v>229</v>
      </c>
      <c r="D81" s="16">
        <v>3017285</v>
      </c>
      <c r="E81" s="18">
        <v>12</v>
      </c>
      <c r="F81" s="17">
        <v>1</v>
      </c>
      <c r="G81" s="17"/>
      <c r="I81" s="19" t="str">
        <f t="shared" si="11"/>
        <v>·</v>
      </c>
      <c r="J81" s="20">
        <f t="shared" si="12"/>
        <v>3.9426915256596575</v>
      </c>
      <c r="K81" s="20">
        <f t="shared" si="13"/>
        <v>3.7168832244882402</v>
      </c>
      <c r="L81" s="20">
        <f t="shared" si="14"/>
        <v>0.22553255658646765</v>
      </c>
      <c r="M81" s="21"/>
      <c r="N81" s="20">
        <f t="shared" si="15"/>
        <v>3.9426915256596575</v>
      </c>
      <c r="O81" s="22">
        <v>3017285</v>
      </c>
      <c r="P81" s="23">
        <v>11896224</v>
      </c>
      <c r="Q81" s="23">
        <v>11214896</v>
      </c>
      <c r="R81" s="23">
        <v>680496</v>
      </c>
      <c r="S81" s="24"/>
      <c r="T81" s="25">
        <v>44.185699999999997</v>
      </c>
      <c r="U81" s="25">
        <v>52.786799999999999</v>
      </c>
      <c r="V81" s="25">
        <v>53.073999999999998</v>
      </c>
      <c r="W81" s="26"/>
      <c r="X81" s="27"/>
      <c r="Y81" s="27"/>
      <c r="AA81" s="19" t="str">
        <f t="shared" si="16"/>
        <v>·</v>
      </c>
      <c r="AB81" s="20">
        <f t="shared" si="17"/>
        <v>3.87399665593406</v>
      </c>
      <c r="AC81" s="20">
        <f t="shared" si="18"/>
        <v>3.7168832244882402</v>
      </c>
      <c r="AD81" s="20">
        <f t="shared" si="19"/>
        <v>0.15684033825110985</v>
      </c>
      <c r="AE81" s="21"/>
      <c r="AF81" s="20">
        <f t="shared" si="20"/>
        <v>3.87399665593406</v>
      </c>
      <c r="AG81" s="22">
        <v>3017285</v>
      </c>
      <c r="AH81" s="23">
        <v>11688952</v>
      </c>
      <c r="AI81" s="23">
        <v>11214896</v>
      </c>
      <c r="AJ81" s="23">
        <v>473232</v>
      </c>
      <c r="AK81" s="24"/>
      <c r="AL81" s="25">
        <v>42.3444</v>
      </c>
      <c r="AM81" s="25">
        <v>51.259799999999998</v>
      </c>
      <c r="AN81" s="25">
        <v>51.496499999999997</v>
      </c>
      <c r="AO81" s="26"/>
      <c r="AP81" s="27"/>
      <c r="AQ81" s="27"/>
      <c r="AS81" s="28">
        <f t="shared" si="21"/>
        <v>1.6716724309760567E-2</v>
      </c>
      <c r="AT81" s="28"/>
      <c r="AV81" s="29"/>
      <c r="AW81" s="29"/>
      <c r="AX81" s="29"/>
      <c r="AY81" s="30"/>
      <c r="BA81" s="29"/>
      <c r="BB81" s="29"/>
      <c r="BC81" s="29"/>
      <c r="BD81" s="30"/>
    </row>
    <row r="82" spans="1:56" outlineLevel="1" x14ac:dyDescent="0.15">
      <c r="A82" s="31"/>
      <c r="B82" s="46" t="s">
        <v>266</v>
      </c>
      <c r="C82" s="47" t="s">
        <v>230</v>
      </c>
      <c r="D82" s="46">
        <v>3017285</v>
      </c>
      <c r="E82" s="48">
        <v>12</v>
      </c>
      <c r="F82" s="47">
        <v>1</v>
      </c>
      <c r="G82" s="47"/>
      <c r="I82" s="49" t="str">
        <f t="shared" si="11"/>
        <v>·</v>
      </c>
      <c r="J82" s="50">
        <f t="shared" si="12"/>
        <v>4.1670813330527281</v>
      </c>
      <c r="K82" s="50">
        <f t="shared" si="13"/>
        <v>3.7168832244882402</v>
      </c>
      <c r="L82" s="50">
        <f t="shared" si="14"/>
        <v>0.44992236397953789</v>
      </c>
      <c r="M82" s="51"/>
      <c r="N82" s="50">
        <f t="shared" si="15"/>
        <v>4.1670813330527281</v>
      </c>
      <c r="O82" s="52">
        <v>3017285</v>
      </c>
      <c r="P82" s="53">
        <v>12573272</v>
      </c>
      <c r="Q82" s="53">
        <v>11214896</v>
      </c>
      <c r="R82" s="53">
        <v>1357544</v>
      </c>
      <c r="S82" s="54"/>
      <c r="T82" s="55">
        <v>46.728999999999999</v>
      </c>
      <c r="U82" s="55">
        <v>53.944400000000002</v>
      </c>
      <c r="V82" s="55">
        <v>54.165900000000001</v>
      </c>
      <c r="W82" s="56"/>
      <c r="X82" s="57"/>
      <c r="Y82" s="57"/>
      <c r="AA82" s="49" t="str">
        <f t="shared" si="16"/>
        <v>·</v>
      </c>
      <c r="AB82" s="50">
        <f t="shared" si="17"/>
        <v>4.0294662254311406</v>
      </c>
      <c r="AC82" s="50">
        <f t="shared" si="18"/>
        <v>3.7168832244882402</v>
      </c>
      <c r="AD82" s="50">
        <f t="shared" si="19"/>
        <v>0.31230990774819084</v>
      </c>
      <c r="AE82" s="51"/>
      <c r="AF82" s="50">
        <f t="shared" si="20"/>
        <v>4.0294662254311406</v>
      </c>
      <c r="AG82" s="52">
        <v>3017285</v>
      </c>
      <c r="AH82" s="53">
        <v>12158048</v>
      </c>
      <c r="AI82" s="53">
        <v>11214896</v>
      </c>
      <c r="AJ82" s="53">
        <v>942328</v>
      </c>
      <c r="AK82" s="54"/>
      <c r="AL82" s="55">
        <v>45.304699999999997</v>
      </c>
      <c r="AM82" s="55">
        <v>52.661299999999997</v>
      </c>
      <c r="AN82" s="55">
        <v>52.899000000000001</v>
      </c>
      <c r="AO82" s="56"/>
      <c r="AP82" s="57"/>
      <c r="AQ82" s="57"/>
      <c r="AS82" s="58">
        <f t="shared" si="21"/>
        <v>3.0462499419979139E-2</v>
      </c>
      <c r="AT82" s="58"/>
      <c r="AV82" s="59"/>
      <c r="AW82" s="59"/>
      <c r="AX82" s="59"/>
      <c r="AY82" s="60"/>
      <c r="BA82" s="59"/>
      <c r="BB82" s="59"/>
      <c r="BC82" s="59"/>
      <c r="BD82" s="60"/>
    </row>
    <row r="83" spans="1:56" collapsed="1" x14ac:dyDescent="0.15">
      <c r="A83" s="16"/>
      <c r="B83" s="16" t="s">
        <v>269</v>
      </c>
      <c r="C83" s="17" t="s">
        <v>225</v>
      </c>
      <c r="D83" s="16">
        <v>805285</v>
      </c>
      <c r="E83" s="18">
        <v>10</v>
      </c>
      <c r="F83" s="17">
        <v>1</v>
      </c>
      <c r="G83" s="17"/>
      <c r="I83" s="19" t="str">
        <f t="shared" si="11"/>
        <v>·</v>
      </c>
      <c r="J83" s="20">
        <f t="shared" si="12"/>
        <v>0.99291058445146751</v>
      </c>
      <c r="K83" s="20">
        <f t="shared" si="13"/>
        <v>0.97555523820759105</v>
      </c>
      <c r="L83" s="20">
        <f t="shared" si="14"/>
        <v>1.6699677753838703E-2</v>
      </c>
      <c r="M83" s="21"/>
      <c r="N83" s="20">
        <f t="shared" si="15"/>
        <v>0.99291058445146751</v>
      </c>
      <c r="O83" s="22">
        <v>805285</v>
      </c>
      <c r="P83" s="23">
        <v>799576</v>
      </c>
      <c r="Q83" s="23">
        <v>785600</v>
      </c>
      <c r="R83" s="23">
        <v>13448</v>
      </c>
      <c r="S83" s="24"/>
      <c r="T83" s="25">
        <v>31.099</v>
      </c>
      <c r="U83" s="25">
        <v>40.599800000000002</v>
      </c>
      <c r="V83" s="25">
        <v>43.165599999999998</v>
      </c>
      <c r="W83" s="26"/>
      <c r="X83" s="27"/>
      <c r="Y83" s="27"/>
      <c r="AA83" s="19" t="str">
        <f t="shared" si="16"/>
        <v>·</v>
      </c>
      <c r="AB83" s="20">
        <f t="shared" si="17"/>
        <v>0.98366168499351159</v>
      </c>
      <c r="AC83" s="20">
        <f t="shared" si="18"/>
        <v>0.97555523820759105</v>
      </c>
      <c r="AD83" s="20">
        <f t="shared" si="19"/>
        <v>7.4607126669440013E-3</v>
      </c>
      <c r="AE83" s="21"/>
      <c r="AF83" s="20">
        <f t="shared" si="20"/>
        <v>0.98366168499351159</v>
      </c>
      <c r="AG83" s="22">
        <v>805285</v>
      </c>
      <c r="AH83" s="23">
        <v>792128</v>
      </c>
      <c r="AI83" s="23">
        <v>785600</v>
      </c>
      <c r="AJ83" s="23">
        <v>6008</v>
      </c>
      <c r="AK83" s="24"/>
      <c r="AL83" s="25">
        <v>29.553100000000001</v>
      </c>
      <c r="AM83" s="25">
        <v>41.593000000000004</v>
      </c>
      <c r="AN83" s="25">
        <v>40.9011</v>
      </c>
      <c r="AO83" s="26"/>
      <c r="AP83" s="27"/>
      <c r="AQ83" s="27"/>
      <c r="AS83" s="28">
        <f t="shared" si="21"/>
        <v>9.2381716612139897E-3</v>
      </c>
      <c r="AT83" s="28">
        <f t="array" ref="AT83">AVERAGE(AI83:AI88/AH83:AH88) - AVERAGE(Q83:Q88/P83:P88)</f>
        <v>4.2114358251882145E-2</v>
      </c>
      <c r="AV83" s="29">
        <f>IF( OR(ISBLANK(R83:R88),ISBLANK(AJ83:AJ88), ISBLANK(T83:T88),ISBLANK(AL83:AL88)), "·", bdRateExtend( R83:R88,T83:T88, AJ83:AJ88,AL83:AL88))</f>
        <v>7.706951956803576E-2</v>
      </c>
      <c r="AW83" s="29">
        <f>IF( OR(ISBLANK(R83:R88),ISBLANK(AJ83:AJ88), ISBLANK(U83:U88),ISBLANK(AM83:AM88)), "·", bdRateExtend( R83:R88,U83:U88, AJ83:AJ88,AM83:AM88))</f>
        <v>0.12162377746844766</v>
      </c>
      <c r="AX83" s="29">
        <f>IF( OR(ISBLANK(R83:R88),ISBLANK(AJ83:AJ88), ISBLANK(V83:V88),ISBLANK(AN83:AN88)), "·", bdRateExtend( R83:R88,V83:V88, AJ83:AJ88,AN83:AN88))</f>
        <v>0.4232838409160562</v>
      </c>
      <c r="AY83" s="30"/>
      <c r="BA83" s="29">
        <f>IF( OR(ISBLANK(P83:P88),ISBLANK(AH83:AH88), ISBLANK(T83:T88),ISBLANK(AL83:AL88)), "·", bdRateExtend( P83:P88,T83:T88, AH83:AH88,AL83:AL88))</f>
        <v>5.1675901059093921E-3</v>
      </c>
      <c r="BB83" s="29">
        <f>IF( OR(ISBLANK(P83:P88),ISBLANK(AH83:AH88), ISBLANK(U83:U88),ISBLANK(AM83:AM88)), "·", bdRateExtend( P83:P88,U83:U88, AH83:AH88,AM83:AM88))</f>
        <v>3.4226411042592497E-2</v>
      </c>
      <c r="BC83" s="29">
        <f>IF( OR(ISBLANK(P83:P88),ISBLANK(AH83:AH88), ISBLANK(V83:V88),ISBLANK(AN83:AN88)), "·", bdRateExtend( P83:P88,V83:V88, AH83:AH88,AN83:AN88))</f>
        <v>4.8961513063687123E-2</v>
      </c>
      <c r="BD83" s="30"/>
    </row>
    <row r="84" spans="1:56" outlineLevel="1" x14ac:dyDescent="0.15">
      <c r="A84" s="31"/>
      <c r="B84" s="31" t="s">
        <v>269</v>
      </c>
      <c r="C84" s="32" t="s">
        <v>226</v>
      </c>
      <c r="D84" s="31">
        <v>805285</v>
      </c>
      <c r="E84" s="33">
        <v>10</v>
      </c>
      <c r="F84" s="32">
        <v>1</v>
      </c>
      <c r="G84" s="32"/>
      <c r="I84" s="34" t="str">
        <f t="shared" si="11"/>
        <v>·</v>
      </c>
      <c r="J84" s="35">
        <f t="shared" si="12"/>
        <v>1.0141005979249582</v>
      </c>
      <c r="K84" s="35">
        <f t="shared" si="13"/>
        <v>0.97555523820759105</v>
      </c>
      <c r="L84" s="35">
        <f t="shared" si="14"/>
        <v>3.7889691227329457E-2</v>
      </c>
      <c r="M84" s="36"/>
      <c r="N84" s="35">
        <f t="shared" si="15"/>
        <v>1.0141005979249582</v>
      </c>
      <c r="O84" s="37">
        <v>805285</v>
      </c>
      <c r="P84" s="38">
        <v>816640</v>
      </c>
      <c r="Q84" s="38">
        <v>785600</v>
      </c>
      <c r="R84" s="38">
        <v>30512</v>
      </c>
      <c r="S84" s="39"/>
      <c r="T84" s="40">
        <v>33.0364</v>
      </c>
      <c r="U84" s="40">
        <v>45.655500000000004</v>
      </c>
      <c r="V84" s="40">
        <v>45.550699999999999</v>
      </c>
      <c r="W84" s="41"/>
      <c r="X84" s="42"/>
      <c r="Y84" s="42"/>
      <c r="AA84" s="34" t="str">
        <f t="shared" si="16"/>
        <v>·</v>
      </c>
      <c r="AB84" s="35">
        <f t="shared" si="17"/>
        <v>0.99314900935693573</v>
      </c>
      <c r="AC84" s="35">
        <f t="shared" si="18"/>
        <v>0.97555523820759105</v>
      </c>
      <c r="AD84" s="35">
        <f t="shared" si="19"/>
        <v>1.6948037030368131E-2</v>
      </c>
      <c r="AE84" s="36"/>
      <c r="AF84" s="35">
        <f t="shared" si="20"/>
        <v>0.99314900935693573</v>
      </c>
      <c r="AG84" s="37">
        <v>805285</v>
      </c>
      <c r="AH84" s="38">
        <v>799768</v>
      </c>
      <c r="AI84" s="38">
        <v>785600</v>
      </c>
      <c r="AJ84" s="38">
        <v>13648</v>
      </c>
      <c r="AK84" s="39"/>
      <c r="AL84" s="40">
        <v>31.033200000000001</v>
      </c>
      <c r="AM84" s="40">
        <v>43.365600000000001</v>
      </c>
      <c r="AN84" s="40">
        <v>42.8489</v>
      </c>
      <c r="AO84" s="41"/>
      <c r="AP84" s="42"/>
      <c r="AQ84" s="42"/>
      <c r="AS84" s="43">
        <f t="shared" si="21"/>
        <v>2.0294266998871602E-2</v>
      </c>
      <c r="AT84" s="43"/>
      <c r="AV84" s="44"/>
      <c r="AW84" s="44"/>
      <c r="AX84" s="44"/>
      <c r="AY84" s="45"/>
      <c r="BA84" s="44"/>
      <c r="BB84" s="44"/>
      <c r="BC84" s="44"/>
      <c r="BD84" s="45"/>
    </row>
    <row r="85" spans="1:56" outlineLevel="1" x14ac:dyDescent="0.15">
      <c r="A85" s="16"/>
      <c r="B85" s="16" t="s">
        <v>269</v>
      </c>
      <c r="C85" s="17" t="s">
        <v>227</v>
      </c>
      <c r="D85" s="16">
        <v>805285</v>
      </c>
      <c r="E85" s="18">
        <v>10</v>
      </c>
      <c r="F85" s="17">
        <v>1</v>
      </c>
      <c r="G85" s="17"/>
      <c r="I85" s="19" t="str">
        <f t="shared" si="11"/>
        <v>·</v>
      </c>
      <c r="J85" s="20">
        <f t="shared" si="12"/>
        <v>1.0680243640450275</v>
      </c>
      <c r="K85" s="20">
        <f t="shared" si="13"/>
        <v>0.97555523820759105</v>
      </c>
      <c r="L85" s="20">
        <f t="shared" si="14"/>
        <v>9.181345734739875E-2</v>
      </c>
      <c r="M85" s="21"/>
      <c r="N85" s="20">
        <f t="shared" si="15"/>
        <v>1.0680243640450275</v>
      </c>
      <c r="O85" s="22">
        <v>805285</v>
      </c>
      <c r="P85" s="23">
        <v>860064</v>
      </c>
      <c r="Q85" s="23">
        <v>785600</v>
      </c>
      <c r="R85" s="23">
        <v>73936</v>
      </c>
      <c r="S85" s="24"/>
      <c r="T85" s="25">
        <v>35.524099999999997</v>
      </c>
      <c r="U85" s="25">
        <v>47.645000000000003</v>
      </c>
      <c r="V85" s="25">
        <v>47.779899999999998</v>
      </c>
      <c r="W85" s="26"/>
      <c r="X85" s="27"/>
      <c r="Y85" s="27"/>
      <c r="AA85" s="19" t="str">
        <f t="shared" si="16"/>
        <v>·</v>
      </c>
      <c r="AB85" s="20">
        <f t="shared" si="17"/>
        <v>1.0244124750864601</v>
      </c>
      <c r="AC85" s="20">
        <f t="shared" si="18"/>
        <v>0.97555523820759105</v>
      </c>
      <c r="AD85" s="20">
        <f t="shared" si="19"/>
        <v>4.8211502759892458E-2</v>
      </c>
      <c r="AE85" s="21"/>
      <c r="AF85" s="20">
        <f t="shared" si="20"/>
        <v>1.0244124750864601</v>
      </c>
      <c r="AG85" s="22">
        <v>805285</v>
      </c>
      <c r="AH85" s="23">
        <v>824944</v>
      </c>
      <c r="AI85" s="23">
        <v>785600</v>
      </c>
      <c r="AJ85" s="23">
        <v>38824</v>
      </c>
      <c r="AK85" s="24"/>
      <c r="AL85" s="25">
        <v>33.292000000000002</v>
      </c>
      <c r="AM85" s="25">
        <v>45.629100000000001</v>
      </c>
      <c r="AN85" s="25">
        <v>45.433799999999998</v>
      </c>
      <c r="AO85" s="26"/>
      <c r="AP85" s="27"/>
      <c r="AQ85" s="27"/>
      <c r="AS85" s="28">
        <f t="shared" si="21"/>
        <v>3.8886669070085089E-2</v>
      </c>
      <c r="AT85" s="28"/>
      <c r="AV85" s="29"/>
      <c r="AW85" s="29"/>
      <c r="AX85" s="29"/>
      <c r="AY85" s="30"/>
      <c r="BA85" s="29"/>
      <c r="BB85" s="29"/>
      <c r="BC85" s="29"/>
      <c r="BD85" s="30"/>
    </row>
    <row r="86" spans="1:56" outlineLevel="1" x14ac:dyDescent="0.15">
      <c r="A86" s="31"/>
      <c r="B86" s="31" t="s">
        <v>269</v>
      </c>
      <c r="C86" s="32" t="s">
        <v>228</v>
      </c>
      <c r="D86" s="31">
        <v>805285</v>
      </c>
      <c r="E86" s="33">
        <v>10</v>
      </c>
      <c r="F86" s="32">
        <v>1</v>
      </c>
      <c r="G86" s="32"/>
      <c r="I86" s="34" t="str">
        <f t="shared" si="11"/>
        <v>·</v>
      </c>
      <c r="J86" s="35">
        <f t="shared" si="12"/>
        <v>1.1749380654054156</v>
      </c>
      <c r="K86" s="35">
        <f t="shared" si="13"/>
        <v>0.97555523820759105</v>
      </c>
      <c r="L86" s="35">
        <f t="shared" si="14"/>
        <v>0.19872715870778668</v>
      </c>
      <c r="M86" s="36"/>
      <c r="N86" s="35">
        <f t="shared" si="15"/>
        <v>1.1749380654054156</v>
      </c>
      <c r="O86" s="37">
        <v>805285</v>
      </c>
      <c r="P86" s="38">
        <v>946160</v>
      </c>
      <c r="Q86" s="38">
        <v>785600</v>
      </c>
      <c r="R86" s="38">
        <v>160032</v>
      </c>
      <c r="S86" s="39"/>
      <c r="T86" s="40">
        <v>38.1935</v>
      </c>
      <c r="U86" s="40">
        <v>49.311399999999999</v>
      </c>
      <c r="V86" s="40">
        <v>49.587699999999998</v>
      </c>
      <c r="W86" s="41"/>
      <c r="X86" s="42"/>
      <c r="Y86" s="42"/>
      <c r="AA86" s="34" t="str">
        <f t="shared" si="16"/>
        <v>·</v>
      </c>
      <c r="AB86" s="35">
        <f t="shared" si="17"/>
        <v>1.1032317750858391</v>
      </c>
      <c r="AC86" s="35">
        <f t="shared" si="18"/>
        <v>0.97555523820759105</v>
      </c>
      <c r="AD86" s="35">
        <f t="shared" si="19"/>
        <v>0.12703080275927156</v>
      </c>
      <c r="AE86" s="36"/>
      <c r="AF86" s="35">
        <f t="shared" si="20"/>
        <v>1.1032317750858391</v>
      </c>
      <c r="AG86" s="37">
        <v>805285</v>
      </c>
      <c r="AH86" s="38">
        <v>888416</v>
      </c>
      <c r="AI86" s="38">
        <v>785600</v>
      </c>
      <c r="AJ86" s="38">
        <v>102296</v>
      </c>
      <c r="AK86" s="39"/>
      <c r="AL86" s="40">
        <v>36.156500000000001</v>
      </c>
      <c r="AM86" s="40">
        <v>47.525199999999998</v>
      </c>
      <c r="AN86" s="40">
        <v>47.555799999999998</v>
      </c>
      <c r="AO86" s="41"/>
      <c r="AP86" s="42"/>
      <c r="AQ86" s="42"/>
      <c r="AS86" s="43">
        <f t="shared" si="21"/>
        <v>5.3966889128569284E-2</v>
      </c>
      <c r="AT86" s="43"/>
      <c r="AV86" s="44"/>
      <c r="AW86" s="44"/>
      <c r="AX86" s="44"/>
      <c r="AY86" s="45"/>
      <c r="BA86" s="44"/>
      <c r="BB86" s="44"/>
      <c r="BC86" s="44"/>
      <c r="BD86" s="45"/>
    </row>
    <row r="87" spans="1:56" outlineLevel="1" x14ac:dyDescent="0.15">
      <c r="A87" s="16"/>
      <c r="B87" s="16" t="s">
        <v>269</v>
      </c>
      <c r="C87" s="17" t="s">
        <v>229</v>
      </c>
      <c r="D87" s="16">
        <v>805285</v>
      </c>
      <c r="E87" s="18">
        <v>10</v>
      </c>
      <c r="F87" s="17">
        <v>1</v>
      </c>
      <c r="G87" s="17"/>
      <c r="I87" s="19" t="str">
        <f t="shared" si="11"/>
        <v>·</v>
      </c>
      <c r="J87" s="20">
        <f t="shared" si="12"/>
        <v>1.3882985526863161</v>
      </c>
      <c r="K87" s="20">
        <f t="shared" si="13"/>
        <v>0.97555523820759105</v>
      </c>
      <c r="L87" s="20">
        <f t="shared" si="14"/>
        <v>0.41208764598868725</v>
      </c>
      <c r="M87" s="21"/>
      <c r="N87" s="20">
        <f t="shared" si="15"/>
        <v>1.3882985526863161</v>
      </c>
      <c r="O87" s="22">
        <v>805285</v>
      </c>
      <c r="P87" s="23">
        <v>1117976</v>
      </c>
      <c r="Q87" s="23">
        <v>785600</v>
      </c>
      <c r="R87" s="23">
        <v>331848</v>
      </c>
      <c r="S87" s="24"/>
      <c r="T87" s="25">
        <v>40.988</v>
      </c>
      <c r="U87" s="25">
        <v>50.909599999999998</v>
      </c>
      <c r="V87" s="25">
        <v>51.244</v>
      </c>
      <c r="W87" s="26"/>
      <c r="X87" s="27"/>
      <c r="Y87" s="27"/>
      <c r="AA87" s="19" t="str">
        <f t="shared" si="16"/>
        <v>·</v>
      </c>
      <c r="AB87" s="20">
        <f t="shared" si="17"/>
        <v>1.2811563607915211</v>
      </c>
      <c r="AC87" s="20">
        <f t="shared" si="18"/>
        <v>0.97555523820759105</v>
      </c>
      <c r="AD87" s="20">
        <f t="shared" si="19"/>
        <v>0.3049553884649534</v>
      </c>
      <c r="AE87" s="21"/>
      <c r="AF87" s="20">
        <f t="shared" si="20"/>
        <v>1.2811563607915211</v>
      </c>
      <c r="AG87" s="22">
        <v>805285</v>
      </c>
      <c r="AH87" s="23">
        <v>1031696</v>
      </c>
      <c r="AI87" s="23">
        <v>785600</v>
      </c>
      <c r="AJ87" s="23">
        <v>245576</v>
      </c>
      <c r="AK87" s="24"/>
      <c r="AL87" s="25">
        <v>39.639899999999997</v>
      </c>
      <c r="AM87" s="25">
        <v>49.327300000000001</v>
      </c>
      <c r="AN87" s="25">
        <v>49.5627</v>
      </c>
      <c r="AO87" s="26"/>
      <c r="AP87" s="27"/>
      <c r="AQ87" s="27"/>
      <c r="AS87" s="28">
        <f t="shared" si="21"/>
        <v>5.8766169574783755E-2</v>
      </c>
      <c r="AT87" s="28"/>
      <c r="AV87" s="29"/>
      <c r="AW87" s="29"/>
      <c r="AX87" s="29"/>
      <c r="AY87" s="30"/>
      <c r="BA87" s="29"/>
      <c r="BB87" s="29"/>
      <c r="BC87" s="29"/>
      <c r="BD87" s="30"/>
    </row>
    <row r="88" spans="1:56" outlineLevel="1" x14ac:dyDescent="0.15">
      <c r="A88" s="31"/>
      <c r="B88" s="46" t="s">
        <v>269</v>
      </c>
      <c r="C88" s="47" t="s">
        <v>230</v>
      </c>
      <c r="D88" s="46">
        <v>805285</v>
      </c>
      <c r="E88" s="48">
        <v>10</v>
      </c>
      <c r="F88" s="47">
        <v>1</v>
      </c>
      <c r="G88" s="47"/>
      <c r="I88" s="49" t="str">
        <f t="shared" si="11"/>
        <v>·</v>
      </c>
      <c r="J88" s="50">
        <f t="shared" si="12"/>
        <v>1.8116716442005005</v>
      </c>
      <c r="K88" s="50">
        <f t="shared" si="13"/>
        <v>0.97555523820759105</v>
      </c>
      <c r="L88" s="50">
        <f t="shared" si="14"/>
        <v>0.83546073750287164</v>
      </c>
      <c r="M88" s="51"/>
      <c r="N88" s="50">
        <f t="shared" si="15"/>
        <v>1.8116716442005005</v>
      </c>
      <c r="O88" s="52">
        <v>805285</v>
      </c>
      <c r="P88" s="53">
        <v>1458912</v>
      </c>
      <c r="Q88" s="53">
        <v>785600</v>
      </c>
      <c r="R88" s="53">
        <v>672784</v>
      </c>
      <c r="S88" s="54"/>
      <c r="T88" s="55">
        <v>44.211799999999997</v>
      </c>
      <c r="U88" s="55">
        <v>52.439300000000003</v>
      </c>
      <c r="V88" s="55">
        <v>52.683500000000002</v>
      </c>
      <c r="W88" s="56"/>
      <c r="X88" s="57"/>
      <c r="Y88" s="57"/>
      <c r="AA88" s="49" t="str">
        <f t="shared" si="16"/>
        <v>·</v>
      </c>
      <c r="AB88" s="50">
        <f t="shared" si="17"/>
        <v>1.5992251190572282</v>
      </c>
      <c r="AC88" s="50">
        <f t="shared" si="18"/>
        <v>0.97555523820759105</v>
      </c>
      <c r="AD88" s="50">
        <f t="shared" si="19"/>
        <v>0.62302414673066053</v>
      </c>
      <c r="AE88" s="51"/>
      <c r="AF88" s="50">
        <f t="shared" si="20"/>
        <v>1.5992251190572282</v>
      </c>
      <c r="AG88" s="52">
        <v>805285</v>
      </c>
      <c r="AH88" s="53">
        <v>1287832</v>
      </c>
      <c r="AI88" s="53">
        <v>785600</v>
      </c>
      <c r="AJ88" s="53">
        <v>501712</v>
      </c>
      <c r="AK88" s="54"/>
      <c r="AL88" s="55">
        <v>43.12</v>
      </c>
      <c r="AM88" s="55">
        <v>50.878300000000003</v>
      </c>
      <c r="AN88" s="55">
        <v>51.2393</v>
      </c>
      <c r="AO88" s="56"/>
      <c r="AP88" s="57"/>
      <c r="AQ88" s="57"/>
      <c r="AS88" s="58">
        <f t="shared" si="21"/>
        <v>7.1533983077769481E-2</v>
      </c>
      <c r="AT88" s="58"/>
      <c r="AV88" s="59"/>
      <c r="AW88" s="59"/>
      <c r="AX88" s="59"/>
      <c r="AY88" s="60"/>
      <c r="BA88" s="59"/>
      <c r="BB88" s="59"/>
      <c r="BC88" s="59"/>
      <c r="BD88" s="60"/>
    </row>
    <row r="89" spans="1:56" collapsed="1" x14ac:dyDescent="0.15">
      <c r="A89" s="16"/>
      <c r="B89" s="16" t="s">
        <v>272</v>
      </c>
      <c r="C89" s="17" t="s">
        <v>225</v>
      </c>
      <c r="D89" s="16">
        <v>1000993</v>
      </c>
      <c r="E89" s="18">
        <v>10</v>
      </c>
      <c r="F89" s="17">
        <v>1</v>
      </c>
      <c r="G89" s="17"/>
      <c r="I89" s="19" t="str">
        <f t="shared" si="11"/>
        <v>·</v>
      </c>
      <c r="J89" s="20">
        <f t="shared" si="12"/>
        <v>0.80835730119990845</v>
      </c>
      <c r="K89" s="20">
        <f t="shared" si="13"/>
        <v>0.77826718068957523</v>
      </c>
      <c r="L89" s="20">
        <f t="shared" si="14"/>
        <v>2.9554652230335276E-2</v>
      </c>
      <c r="M89" s="21"/>
      <c r="N89" s="20">
        <f t="shared" si="15"/>
        <v>0.80835730119990845</v>
      </c>
      <c r="O89" s="22">
        <v>1000993</v>
      </c>
      <c r="P89" s="23">
        <v>809160</v>
      </c>
      <c r="Q89" s="23">
        <v>779040</v>
      </c>
      <c r="R89" s="23">
        <v>29584</v>
      </c>
      <c r="S89" s="24"/>
      <c r="T89" s="25">
        <v>30.487300000000001</v>
      </c>
      <c r="U89" s="25">
        <v>37.254100000000001</v>
      </c>
      <c r="V89" s="25">
        <v>37.895400000000002</v>
      </c>
      <c r="W89" s="26"/>
      <c r="X89" s="27"/>
      <c r="Y89" s="27"/>
      <c r="AA89" s="19" t="str">
        <f t="shared" si="16"/>
        <v>·</v>
      </c>
      <c r="AB89" s="20">
        <f t="shared" si="17"/>
        <v>0.79648908633726712</v>
      </c>
      <c r="AC89" s="20">
        <f t="shared" si="18"/>
        <v>0.77826718068957523</v>
      </c>
      <c r="AD89" s="20">
        <f t="shared" si="19"/>
        <v>1.7694429431574447E-2</v>
      </c>
      <c r="AE89" s="21"/>
      <c r="AF89" s="20">
        <f t="shared" si="20"/>
        <v>0.79648908633726712</v>
      </c>
      <c r="AG89" s="22">
        <v>1000993</v>
      </c>
      <c r="AH89" s="23">
        <v>797280</v>
      </c>
      <c r="AI89" s="23">
        <v>779040</v>
      </c>
      <c r="AJ89" s="23">
        <v>17712</v>
      </c>
      <c r="AK89" s="24"/>
      <c r="AL89" s="25">
        <v>28.674600000000002</v>
      </c>
      <c r="AM89" s="25">
        <v>36.152099999999997</v>
      </c>
      <c r="AN89" s="25">
        <v>35.232399999999998</v>
      </c>
      <c r="AO89" s="26"/>
      <c r="AP89" s="27"/>
      <c r="AQ89" s="27"/>
      <c r="AS89" s="28">
        <f t="shared" si="21"/>
        <v>1.4346003164429466E-2</v>
      </c>
      <c r="AT89" s="28">
        <f t="array" ref="AT89">AVERAGE(AI89:AI94/AH89:AH94) - AVERAGE(Q89:Q94/P89:P94)</f>
        <v>5.1440607225237134E-2</v>
      </c>
      <c r="AV89" s="29">
        <f>IF( OR(ISBLANK(R89:R94),ISBLANK(AJ89:AJ94), ISBLANK(T89:T94),ISBLANK(AL89:AL94)), "·", bdRateExtend( R89:R94,T89:T94, AJ89:AJ94,AL89:AL94))</f>
        <v>2.6954934598643732E-2</v>
      </c>
      <c r="AW89" s="29">
        <f>IF( OR(ISBLANK(R89:R94),ISBLANK(AJ89:AJ94), ISBLANK(U89:U94),ISBLANK(AM89:AM94)), "·", bdRateExtend( R89:R94,U89:U94, AJ89:AJ94,AM89:AM94))</f>
        <v>0.21452058315790068</v>
      </c>
      <c r="AX89" s="29">
        <f>IF( OR(ISBLANK(R89:R94),ISBLANK(AJ89:AJ94), ISBLANK(V89:V94),ISBLANK(AN89:AN94)), "·", bdRateExtend( R89:R94,V89:V94, AJ89:AJ94,AN89:AN94))</f>
        <v>0.21320763025176848</v>
      </c>
      <c r="AY89" s="30"/>
      <c r="BA89" s="29">
        <f>IF( OR(ISBLANK(P89:P94),ISBLANK(AH89:AH94), ISBLANK(T89:T94),ISBLANK(AL89:AL94)), "·", bdRateExtend( P89:P94,T89:T94, AH89:AH94,AL89:AL94))</f>
        <v>-1.9106129226410529E-3</v>
      </c>
      <c r="BB89" s="29">
        <f>IF( OR(ISBLANK(P89:P94),ISBLANK(AH89:AH94), ISBLANK(U89:U94),ISBLANK(AM89:AM94)), "·", bdRateExtend( P89:P94,U89:U94, AH89:AH94,AM89:AM94))</f>
        <v>3.627775808712741E-2</v>
      </c>
      <c r="BC89" s="29">
        <f>IF( OR(ISBLANK(P89:P94),ISBLANK(AH89:AH94), ISBLANK(V89:V94),ISBLANK(AN89:AN94)), "·", bdRateExtend( P89:P94,V89:V94, AH89:AH94,AN89:AN94))</f>
        <v>3.8166556105726279E-2</v>
      </c>
      <c r="BD89" s="30"/>
    </row>
    <row r="90" spans="1:56" outlineLevel="1" x14ac:dyDescent="0.15">
      <c r="A90" s="31"/>
      <c r="B90" s="31" t="s">
        <v>272</v>
      </c>
      <c r="C90" s="32" t="s">
        <v>226</v>
      </c>
      <c r="D90" s="31">
        <v>1000993</v>
      </c>
      <c r="E90" s="33">
        <v>10</v>
      </c>
      <c r="F90" s="32">
        <v>1</v>
      </c>
      <c r="G90" s="32"/>
      <c r="I90" s="34" t="str">
        <f t="shared" si="11"/>
        <v>·</v>
      </c>
      <c r="J90" s="35">
        <f t="shared" si="12"/>
        <v>0.83578606443801307</v>
      </c>
      <c r="K90" s="35">
        <f t="shared" si="13"/>
        <v>0.77826718068957523</v>
      </c>
      <c r="L90" s="35">
        <f t="shared" si="14"/>
        <v>5.6983415468439838E-2</v>
      </c>
      <c r="M90" s="36"/>
      <c r="N90" s="35">
        <f t="shared" si="15"/>
        <v>0.83578606443801307</v>
      </c>
      <c r="O90" s="37">
        <v>1000993</v>
      </c>
      <c r="P90" s="38">
        <v>836616</v>
      </c>
      <c r="Q90" s="38">
        <v>779040</v>
      </c>
      <c r="R90" s="38">
        <v>57040</v>
      </c>
      <c r="S90" s="39"/>
      <c r="T90" s="40">
        <v>32.539200000000001</v>
      </c>
      <c r="U90" s="40">
        <v>40.748600000000003</v>
      </c>
      <c r="V90" s="40">
        <v>40.135199999999998</v>
      </c>
      <c r="W90" s="41"/>
      <c r="X90" s="42"/>
      <c r="Y90" s="42"/>
      <c r="AA90" s="34" t="str">
        <f t="shared" si="16"/>
        <v>·</v>
      </c>
      <c r="AB90" s="35">
        <f t="shared" si="17"/>
        <v>0.81411957925779699</v>
      </c>
      <c r="AC90" s="35">
        <f t="shared" si="18"/>
        <v>0.77826718068957523</v>
      </c>
      <c r="AD90" s="35">
        <f t="shared" si="19"/>
        <v>3.5324922352104361E-2</v>
      </c>
      <c r="AE90" s="36"/>
      <c r="AF90" s="35">
        <f t="shared" si="20"/>
        <v>0.81411957925779699</v>
      </c>
      <c r="AG90" s="37">
        <v>1000993</v>
      </c>
      <c r="AH90" s="38">
        <v>814928</v>
      </c>
      <c r="AI90" s="38">
        <v>779040</v>
      </c>
      <c r="AJ90" s="38">
        <v>35360</v>
      </c>
      <c r="AK90" s="39"/>
      <c r="AL90" s="40">
        <v>30.703199999999999</v>
      </c>
      <c r="AM90" s="40">
        <v>38.224800000000002</v>
      </c>
      <c r="AN90" s="40">
        <v>37.848500000000001</v>
      </c>
      <c r="AO90" s="41"/>
      <c r="AP90" s="42"/>
      <c r="AQ90" s="42"/>
      <c r="AS90" s="43">
        <f t="shared" si="21"/>
        <v>2.4781857523324513E-2</v>
      </c>
      <c r="AT90" s="43"/>
      <c r="AV90" s="44"/>
      <c r="AW90" s="44"/>
      <c r="AX90" s="44"/>
      <c r="AY90" s="45"/>
      <c r="BA90" s="44"/>
      <c r="BB90" s="44"/>
      <c r="BC90" s="44"/>
      <c r="BD90" s="45"/>
    </row>
    <row r="91" spans="1:56" outlineLevel="1" x14ac:dyDescent="0.15">
      <c r="A91" s="16"/>
      <c r="B91" s="16" t="s">
        <v>272</v>
      </c>
      <c r="C91" s="17" t="s">
        <v>227</v>
      </c>
      <c r="D91" s="16">
        <v>1000993</v>
      </c>
      <c r="E91" s="18">
        <v>10</v>
      </c>
      <c r="F91" s="17">
        <v>1</v>
      </c>
      <c r="G91" s="17"/>
      <c r="I91" s="19" t="str">
        <f t="shared" si="11"/>
        <v>·</v>
      </c>
      <c r="J91" s="20">
        <f t="shared" si="12"/>
        <v>0.90810625049326021</v>
      </c>
      <c r="K91" s="20">
        <f t="shared" si="13"/>
        <v>0.77826718068957523</v>
      </c>
      <c r="L91" s="20">
        <f t="shared" si="14"/>
        <v>0.12930360152368697</v>
      </c>
      <c r="M91" s="21"/>
      <c r="N91" s="20">
        <f t="shared" si="15"/>
        <v>0.90810625049326021</v>
      </c>
      <c r="O91" s="22">
        <v>1000993</v>
      </c>
      <c r="P91" s="23">
        <v>909008</v>
      </c>
      <c r="Q91" s="23">
        <v>779040</v>
      </c>
      <c r="R91" s="23">
        <v>129432</v>
      </c>
      <c r="S91" s="24"/>
      <c r="T91" s="25">
        <v>34.912799999999997</v>
      </c>
      <c r="U91" s="25">
        <v>43.143500000000003</v>
      </c>
      <c r="V91" s="25">
        <v>42.551099999999998</v>
      </c>
      <c r="W91" s="26"/>
      <c r="X91" s="27"/>
      <c r="Y91" s="27"/>
      <c r="AA91" s="19" t="str">
        <f t="shared" si="16"/>
        <v>·</v>
      </c>
      <c r="AB91" s="20">
        <f t="shared" si="17"/>
        <v>0.86124078789761771</v>
      </c>
      <c r="AC91" s="20">
        <f t="shared" si="18"/>
        <v>0.77826718068957523</v>
      </c>
      <c r="AD91" s="20">
        <f t="shared" si="19"/>
        <v>8.2446130991925021E-2</v>
      </c>
      <c r="AE91" s="21"/>
      <c r="AF91" s="20">
        <f t="shared" si="20"/>
        <v>0.86124078789761771</v>
      </c>
      <c r="AG91" s="22">
        <v>1000993</v>
      </c>
      <c r="AH91" s="23">
        <v>862096</v>
      </c>
      <c r="AI91" s="23">
        <v>779040</v>
      </c>
      <c r="AJ91" s="23">
        <v>82528</v>
      </c>
      <c r="AK91" s="24"/>
      <c r="AL91" s="25">
        <v>33.334000000000003</v>
      </c>
      <c r="AM91" s="25">
        <v>40.9086</v>
      </c>
      <c r="AN91" s="25">
        <v>40.590000000000003</v>
      </c>
      <c r="AO91" s="26"/>
      <c r="AP91" s="27"/>
      <c r="AQ91" s="27"/>
      <c r="AS91" s="28">
        <f t="shared" si="21"/>
        <v>4.6635900862167734E-2</v>
      </c>
      <c r="AT91" s="28"/>
      <c r="AV91" s="29"/>
      <c r="AW91" s="29"/>
      <c r="AX91" s="29"/>
      <c r="AY91" s="30"/>
      <c r="BA91" s="29"/>
      <c r="BB91" s="29"/>
      <c r="BC91" s="29"/>
      <c r="BD91" s="30"/>
    </row>
    <row r="92" spans="1:56" outlineLevel="1" x14ac:dyDescent="0.15">
      <c r="A92" s="31"/>
      <c r="B92" s="31" t="s">
        <v>272</v>
      </c>
      <c r="C92" s="32" t="s">
        <v>228</v>
      </c>
      <c r="D92" s="31">
        <v>1000993</v>
      </c>
      <c r="E92" s="33">
        <v>10</v>
      </c>
      <c r="F92" s="32">
        <v>1</v>
      </c>
      <c r="G92" s="32"/>
      <c r="I92" s="34" t="str">
        <f t="shared" si="11"/>
        <v>·</v>
      </c>
      <c r="J92" s="35">
        <f t="shared" si="12"/>
        <v>1.0597556626270115</v>
      </c>
      <c r="K92" s="35">
        <f t="shared" si="13"/>
        <v>0.77826718068957523</v>
      </c>
      <c r="L92" s="35">
        <f t="shared" si="14"/>
        <v>0.28095301365743819</v>
      </c>
      <c r="M92" s="36"/>
      <c r="N92" s="35">
        <f t="shared" si="15"/>
        <v>1.0597556626270115</v>
      </c>
      <c r="O92" s="37">
        <v>1000993</v>
      </c>
      <c r="P92" s="38">
        <v>1060808</v>
      </c>
      <c r="Q92" s="38">
        <v>779040</v>
      </c>
      <c r="R92" s="38">
        <v>281232</v>
      </c>
      <c r="S92" s="39"/>
      <c r="T92" s="40">
        <v>37.705300000000001</v>
      </c>
      <c r="U92" s="40">
        <v>45.382899999999999</v>
      </c>
      <c r="V92" s="40">
        <v>45.035600000000002</v>
      </c>
      <c r="W92" s="41"/>
      <c r="X92" s="42"/>
      <c r="Y92" s="42"/>
      <c r="AA92" s="34" t="str">
        <f t="shared" si="16"/>
        <v>·</v>
      </c>
      <c r="AB92" s="35">
        <f t="shared" si="17"/>
        <v>0.96588088028587615</v>
      </c>
      <c r="AC92" s="35">
        <f t="shared" si="18"/>
        <v>0.77826718068957523</v>
      </c>
      <c r="AD92" s="35">
        <f t="shared" si="19"/>
        <v>0.18708622338018346</v>
      </c>
      <c r="AE92" s="36"/>
      <c r="AF92" s="35">
        <f t="shared" si="20"/>
        <v>0.96588088028587615</v>
      </c>
      <c r="AG92" s="37">
        <v>1000993</v>
      </c>
      <c r="AH92" s="38">
        <v>966840</v>
      </c>
      <c r="AI92" s="38">
        <v>779040</v>
      </c>
      <c r="AJ92" s="38">
        <v>187272</v>
      </c>
      <c r="AK92" s="39"/>
      <c r="AL92" s="40">
        <v>36.107599999999998</v>
      </c>
      <c r="AM92" s="40">
        <v>43.569699999999997</v>
      </c>
      <c r="AN92" s="40">
        <v>43.173400000000001</v>
      </c>
      <c r="AO92" s="41"/>
      <c r="AP92" s="42"/>
      <c r="AQ92" s="42"/>
      <c r="AS92" s="43">
        <f t="shared" si="21"/>
        <v>7.1375365423956838E-2</v>
      </c>
      <c r="AT92" s="43"/>
      <c r="AV92" s="44"/>
      <c r="AW92" s="44"/>
      <c r="AX92" s="44"/>
      <c r="AY92" s="45"/>
      <c r="BA92" s="44"/>
      <c r="BB92" s="44"/>
      <c r="BC92" s="44"/>
      <c r="BD92" s="45"/>
    </row>
    <row r="93" spans="1:56" outlineLevel="1" x14ac:dyDescent="0.15">
      <c r="A93" s="16"/>
      <c r="B93" s="16" t="s">
        <v>272</v>
      </c>
      <c r="C93" s="17" t="s">
        <v>229</v>
      </c>
      <c r="D93" s="16">
        <v>1000993</v>
      </c>
      <c r="E93" s="18">
        <v>10</v>
      </c>
      <c r="F93" s="17">
        <v>1</v>
      </c>
      <c r="G93" s="17"/>
      <c r="I93" s="19" t="str">
        <f t="shared" si="11"/>
        <v>·</v>
      </c>
      <c r="J93" s="20">
        <f t="shared" si="12"/>
        <v>1.3516737879285869</v>
      </c>
      <c r="K93" s="20">
        <f t="shared" si="13"/>
        <v>0.77826718068957523</v>
      </c>
      <c r="L93" s="20">
        <f t="shared" si="14"/>
        <v>0.57287113895901365</v>
      </c>
      <c r="M93" s="21"/>
      <c r="N93" s="20">
        <f t="shared" si="15"/>
        <v>1.3516737879285869</v>
      </c>
      <c r="O93" s="22">
        <v>1000993</v>
      </c>
      <c r="P93" s="23">
        <v>1353016</v>
      </c>
      <c r="Q93" s="23">
        <v>779040</v>
      </c>
      <c r="R93" s="23">
        <v>573440</v>
      </c>
      <c r="S93" s="24"/>
      <c r="T93" s="25">
        <v>40.668199999999999</v>
      </c>
      <c r="U93" s="25">
        <v>47.529400000000003</v>
      </c>
      <c r="V93" s="25">
        <v>47.119</v>
      </c>
      <c r="W93" s="26"/>
      <c r="X93" s="27"/>
      <c r="Y93" s="27"/>
      <c r="AA93" s="19" t="str">
        <f t="shared" si="16"/>
        <v>·</v>
      </c>
      <c r="AB93" s="20">
        <f t="shared" si="17"/>
        <v>1.1953889787441072</v>
      </c>
      <c r="AC93" s="20">
        <f t="shared" si="18"/>
        <v>0.77826718068957523</v>
      </c>
      <c r="AD93" s="20">
        <f t="shared" si="19"/>
        <v>0.41659432183841444</v>
      </c>
      <c r="AE93" s="21"/>
      <c r="AF93" s="20">
        <f t="shared" si="20"/>
        <v>1.1953889787441072</v>
      </c>
      <c r="AG93" s="22">
        <v>1000993</v>
      </c>
      <c r="AH93" s="23">
        <v>1196576</v>
      </c>
      <c r="AI93" s="23">
        <v>779040</v>
      </c>
      <c r="AJ93" s="23">
        <v>417008</v>
      </c>
      <c r="AK93" s="24"/>
      <c r="AL93" s="25">
        <v>39.404200000000003</v>
      </c>
      <c r="AM93" s="25">
        <v>46.068399999999997</v>
      </c>
      <c r="AN93" s="25">
        <v>45.642000000000003</v>
      </c>
      <c r="AO93" s="26"/>
      <c r="AP93" s="27"/>
      <c r="AQ93" s="27"/>
      <c r="AS93" s="28">
        <f t="shared" si="21"/>
        <v>7.5277353836013194E-2</v>
      </c>
      <c r="AT93" s="28"/>
      <c r="AV93" s="29"/>
      <c r="AW93" s="29"/>
      <c r="AX93" s="29"/>
      <c r="AY93" s="30"/>
      <c r="BA93" s="29"/>
      <c r="BB93" s="29"/>
      <c r="BC93" s="29"/>
      <c r="BD93" s="30"/>
    </row>
    <row r="94" spans="1:56" outlineLevel="1" x14ac:dyDescent="0.15">
      <c r="A94" s="31"/>
      <c r="B94" s="46" t="s">
        <v>272</v>
      </c>
      <c r="C94" s="47" t="s">
        <v>230</v>
      </c>
      <c r="D94" s="46">
        <v>1000993</v>
      </c>
      <c r="E94" s="48">
        <v>10</v>
      </c>
      <c r="F94" s="47">
        <v>1</v>
      </c>
      <c r="G94" s="47"/>
      <c r="I94" s="49" t="str">
        <f t="shared" si="11"/>
        <v>·</v>
      </c>
      <c r="J94" s="50">
        <f t="shared" si="12"/>
        <v>1.9222831728094003</v>
      </c>
      <c r="K94" s="50">
        <f t="shared" si="13"/>
        <v>0.77826718068957523</v>
      </c>
      <c r="L94" s="50">
        <f t="shared" si="14"/>
        <v>1.1434805238398271</v>
      </c>
      <c r="M94" s="51"/>
      <c r="N94" s="50">
        <f t="shared" si="15"/>
        <v>1.9222831728094003</v>
      </c>
      <c r="O94" s="52">
        <v>1000993</v>
      </c>
      <c r="P94" s="53">
        <v>1924192</v>
      </c>
      <c r="Q94" s="53">
        <v>779040</v>
      </c>
      <c r="R94" s="53">
        <v>1144616</v>
      </c>
      <c r="S94" s="54"/>
      <c r="T94" s="55">
        <v>43.790500000000002</v>
      </c>
      <c r="U94" s="55">
        <v>49.4298</v>
      </c>
      <c r="V94" s="55">
        <v>49.103900000000003</v>
      </c>
      <c r="W94" s="56"/>
      <c r="X94" s="57"/>
      <c r="Y94" s="57"/>
      <c r="AA94" s="49" t="str">
        <f t="shared" si="16"/>
        <v>·</v>
      </c>
      <c r="AB94" s="50">
        <f t="shared" si="17"/>
        <v>1.6177056183210072</v>
      </c>
      <c r="AC94" s="50">
        <f t="shared" si="18"/>
        <v>0.77826718068957523</v>
      </c>
      <c r="AD94" s="50">
        <f t="shared" si="19"/>
        <v>0.83891096141531463</v>
      </c>
      <c r="AE94" s="51"/>
      <c r="AF94" s="50">
        <f t="shared" si="20"/>
        <v>1.6177056183210072</v>
      </c>
      <c r="AG94" s="52">
        <v>1000993</v>
      </c>
      <c r="AH94" s="53">
        <v>1619312</v>
      </c>
      <c r="AI94" s="53">
        <v>779040</v>
      </c>
      <c r="AJ94" s="53">
        <v>839744</v>
      </c>
      <c r="AK94" s="54"/>
      <c r="AL94" s="55">
        <v>42.604599999999998</v>
      </c>
      <c r="AM94" s="55">
        <v>48.145200000000003</v>
      </c>
      <c r="AN94" s="55">
        <v>47.721800000000002</v>
      </c>
      <c r="AO94" s="56"/>
      <c r="AP94" s="57"/>
      <c r="AQ94" s="57"/>
      <c r="AS94" s="58">
        <f t="shared" si="21"/>
        <v>7.6227162541531446E-2</v>
      </c>
      <c r="AT94" s="58"/>
      <c r="AV94" s="59"/>
      <c r="AW94" s="59"/>
      <c r="AX94" s="59"/>
      <c r="AY94" s="60"/>
      <c r="BA94" s="59"/>
      <c r="BB94" s="59"/>
      <c r="BC94" s="59"/>
      <c r="BD94" s="60"/>
    </row>
    <row r="95" spans="1:56" collapsed="1" x14ac:dyDescent="0.15">
      <c r="A95" s="16"/>
      <c r="B95" s="16" t="s">
        <v>275</v>
      </c>
      <c r="C95" s="17" t="s">
        <v>225</v>
      </c>
      <c r="D95" s="16">
        <v>2770567</v>
      </c>
      <c r="E95" s="18">
        <v>12</v>
      </c>
      <c r="F95" s="17">
        <v>1</v>
      </c>
      <c r="G95" s="17"/>
      <c r="I95" s="19" t="str">
        <f t="shared" si="11"/>
        <v>·</v>
      </c>
      <c r="J95" s="20">
        <f t="shared" si="12"/>
        <v>3.9414141581849491</v>
      </c>
      <c r="K95" s="20">
        <f t="shared" si="13"/>
        <v>3.9133419260389659</v>
      </c>
      <c r="L95" s="20">
        <f t="shared" si="14"/>
        <v>2.774305764848856E-2</v>
      </c>
      <c r="M95" s="21"/>
      <c r="N95" s="20">
        <f t="shared" si="15"/>
        <v>3.9414141581849491</v>
      </c>
      <c r="O95" s="22">
        <v>2770567</v>
      </c>
      <c r="P95" s="23">
        <v>10919952</v>
      </c>
      <c r="Q95" s="23">
        <v>10842176</v>
      </c>
      <c r="R95" s="23">
        <v>76864</v>
      </c>
      <c r="S95" s="24"/>
      <c r="T95" s="25">
        <v>32.878799999999998</v>
      </c>
      <c r="U95" s="25">
        <v>38.601700000000001</v>
      </c>
      <c r="V95" s="25">
        <v>33.201599999999999</v>
      </c>
      <c r="W95" s="26"/>
      <c r="X95" s="27"/>
      <c r="Y95" s="27"/>
      <c r="AA95" s="19" t="str">
        <f t="shared" si="16"/>
        <v>·</v>
      </c>
      <c r="AB95" s="20">
        <f t="shared" si="17"/>
        <v>3.9282500657807589</v>
      </c>
      <c r="AC95" s="20">
        <f t="shared" si="18"/>
        <v>3.9133419260389659</v>
      </c>
      <c r="AD95" s="20">
        <f t="shared" si="19"/>
        <v>1.4581852739890426E-2</v>
      </c>
      <c r="AE95" s="21"/>
      <c r="AF95" s="20">
        <f t="shared" si="20"/>
        <v>3.9282500657807589</v>
      </c>
      <c r="AG95" s="22">
        <v>2770567</v>
      </c>
      <c r="AH95" s="23">
        <v>10883480</v>
      </c>
      <c r="AI95" s="23">
        <v>10842176</v>
      </c>
      <c r="AJ95" s="23">
        <v>40400</v>
      </c>
      <c r="AK95" s="24"/>
      <c r="AL95" s="25">
        <v>30.937999999999999</v>
      </c>
      <c r="AM95" s="25">
        <v>38.28</v>
      </c>
      <c r="AN95" s="25">
        <v>30.476299999999998</v>
      </c>
      <c r="AO95" s="26"/>
      <c r="AP95" s="27"/>
      <c r="AQ95" s="27"/>
      <c r="AS95" s="28">
        <f t="shared" si="21"/>
        <v>3.3272659770625657E-3</v>
      </c>
      <c r="AT95" s="28">
        <f t="array" ref="AT95">AVERAGE(AI95:AI100/AH95:AH100) - AVERAGE(Q95:Q100/P95:P100)</f>
        <v>2.2454005963936097E-2</v>
      </c>
      <c r="AV95" s="29">
        <f>IF( OR(ISBLANK(R95:R100),ISBLANK(AJ95:AJ100), ISBLANK(T95:T100),ISBLANK(AL95:AL100)), "·", bdRateExtend( R95:R100,T95:T100, AJ95:AJ100,AL95:AL100))</f>
        <v>9.9765259453710842E-2</v>
      </c>
      <c r="AW95" s="29">
        <f>IF( OR(ISBLANK(R95:R100),ISBLANK(AJ95:AJ100), ISBLANK(U95:U100),ISBLANK(AM95:AM100)), "·", bdRateExtend( R95:R100,U95:U100, AJ95:AJ100,AM95:AM100))</f>
        <v>0.16922646782607642</v>
      </c>
      <c r="AX95" s="29">
        <f>IF( OR(ISBLANK(R95:R100),ISBLANK(AJ95:AJ100), ISBLANK(V95:V100),ISBLANK(AN95:AN100)), "·", bdRateExtend( R95:R100,V95:V100, AJ95:AJ100,AN95:AN100))</f>
        <v>0.10778258099974258</v>
      </c>
      <c r="AY95" s="30"/>
      <c r="BA95" s="29">
        <f>IF( OR(ISBLANK(P95:P100),ISBLANK(AH95:AH100), ISBLANK(T95:T100),ISBLANK(AL95:AL100)), "·", bdRateExtend( P95:P100,T95:T100, AH95:AH100,AL95:AL100))</f>
        <v>2.5988311042195456E-3</v>
      </c>
      <c r="BB95" s="29">
        <f>IF( OR(ISBLANK(P95:P100),ISBLANK(AH95:AH100), ISBLANK(U95:U100),ISBLANK(AM95:AM100)), "·", bdRateExtend( P95:P100,U95:U100, AH95:AH100,AM95:AM100))</f>
        <v>1.058182432108512E-2</v>
      </c>
      <c r="BC95" s="29">
        <f>IF( OR(ISBLANK(P95:P100),ISBLANK(AH95:AH100), ISBLANK(V95:V100),ISBLANK(AN95:AN100)), "·", bdRateExtend( P95:P100,V95:V100, AH95:AH100,AN95:AN100))</f>
        <v>3.1681952378299627E-3</v>
      </c>
      <c r="BD95" s="30"/>
    </row>
    <row r="96" spans="1:56" outlineLevel="1" x14ac:dyDescent="0.15">
      <c r="A96" s="31"/>
      <c r="B96" s="31" t="s">
        <v>275</v>
      </c>
      <c r="C96" s="32" t="s">
        <v>226</v>
      </c>
      <c r="D96" s="31">
        <v>2770567</v>
      </c>
      <c r="E96" s="33">
        <v>12</v>
      </c>
      <c r="F96" s="32">
        <v>1</v>
      </c>
      <c r="G96" s="32"/>
      <c r="I96" s="34" t="str">
        <f t="shared" si="11"/>
        <v>·</v>
      </c>
      <c r="J96" s="35">
        <f t="shared" si="12"/>
        <v>3.9691514408422535</v>
      </c>
      <c r="K96" s="35">
        <f t="shared" si="13"/>
        <v>3.9133419260389659</v>
      </c>
      <c r="L96" s="35">
        <f t="shared" si="14"/>
        <v>5.5480340305793005E-2</v>
      </c>
      <c r="M96" s="36"/>
      <c r="N96" s="35">
        <f t="shared" si="15"/>
        <v>3.9691514408422535</v>
      </c>
      <c r="O96" s="37">
        <v>2770567</v>
      </c>
      <c r="P96" s="38">
        <v>10996800</v>
      </c>
      <c r="Q96" s="38">
        <v>10842176</v>
      </c>
      <c r="R96" s="38">
        <v>153712</v>
      </c>
      <c r="S96" s="39"/>
      <c r="T96" s="40">
        <v>34.976100000000002</v>
      </c>
      <c r="U96" s="40">
        <v>41.221800000000002</v>
      </c>
      <c r="V96" s="40">
        <v>36.084800000000001</v>
      </c>
      <c r="W96" s="41"/>
      <c r="X96" s="42"/>
      <c r="Y96" s="42"/>
      <c r="AA96" s="34" t="str">
        <f t="shared" si="16"/>
        <v>·</v>
      </c>
      <c r="AB96" s="35">
        <f t="shared" si="17"/>
        <v>3.9441746039709562</v>
      </c>
      <c r="AC96" s="35">
        <f t="shared" si="18"/>
        <v>3.9133419260389659</v>
      </c>
      <c r="AD96" s="35">
        <f t="shared" si="19"/>
        <v>3.0506390930087595E-2</v>
      </c>
      <c r="AE96" s="36"/>
      <c r="AF96" s="35">
        <f t="shared" si="20"/>
        <v>3.9441746039709562</v>
      </c>
      <c r="AG96" s="37">
        <v>2770567</v>
      </c>
      <c r="AH96" s="38">
        <v>10927600</v>
      </c>
      <c r="AI96" s="38">
        <v>10842176</v>
      </c>
      <c r="AJ96" s="38">
        <v>84520</v>
      </c>
      <c r="AK96" s="39"/>
      <c r="AL96" s="40">
        <v>32.753599999999999</v>
      </c>
      <c r="AM96" s="40">
        <v>39.540399999999998</v>
      </c>
      <c r="AN96" s="40">
        <v>33.073700000000002</v>
      </c>
      <c r="AO96" s="41"/>
      <c r="AP96" s="42"/>
      <c r="AQ96" s="42"/>
      <c r="AS96" s="43">
        <f t="shared" si="21"/>
        <v>6.2435476605736673E-3</v>
      </c>
      <c r="AT96" s="43"/>
      <c r="AV96" s="44"/>
      <c r="AW96" s="44"/>
      <c r="AX96" s="44"/>
      <c r="AY96" s="45"/>
      <c r="BA96" s="44"/>
      <c r="BB96" s="44"/>
      <c r="BC96" s="44"/>
      <c r="BD96" s="45"/>
    </row>
    <row r="97" spans="1:56" outlineLevel="1" x14ac:dyDescent="0.15">
      <c r="A97" s="16"/>
      <c r="B97" s="16" t="s">
        <v>275</v>
      </c>
      <c r="C97" s="17" t="s">
        <v>227</v>
      </c>
      <c r="D97" s="16">
        <v>2770567</v>
      </c>
      <c r="E97" s="18">
        <v>12</v>
      </c>
      <c r="F97" s="17">
        <v>1</v>
      </c>
      <c r="G97" s="17"/>
      <c r="I97" s="19" t="str">
        <f t="shared" si="11"/>
        <v>·</v>
      </c>
      <c r="J97" s="20">
        <f t="shared" si="12"/>
        <v>4.0325579565482448</v>
      </c>
      <c r="K97" s="20">
        <f t="shared" si="13"/>
        <v>3.9133419260389659</v>
      </c>
      <c r="L97" s="20">
        <f t="shared" si="14"/>
        <v>0.11888685601178386</v>
      </c>
      <c r="M97" s="21"/>
      <c r="N97" s="20">
        <f t="shared" si="15"/>
        <v>4.0325579565482448</v>
      </c>
      <c r="O97" s="22">
        <v>2770567</v>
      </c>
      <c r="P97" s="23">
        <v>11172472</v>
      </c>
      <c r="Q97" s="23">
        <v>10842176</v>
      </c>
      <c r="R97" s="23">
        <v>329384</v>
      </c>
      <c r="S97" s="24"/>
      <c r="T97" s="25">
        <v>37.420299999999997</v>
      </c>
      <c r="U97" s="25">
        <v>42.778599999999997</v>
      </c>
      <c r="V97" s="25">
        <v>39.142400000000002</v>
      </c>
      <c r="W97" s="26"/>
      <c r="X97" s="27"/>
      <c r="Y97" s="27"/>
      <c r="AA97" s="19" t="str">
        <f t="shared" si="16"/>
        <v>·</v>
      </c>
      <c r="AB97" s="20">
        <f t="shared" si="17"/>
        <v>3.9843858675859489</v>
      </c>
      <c r="AC97" s="20">
        <f t="shared" si="18"/>
        <v>3.9133419260389659</v>
      </c>
      <c r="AD97" s="20">
        <f t="shared" si="19"/>
        <v>7.0717654545080486E-2</v>
      </c>
      <c r="AE97" s="21"/>
      <c r="AF97" s="20">
        <f t="shared" si="20"/>
        <v>3.9843858675859489</v>
      </c>
      <c r="AG97" s="22">
        <v>2770567</v>
      </c>
      <c r="AH97" s="23">
        <v>11039008</v>
      </c>
      <c r="AI97" s="23">
        <v>10842176</v>
      </c>
      <c r="AJ97" s="23">
        <v>195928</v>
      </c>
      <c r="AK97" s="24"/>
      <c r="AL97" s="25">
        <v>35.214500000000001</v>
      </c>
      <c r="AM97" s="25">
        <v>41.226999999999997</v>
      </c>
      <c r="AN97" s="25">
        <v>36.436799999999998</v>
      </c>
      <c r="AO97" s="26"/>
      <c r="AP97" s="27"/>
      <c r="AQ97" s="27"/>
      <c r="AS97" s="28">
        <f t="shared" si="21"/>
        <v>1.1732789166659874E-2</v>
      </c>
      <c r="AT97" s="28"/>
      <c r="AV97" s="29"/>
      <c r="AW97" s="29"/>
      <c r="AX97" s="29"/>
      <c r="AY97" s="30"/>
      <c r="BA97" s="29"/>
      <c r="BB97" s="29"/>
      <c r="BC97" s="29"/>
      <c r="BD97" s="30"/>
    </row>
    <row r="98" spans="1:56" outlineLevel="1" x14ac:dyDescent="0.15">
      <c r="A98" s="31"/>
      <c r="B98" s="31" t="s">
        <v>275</v>
      </c>
      <c r="C98" s="32" t="s">
        <v>228</v>
      </c>
      <c r="D98" s="31">
        <v>2770567</v>
      </c>
      <c r="E98" s="33">
        <v>12</v>
      </c>
      <c r="F98" s="32">
        <v>1</v>
      </c>
      <c r="G98" s="32"/>
      <c r="I98" s="34" t="str">
        <f t="shared" si="11"/>
        <v>·</v>
      </c>
      <c r="J98" s="35">
        <f t="shared" si="12"/>
        <v>4.1677562751595616</v>
      </c>
      <c r="K98" s="35">
        <f t="shared" si="13"/>
        <v>3.9133419260389659</v>
      </c>
      <c r="L98" s="35">
        <f t="shared" si="14"/>
        <v>0.2540851746231006</v>
      </c>
      <c r="M98" s="36"/>
      <c r="N98" s="35">
        <f t="shared" si="15"/>
        <v>4.1677562751595616</v>
      </c>
      <c r="O98" s="37">
        <v>2770567</v>
      </c>
      <c r="P98" s="38">
        <v>11547048</v>
      </c>
      <c r="Q98" s="38">
        <v>10842176</v>
      </c>
      <c r="R98" s="38">
        <v>703960</v>
      </c>
      <c r="S98" s="39"/>
      <c r="T98" s="40">
        <v>39.994100000000003</v>
      </c>
      <c r="U98" s="40">
        <v>44.570700000000002</v>
      </c>
      <c r="V98" s="40">
        <v>42.013500000000001</v>
      </c>
      <c r="W98" s="41"/>
      <c r="X98" s="42"/>
      <c r="Y98" s="42"/>
      <c r="AA98" s="34" t="str">
        <f t="shared" si="16"/>
        <v>·</v>
      </c>
      <c r="AB98" s="35">
        <f t="shared" si="17"/>
        <v>4.0694572627191476</v>
      </c>
      <c r="AC98" s="35">
        <f t="shared" si="18"/>
        <v>3.9133419260389659</v>
      </c>
      <c r="AD98" s="35">
        <f t="shared" si="19"/>
        <v>0.15578904967827886</v>
      </c>
      <c r="AE98" s="36"/>
      <c r="AF98" s="35">
        <f t="shared" si="20"/>
        <v>4.0694572627191476</v>
      </c>
      <c r="AG98" s="37">
        <v>2770567</v>
      </c>
      <c r="AH98" s="38">
        <v>11274704</v>
      </c>
      <c r="AI98" s="38">
        <v>10842176</v>
      </c>
      <c r="AJ98" s="38">
        <v>431624</v>
      </c>
      <c r="AK98" s="39"/>
      <c r="AL98" s="40">
        <v>37.904699999999998</v>
      </c>
      <c r="AM98" s="40">
        <v>42.8401</v>
      </c>
      <c r="AN98" s="40">
        <v>39.731200000000001</v>
      </c>
      <c r="AO98" s="41"/>
      <c r="AP98" s="42"/>
      <c r="AQ98" s="42"/>
      <c r="AS98" s="43">
        <f t="shared" si="21"/>
        <v>2.2680788279057507E-2</v>
      </c>
      <c r="AT98" s="43"/>
      <c r="AV98" s="44"/>
      <c r="AW98" s="44"/>
      <c r="AX98" s="44"/>
      <c r="AY98" s="45"/>
      <c r="BA98" s="44"/>
      <c r="BB98" s="44"/>
      <c r="BC98" s="44"/>
      <c r="BD98" s="45"/>
    </row>
    <row r="99" spans="1:56" outlineLevel="1" x14ac:dyDescent="0.15">
      <c r="A99" s="16"/>
      <c r="B99" s="16" t="s">
        <v>275</v>
      </c>
      <c r="C99" s="17" t="s">
        <v>229</v>
      </c>
      <c r="D99" s="16">
        <v>2770567</v>
      </c>
      <c r="E99" s="18">
        <v>12</v>
      </c>
      <c r="F99" s="17">
        <v>1</v>
      </c>
      <c r="G99" s="17"/>
      <c r="I99" s="19" t="str">
        <f t="shared" si="11"/>
        <v>·</v>
      </c>
      <c r="J99" s="20">
        <f t="shared" si="12"/>
        <v>4.4401048594024255</v>
      </c>
      <c r="K99" s="20">
        <f t="shared" si="13"/>
        <v>3.9133419260389659</v>
      </c>
      <c r="L99" s="20">
        <f t="shared" si="14"/>
        <v>0.526433758865965</v>
      </c>
      <c r="M99" s="21"/>
      <c r="N99" s="20">
        <f t="shared" si="15"/>
        <v>4.4401048594024255</v>
      </c>
      <c r="O99" s="22">
        <v>2770567</v>
      </c>
      <c r="P99" s="23">
        <v>12301608</v>
      </c>
      <c r="Q99" s="23">
        <v>10842176</v>
      </c>
      <c r="R99" s="23">
        <v>1458520</v>
      </c>
      <c r="S99" s="24"/>
      <c r="T99" s="25">
        <v>42.499400000000001</v>
      </c>
      <c r="U99" s="25">
        <v>46.6205</v>
      </c>
      <c r="V99" s="25">
        <v>44.631100000000004</v>
      </c>
      <c r="W99" s="26"/>
      <c r="X99" s="27"/>
      <c r="Y99" s="27"/>
      <c r="AA99" s="19" t="str">
        <f t="shared" si="16"/>
        <v>·</v>
      </c>
      <c r="AB99" s="20">
        <f t="shared" si="17"/>
        <v>4.2685183213400002</v>
      </c>
      <c r="AC99" s="20">
        <f t="shared" si="18"/>
        <v>3.9133419260389659</v>
      </c>
      <c r="AD99" s="20">
        <f t="shared" si="19"/>
        <v>0.35485010829913155</v>
      </c>
      <c r="AE99" s="21"/>
      <c r="AF99" s="20">
        <f t="shared" si="20"/>
        <v>4.2685183213400002</v>
      </c>
      <c r="AG99" s="22">
        <v>2770567</v>
      </c>
      <c r="AH99" s="23">
        <v>11826216</v>
      </c>
      <c r="AI99" s="23">
        <v>10842176</v>
      </c>
      <c r="AJ99" s="23">
        <v>983136</v>
      </c>
      <c r="AK99" s="24"/>
      <c r="AL99" s="25">
        <v>40.9499</v>
      </c>
      <c r="AM99" s="25">
        <v>44.848799999999997</v>
      </c>
      <c r="AN99" s="25">
        <v>43.008499999999998</v>
      </c>
      <c r="AO99" s="26"/>
      <c r="AP99" s="27"/>
      <c r="AQ99" s="27"/>
      <c r="AS99" s="28">
        <f t="shared" si="21"/>
        <v>3.5429141691485588E-2</v>
      </c>
      <c r="AT99" s="28"/>
      <c r="AV99" s="29"/>
      <c r="AW99" s="29"/>
      <c r="AX99" s="29"/>
      <c r="AY99" s="30"/>
      <c r="BA99" s="29"/>
      <c r="BB99" s="29"/>
      <c r="BC99" s="29"/>
      <c r="BD99" s="30"/>
    </row>
    <row r="100" spans="1:56" outlineLevel="1" x14ac:dyDescent="0.15">
      <c r="A100" s="31"/>
      <c r="B100" s="46" t="s">
        <v>275</v>
      </c>
      <c r="C100" s="47" t="s">
        <v>230</v>
      </c>
      <c r="D100" s="46">
        <v>2770567</v>
      </c>
      <c r="E100" s="48">
        <v>12</v>
      </c>
      <c r="F100" s="47">
        <v>1</v>
      </c>
      <c r="G100" s="47"/>
      <c r="I100" s="49" t="str">
        <f t="shared" si="11"/>
        <v>·</v>
      </c>
      <c r="J100" s="50">
        <f t="shared" si="12"/>
        <v>5.0009286907697952</v>
      </c>
      <c r="K100" s="50">
        <f t="shared" si="13"/>
        <v>3.9133419260389659</v>
      </c>
      <c r="L100" s="50">
        <f t="shared" si="14"/>
        <v>1.087257590233335</v>
      </c>
      <c r="M100" s="51"/>
      <c r="N100" s="50">
        <f t="shared" si="15"/>
        <v>5.0009286907697952</v>
      </c>
      <c r="O100" s="52">
        <v>2770567</v>
      </c>
      <c r="P100" s="53">
        <v>13855408</v>
      </c>
      <c r="Q100" s="53">
        <v>10842176</v>
      </c>
      <c r="R100" s="53">
        <v>3012320</v>
      </c>
      <c r="S100" s="54"/>
      <c r="T100" s="55">
        <v>45.444099999999999</v>
      </c>
      <c r="U100" s="55">
        <v>48.824599999999997</v>
      </c>
      <c r="V100" s="55">
        <v>47.348399999999998</v>
      </c>
      <c r="W100" s="56"/>
      <c r="X100" s="57"/>
      <c r="Y100" s="57"/>
      <c r="AA100" s="49" t="str">
        <f t="shared" si="16"/>
        <v>·</v>
      </c>
      <c r="AB100" s="50">
        <f t="shared" si="17"/>
        <v>4.6707868822518996</v>
      </c>
      <c r="AC100" s="50">
        <f t="shared" si="18"/>
        <v>3.9133419260389659</v>
      </c>
      <c r="AD100" s="50">
        <f t="shared" si="19"/>
        <v>0.75711866921103155</v>
      </c>
      <c r="AE100" s="51"/>
      <c r="AF100" s="50">
        <f t="shared" si="20"/>
        <v>4.6707868822518996</v>
      </c>
      <c r="AG100" s="52">
        <v>2770567</v>
      </c>
      <c r="AH100" s="53">
        <v>12940728</v>
      </c>
      <c r="AI100" s="53">
        <v>10842176</v>
      </c>
      <c r="AJ100" s="53">
        <v>2097648</v>
      </c>
      <c r="AK100" s="54"/>
      <c r="AL100" s="55">
        <v>44.040599999999998</v>
      </c>
      <c r="AM100" s="55">
        <v>47.104900000000001</v>
      </c>
      <c r="AN100" s="55">
        <v>46.020800000000001</v>
      </c>
      <c r="AO100" s="56"/>
      <c r="AP100" s="57"/>
      <c r="AQ100" s="57"/>
      <c r="AS100" s="58">
        <f t="shared" si="21"/>
        <v>5.5310503008776823E-2</v>
      </c>
      <c r="AT100" s="58"/>
      <c r="AV100" s="59"/>
      <c r="AW100" s="59"/>
      <c r="AX100" s="59"/>
      <c r="AY100" s="60"/>
      <c r="BA100" s="59"/>
      <c r="BB100" s="59"/>
      <c r="BC100" s="59"/>
      <c r="BD100" s="60"/>
    </row>
    <row r="101" spans="1:56" collapsed="1" x14ac:dyDescent="0.15">
      <c r="A101" s="16"/>
      <c r="B101" s="16" t="s">
        <v>278</v>
      </c>
      <c r="C101" s="17" t="s">
        <v>225</v>
      </c>
      <c r="D101" s="16">
        <v>757691</v>
      </c>
      <c r="E101" s="18">
        <v>10</v>
      </c>
      <c r="F101" s="17">
        <v>1</v>
      </c>
      <c r="G101" s="17"/>
      <c r="I101" s="19" t="str">
        <f t="shared" si="11"/>
        <v>·</v>
      </c>
      <c r="J101" s="20">
        <f t="shared" si="12"/>
        <v>1.1489644195325006</v>
      </c>
      <c r="K101" s="20">
        <f t="shared" si="13"/>
        <v>1.1048936835728549</v>
      </c>
      <c r="L101" s="20">
        <f t="shared" si="14"/>
        <v>4.3373881965075474E-2</v>
      </c>
      <c r="M101" s="21"/>
      <c r="N101" s="20">
        <f t="shared" si="15"/>
        <v>1.1489644195325006</v>
      </c>
      <c r="O101" s="22">
        <v>757691</v>
      </c>
      <c r="P101" s="23">
        <v>870560</v>
      </c>
      <c r="Q101" s="23">
        <v>837168</v>
      </c>
      <c r="R101" s="23">
        <v>32864</v>
      </c>
      <c r="S101" s="24"/>
      <c r="T101" s="25">
        <v>30.968399999999999</v>
      </c>
      <c r="U101" s="25">
        <v>37.6143</v>
      </c>
      <c r="V101" s="25">
        <v>30.561399999999999</v>
      </c>
      <c r="W101" s="26"/>
      <c r="X101" s="27"/>
      <c r="Y101" s="27"/>
      <c r="AA101" s="19" t="str">
        <f t="shared" si="16"/>
        <v>·</v>
      </c>
      <c r="AB101" s="20">
        <f t="shared" si="17"/>
        <v>1.1260949384379648</v>
      </c>
      <c r="AC101" s="20">
        <f t="shared" si="18"/>
        <v>1.1048936835728549</v>
      </c>
      <c r="AD101" s="20">
        <f t="shared" si="19"/>
        <v>2.0514959264396698E-2</v>
      </c>
      <c r="AE101" s="21"/>
      <c r="AF101" s="20">
        <f t="shared" si="20"/>
        <v>1.1260949384379648</v>
      </c>
      <c r="AG101" s="22">
        <v>757691</v>
      </c>
      <c r="AH101" s="23">
        <v>853232</v>
      </c>
      <c r="AI101" s="23">
        <v>837168</v>
      </c>
      <c r="AJ101" s="23">
        <v>15544</v>
      </c>
      <c r="AK101" s="24"/>
      <c r="AL101" s="25">
        <v>28.985299999999999</v>
      </c>
      <c r="AM101" s="25">
        <v>36.884900000000002</v>
      </c>
      <c r="AN101" s="25">
        <v>28.042000000000002</v>
      </c>
      <c r="AO101" s="26"/>
      <c r="AP101" s="27"/>
      <c r="AQ101" s="27"/>
      <c r="AS101" s="28">
        <f t="shared" si="21"/>
        <v>1.9529683949638277E-2</v>
      </c>
      <c r="AT101" s="28">
        <f t="array" ref="AT101">AVERAGE(AI101:AI106/AH101:AH106) - AVERAGE(Q101:Q106/P101:P106)</f>
        <v>5.5593656632294652E-2</v>
      </c>
      <c r="AV101" s="29">
        <f>IF( OR(ISBLANK(R101:R106),ISBLANK(AJ101:AJ106), ISBLANK(T101:T106),ISBLANK(AL101:AL106)), "·", bdRateExtend( R101:R106,T101:T106, AJ101:AJ106,AL101:AL106))</f>
        <v>4.9971940317201202E-2</v>
      </c>
      <c r="AW101" s="29">
        <f>IF( OR(ISBLANK(R101:R106),ISBLANK(AJ101:AJ106), ISBLANK(U101:U106),ISBLANK(AM101:AM106)), "·", bdRateExtend( R101:R106,U101:U106, AJ101:AJ106,AM101:AM106))</f>
        <v>0.22096134136665979</v>
      </c>
      <c r="AX101" s="29">
        <f>IF( OR(ISBLANK(R101:R106),ISBLANK(AJ101:AJ106), ISBLANK(V101:V106),ISBLANK(AN101:AN106)), "·", bdRateExtend( R101:R106,V101:V106, AJ101:AJ106,AN101:AN106))</f>
        <v>2.9131330210045769E-2</v>
      </c>
      <c r="AY101" s="30"/>
      <c r="BA101" s="29">
        <f>IF( OR(ISBLANK(P101:P106),ISBLANK(AH101:AH106), ISBLANK(T101:T106),ISBLANK(AL101:AL106)), "·", bdRateExtend( P101:P106,T101:T106, AH101:AH106,AL101:AL106))</f>
        <v>-3.0376385202465217E-3</v>
      </c>
      <c r="BB101" s="29">
        <f>IF( OR(ISBLANK(P101:P106),ISBLANK(AH101:AH106), ISBLANK(U101:U106),ISBLANK(AM101:AM106)), "·", bdRateExtend( P101:P106,U101:U106, AH101:AH106,AM101:AM106))</f>
        <v>5.2278103094124839E-2</v>
      </c>
      <c r="BC101" s="29">
        <f>IF( OR(ISBLANK(P101:P106),ISBLANK(AH101:AH106), ISBLANK(V101:V106),ISBLANK(AN101:AN106)), "·", bdRateExtend( P101:P106,V101:V106, AH101:AH106,AN101:AN106))</f>
        <v>-8.0924553279770883E-3</v>
      </c>
      <c r="BD101" s="30"/>
    </row>
    <row r="102" spans="1:56" outlineLevel="1" x14ac:dyDescent="0.15">
      <c r="A102" s="31"/>
      <c r="B102" s="31" t="s">
        <v>278</v>
      </c>
      <c r="C102" s="32" t="s">
        <v>226</v>
      </c>
      <c r="D102" s="31">
        <v>757691</v>
      </c>
      <c r="E102" s="33">
        <v>10</v>
      </c>
      <c r="F102" s="32">
        <v>1</v>
      </c>
      <c r="G102" s="32"/>
      <c r="I102" s="34" t="str">
        <f t="shared" si="11"/>
        <v>·</v>
      </c>
      <c r="J102" s="35">
        <f t="shared" si="12"/>
        <v>1.1933941408832889</v>
      </c>
      <c r="K102" s="35">
        <f t="shared" si="13"/>
        <v>1.1048936835728549</v>
      </c>
      <c r="L102" s="35">
        <f t="shared" si="14"/>
        <v>8.7803603315863593E-2</v>
      </c>
      <c r="M102" s="36"/>
      <c r="N102" s="35">
        <f t="shared" si="15"/>
        <v>1.1933941408832889</v>
      </c>
      <c r="O102" s="37">
        <v>757691</v>
      </c>
      <c r="P102" s="38">
        <v>904224</v>
      </c>
      <c r="Q102" s="38">
        <v>837168</v>
      </c>
      <c r="R102" s="38">
        <v>66528</v>
      </c>
      <c r="S102" s="39"/>
      <c r="T102" s="40">
        <v>32.904899999999998</v>
      </c>
      <c r="U102" s="40">
        <v>39.979100000000003</v>
      </c>
      <c r="V102" s="40">
        <v>32.930599999999998</v>
      </c>
      <c r="W102" s="41"/>
      <c r="X102" s="42"/>
      <c r="Y102" s="42"/>
      <c r="AA102" s="34" t="str">
        <f t="shared" si="16"/>
        <v>·</v>
      </c>
      <c r="AB102" s="35">
        <f t="shared" si="17"/>
        <v>1.1523536639606382</v>
      </c>
      <c r="AC102" s="35">
        <f t="shared" si="18"/>
        <v>1.1048936835728549</v>
      </c>
      <c r="AD102" s="35">
        <f t="shared" si="19"/>
        <v>4.677368478707019E-2</v>
      </c>
      <c r="AE102" s="36"/>
      <c r="AF102" s="35">
        <f t="shared" si="20"/>
        <v>1.1523536639606382</v>
      </c>
      <c r="AG102" s="37">
        <v>757691</v>
      </c>
      <c r="AH102" s="38">
        <v>873128</v>
      </c>
      <c r="AI102" s="38">
        <v>837168</v>
      </c>
      <c r="AJ102" s="38">
        <v>35440</v>
      </c>
      <c r="AK102" s="39"/>
      <c r="AL102" s="40">
        <v>30.879899999999999</v>
      </c>
      <c r="AM102" s="40">
        <v>38.3581</v>
      </c>
      <c r="AN102" s="40">
        <v>30.338899999999999</v>
      </c>
      <c r="AO102" s="41"/>
      <c r="AP102" s="42"/>
      <c r="AQ102" s="42"/>
      <c r="AS102" s="43">
        <f t="shared" si="21"/>
        <v>3.2973359794225998E-2</v>
      </c>
      <c r="AT102" s="43"/>
      <c r="AV102" s="44"/>
      <c r="AW102" s="44"/>
      <c r="AX102" s="44"/>
      <c r="AY102" s="45"/>
      <c r="BA102" s="44"/>
      <c r="BB102" s="44"/>
      <c r="BC102" s="44"/>
      <c r="BD102" s="45"/>
    </row>
    <row r="103" spans="1:56" outlineLevel="1" x14ac:dyDescent="0.15">
      <c r="A103" s="16"/>
      <c r="B103" s="16" t="s">
        <v>278</v>
      </c>
      <c r="C103" s="17" t="s">
        <v>227</v>
      </c>
      <c r="D103" s="16">
        <v>757691</v>
      </c>
      <c r="E103" s="18">
        <v>10</v>
      </c>
      <c r="F103" s="17">
        <v>1</v>
      </c>
      <c r="G103" s="17"/>
      <c r="I103" s="19" t="str">
        <f t="shared" si="11"/>
        <v>·</v>
      </c>
      <c r="J103" s="20">
        <f t="shared" si="12"/>
        <v>1.3009630574996931</v>
      </c>
      <c r="K103" s="20">
        <f t="shared" si="13"/>
        <v>1.1048936835728549</v>
      </c>
      <c r="L103" s="20">
        <f t="shared" si="14"/>
        <v>0.1953725199322679</v>
      </c>
      <c r="M103" s="21"/>
      <c r="N103" s="20">
        <f t="shared" si="15"/>
        <v>1.3009630574996931</v>
      </c>
      <c r="O103" s="22">
        <v>757691</v>
      </c>
      <c r="P103" s="23">
        <v>985728</v>
      </c>
      <c r="Q103" s="23">
        <v>837168</v>
      </c>
      <c r="R103" s="23">
        <v>148032</v>
      </c>
      <c r="S103" s="24"/>
      <c r="T103" s="25">
        <v>35.208500000000001</v>
      </c>
      <c r="U103" s="25">
        <v>41.675800000000002</v>
      </c>
      <c r="V103" s="25">
        <v>36.111699999999999</v>
      </c>
      <c r="W103" s="26"/>
      <c r="X103" s="27"/>
      <c r="Y103" s="27"/>
      <c r="AA103" s="19" t="str">
        <f t="shared" si="16"/>
        <v>·</v>
      </c>
      <c r="AB103" s="20">
        <f t="shared" si="17"/>
        <v>1.2217011948142449</v>
      </c>
      <c r="AC103" s="20">
        <f t="shared" si="18"/>
        <v>1.1048936835728549</v>
      </c>
      <c r="AD103" s="20">
        <f t="shared" si="19"/>
        <v>0.11612121564067673</v>
      </c>
      <c r="AE103" s="21"/>
      <c r="AF103" s="20">
        <f t="shared" si="20"/>
        <v>1.2217011948142449</v>
      </c>
      <c r="AG103" s="22">
        <v>757691</v>
      </c>
      <c r="AH103" s="23">
        <v>925672</v>
      </c>
      <c r="AI103" s="23">
        <v>837168</v>
      </c>
      <c r="AJ103" s="23">
        <v>87984</v>
      </c>
      <c r="AK103" s="24"/>
      <c r="AL103" s="25">
        <v>33.200000000000003</v>
      </c>
      <c r="AM103" s="25">
        <v>39.980800000000002</v>
      </c>
      <c r="AN103" s="25">
        <v>33.550600000000003</v>
      </c>
      <c r="AO103" s="26"/>
      <c r="AP103" s="27"/>
      <c r="AQ103" s="27"/>
      <c r="AS103" s="28">
        <f t="shared" si="21"/>
        <v>5.5100406395753754E-2</v>
      </c>
      <c r="AT103" s="28"/>
      <c r="AV103" s="29"/>
      <c r="AW103" s="29"/>
      <c r="AX103" s="29"/>
      <c r="AY103" s="30"/>
      <c r="BA103" s="29"/>
      <c r="BB103" s="29"/>
      <c r="BC103" s="29"/>
      <c r="BD103" s="30"/>
    </row>
    <row r="104" spans="1:56" outlineLevel="1" x14ac:dyDescent="0.15">
      <c r="A104" s="31"/>
      <c r="B104" s="31" t="s">
        <v>278</v>
      </c>
      <c r="C104" s="32" t="s">
        <v>228</v>
      </c>
      <c r="D104" s="31">
        <v>757691</v>
      </c>
      <c r="E104" s="33">
        <v>10</v>
      </c>
      <c r="F104" s="32">
        <v>1</v>
      </c>
      <c r="G104" s="32"/>
      <c r="I104" s="34" t="str">
        <f t="shared" si="11"/>
        <v>·</v>
      </c>
      <c r="J104" s="35">
        <f t="shared" si="12"/>
        <v>1.5083193544597995</v>
      </c>
      <c r="K104" s="35">
        <f t="shared" si="13"/>
        <v>1.1048936835728549</v>
      </c>
      <c r="L104" s="35">
        <f t="shared" si="14"/>
        <v>0.40272881689237433</v>
      </c>
      <c r="M104" s="36"/>
      <c r="N104" s="35">
        <f t="shared" si="15"/>
        <v>1.5083193544597995</v>
      </c>
      <c r="O104" s="37">
        <v>757691</v>
      </c>
      <c r="P104" s="38">
        <v>1142840</v>
      </c>
      <c r="Q104" s="38">
        <v>837168</v>
      </c>
      <c r="R104" s="38">
        <v>305144</v>
      </c>
      <c r="S104" s="39"/>
      <c r="T104" s="40">
        <v>37.5578</v>
      </c>
      <c r="U104" s="40">
        <v>43.208300000000001</v>
      </c>
      <c r="V104" s="40">
        <v>38.922800000000002</v>
      </c>
      <c r="W104" s="41"/>
      <c r="X104" s="42"/>
      <c r="Y104" s="42"/>
      <c r="AA104" s="34" t="str">
        <f t="shared" si="16"/>
        <v>·</v>
      </c>
      <c r="AB104" s="35">
        <f t="shared" si="17"/>
        <v>1.3733830809657235</v>
      </c>
      <c r="AC104" s="35">
        <f t="shared" si="18"/>
        <v>1.1048936835728549</v>
      </c>
      <c r="AD104" s="35">
        <f t="shared" si="19"/>
        <v>0.26780310179215538</v>
      </c>
      <c r="AE104" s="36"/>
      <c r="AF104" s="35">
        <f t="shared" si="20"/>
        <v>1.3733830809657235</v>
      </c>
      <c r="AG104" s="37">
        <v>757691</v>
      </c>
      <c r="AH104" s="38">
        <v>1040600</v>
      </c>
      <c r="AI104" s="38">
        <v>837168</v>
      </c>
      <c r="AJ104" s="38">
        <v>202912</v>
      </c>
      <c r="AK104" s="39"/>
      <c r="AL104" s="40">
        <v>35.854999999999997</v>
      </c>
      <c r="AM104" s="40">
        <v>41.690100000000001</v>
      </c>
      <c r="AN104" s="40">
        <v>37.020699999999998</v>
      </c>
      <c r="AO104" s="41"/>
      <c r="AP104" s="42"/>
      <c r="AQ104" s="42"/>
      <c r="AS104" s="43">
        <f t="shared" si="21"/>
        <v>7.1972105220632687E-2</v>
      </c>
      <c r="AT104" s="43"/>
      <c r="AV104" s="44"/>
      <c r="AW104" s="44"/>
      <c r="AX104" s="44"/>
      <c r="AY104" s="45"/>
      <c r="BA104" s="44"/>
      <c r="BB104" s="44"/>
      <c r="BC104" s="44"/>
      <c r="BD104" s="45"/>
    </row>
    <row r="105" spans="1:56" outlineLevel="1" x14ac:dyDescent="0.15">
      <c r="A105" s="16"/>
      <c r="B105" s="16" t="s">
        <v>278</v>
      </c>
      <c r="C105" s="17" t="s">
        <v>229</v>
      </c>
      <c r="D105" s="16">
        <v>757691</v>
      </c>
      <c r="E105" s="18">
        <v>10</v>
      </c>
      <c r="F105" s="17">
        <v>1</v>
      </c>
      <c r="G105" s="17"/>
      <c r="I105" s="19" t="str">
        <f t="shared" si="11"/>
        <v>·</v>
      </c>
      <c r="J105" s="20">
        <f t="shared" si="12"/>
        <v>1.9622352647715229</v>
      </c>
      <c r="K105" s="20">
        <f t="shared" si="13"/>
        <v>1.1048936835728549</v>
      </c>
      <c r="L105" s="20">
        <f t="shared" si="14"/>
        <v>0.85664472720409768</v>
      </c>
      <c r="M105" s="21"/>
      <c r="N105" s="20">
        <f t="shared" si="15"/>
        <v>1.9622352647715229</v>
      </c>
      <c r="O105" s="22">
        <v>757691</v>
      </c>
      <c r="P105" s="23">
        <v>1486768</v>
      </c>
      <c r="Q105" s="23">
        <v>837168</v>
      </c>
      <c r="R105" s="23">
        <v>649072</v>
      </c>
      <c r="S105" s="24"/>
      <c r="T105" s="25">
        <v>40.308599999999998</v>
      </c>
      <c r="U105" s="25">
        <v>45.0364</v>
      </c>
      <c r="V105" s="25">
        <v>41.7883</v>
      </c>
      <c r="W105" s="26"/>
      <c r="X105" s="27"/>
      <c r="Y105" s="27"/>
      <c r="AA105" s="19" t="str">
        <f t="shared" si="16"/>
        <v>·</v>
      </c>
      <c r="AB105" s="20">
        <f t="shared" si="17"/>
        <v>1.7231404358768945</v>
      </c>
      <c r="AC105" s="20">
        <f t="shared" si="18"/>
        <v>1.1048936835728549</v>
      </c>
      <c r="AD105" s="20">
        <f t="shared" si="19"/>
        <v>0.61756045670332627</v>
      </c>
      <c r="AE105" s="21"/>
      <c r="AF105" s="20">
        <f t="shared" si="20"/>
        <v>1.7231404358768945</v>
      </c>
      <c r="AG105" s="22">
        <v>757691</v>
      </c>
      <c r="AH105" s="23">
        <v>1305608</v>
      </c>
      <c r="AI105" s="23">
        <v>837168</v>
      </c>
      <c r="AJ105" s="23">
        <v>467920</v>
      </c>
      <c r="AK105" s="24"/>
      <c r="AL105" s="25">
        <v>39.165500000000002</v>
      </c>
      <c r="AM105" s="25">
        <v>43.531199999999998</v>
      </c>
      <c r="AN105" s="25">
        <v>40.777900000000002</v>
      </c>
      <c r="AO105" s="26"/>
      <c r="AP105" s="27"/>
      <c r="AQ105" s="27"/>
      <c r="AS105" s="28">
        <f t="shared" si="21"/>
        <v>7.8130197806329238E-2</v>
      </c>
      <c r="AT105" s="28"/>
      <c r="AV105" s="29"/>
      <c r="AW105" s="29"/>
      <c r="AX105" s="29"/>
      <c r="AY105" s="30"/>
      <c r="BA105" s="29"/>
      <c r="BB105" s="29"/>
      <c r="BC105" s="29"/>
      <c r="BD105" s="30"/>
    </row>
    <row r="106" spans="1:56" outlineLevel="1" x14ac:dyDescent="0.15">
      <c r="A106" s="31"/>
      <c r="B106" s="46" t="s">
        <v>278</v>
      </c>
      <c r="C106" s="47" t="s">
        <v>230</v>
      </c>
      <c r="D106" s="46">
        <v>757691</v>
      </c>
      <c r="E106" s="48">
        <v>10</v>
      </c>
      <c r="F106" s="47">
        <v>1</v>
      </c>
      <c r="G106" s="47"/>
      <c r="I106" s="49" t="str">
        <f t="shared" si="11"/>
        <v>·</v>
      </c>
      <c r="J106" s="50">
        <f t="shared" si="12"/>
        <v>2.8359001228733085</v>
      </c>
      <c r="K106" s="50">
        <f t="shared" si="13"/>
        <v>1.1048936835728549</v>
      </c>
      <c r="L106" s="50">
        <f t="shared" si="14"/>
        <v>1.7303095853058832</v>
      </c>
      <c r="M106" s="51"/>
      <c r="N106" s="50">
        <f t="shared" si="15"/>
        <v>2.8359001228733085</v>
      </c>
      <c r="O106" s="52">
        <v>757691</v>
      </c>
      <c r="P106" s="53">
        <v>2148736</v>
      </c>
      <c r="Q106" s="53">
        <v>837168</v>
      </c>
      <c r="R106" s="53">
        <v>1311040</v>
      </c>
      <c r="S106" s="54"/>
      <c r="T106" s="55">
        <v>43.863999999999997</v>
      </c>
      <c r="U106" s="55">
        <v>46.964599999999997</v>
      </c>
      <c r="V106" s="55">
        <v>45.509399999999999</v>
      </c>
      <c r="W106" s="56"/>
      <c r="X106" s="57"/>
      <c r="Y106" s="57"/>
      <c r="AA106" s="49" t="str">
        <f t="shared" si="16"/>
        <v>·</v>
      </c>
      <c r="AB106" s="50">
        <f t="shared" si="17"/>
        <v>2.3737381069591694</v>
      </c>
      <c r="AC106" s="50">
        <f t="shared" si="18"/>
        <v>1.1048936835728549</v>
      </c>
      <c r="AD106" s="50">
        <f t="shared" si="19"/>
        <v>1.2681581277856013</v>
      </c>
      <c r="AE106" s="51"/>
      <c r="AF106" s="50">
        <f t="shared" si="20"/>
        <v>2.3737381069591694</v>
      </c>
      <c r="AG106" s="52">
        <v>757691</v>
      </c>
      <c r="AH106" s="53">
        <v>1798560</v>
      </c>
      <c r="AI106" s="53">
        <v>837168</v>
      </c>
      <c r="AJ106" s="53">
        <v>960872</v>
      </c>
      <c r="AK106" s="54"/>
      <c r="AL106" s="55">
        <v>42.694899999999997</v>
      </c>
      <c r="AM106" s="55">
        <v>45.643700000000003</v>
      </c>
      <c r="AN106" s="55">
        <v>44.3581</v>
      </c>
      <c r="AO106" s="56"/>
      <c r="AP106" s="57"/>
      <c r="AQ106" s="57"/>
      <c r="AS106" s="58">
        <f t="shared" si="21"/>
        <v>7.5856186627187405E-2</v>
      </c>
      <c r="AT106" s="58"/>
      <c r="AV106" s="59"/>
      <c r="AW106" s="59"/>
      <c r="AX106" s="59"/>
      <c r="AY106" s="60"/>
      <c r="BA106" s="59"/>
      <c r="BB106" s="59"/>
      <c r="BC106" s="59"/>
      <c r="BD106" s="60"/>
    </row>
    <row r="107" spans="1:56" collapsed="1" x14ac:dyDescent="0.15">
      <c r="A107" s="16"/>
      <c r="B107" s="16" t="s">
        <v>281</v>
      </c>
      <c r="C107" s="17" t="s">
        <v>225</v>
      </c>
      <c r="D107" s="16">
        <v>1009132</v>
      </c>
      <c r="E107" s="18">
        <v>12</v>
      </c>
      <c r="F107" s="17">
        <v>1</v>
      </c>
      <c r="G107" s="17"/>
      <c r="I107" s="19" t="str">
        <f t="shared" si="11"/>
        <v>·</v>
      </c>
      <c r="J107" s="20">
        <f t="shared" si="12"/>
        <v>9.7848606525211768</v>
      </c>
      <c r="K107" s="20">
        <f t="shared" si="13"/>
        <v>9.6524220815512738</v>
      </c>
      <c r="L107" s="20">
        <f t="shared" si="14"/>
        <v>0.13193120424285426</v>
      </c>
      <c r="M107" s="21"/>
      <c r="N107" s="20">
        <f t="shared" si="15"/>
        <v>9.7848606525211768</v>
      </c>
      <c r="O107" s="22">
        <v>1009132</v>
      </c>
      <c r="P107" s="23">
        <v>9874216</v>
      </c>
      <c r="Q107" s="23">
        <v>9740568</v>
      </c>
      <c r="R107" s="23">
        <v>133136</v>
      </c>
      <c r="S107" s="24"/>
      <c r="T107" s="25">
        <v>21.209800000000001</v>
      </c>
      <c r="U107" s="25">
        <v>31.599399999999999</v>
      </c>
      <c r="V107" s="25">
        <v>33.745100000000001</v>
      </c>
      <c r="W107" s="26"/>
      <c r="X107" s="27"/>
      <c r="Y107" s="27"/>
      <c r="AA107" s="19" t="str">
        <f t="shared" si="16"/>
        <v>·</v>
      </c>
      <c r="AB107" s="20">
        <f t="shared" si="17"/>
        <v>9.7040387184233587</v>
      </c>
      <c r="AC107" s="20">
        <f t="shared" si="18"/>
        <v>9.6524220815512738</v>
      </c>
      <c r="AD107" s="20">
        <f t="shared" si="19"/>
        <v>5.1117197750145671E-2</v>
      </c>
      <c r="AE107" s="21"/>
      <c r="AF107" s="20">
        <f t="shared" si="20"/>
        <v>9.7040387184233587</v>
      </c>
      <c r="AG107" s="22">
        <v>1009132</v>
      </c>
      <c r="AH107" s="23">
        <v>9792656</v>
      </c>
      <c r="AI107" s="23">
        <v>9740568</v>
      </c>
      <c r="AJ107" s="23">
        <v>51584</v>
      </c>
      <c r="AK107" s="24"/>
      <c r="AL107" s="25">
        <v>19.817599999999999</v>
      </c>
      <c r="AM107" s="25">
        <v>30.380700000000001</v>
      </c>
      <c r="AN107" s="25">
        <v>32.889499999999998</v>
      </c>
      <c r="AO107" s="26"/>
      <c r="AP107" s="27"/>
      <c r="AQ107" s="27"/>
      <c r="AS107" s="28">
        <f t="shared" si="21"/>
        <v>8.2159611633509932E-3</v>
      </c>
      <c r="AT107" s="28">
        <f t="array" ref="AT107">AVERAGE(AI107:AI112/AH107:AH112) - AVERAGE(Q107:Q112/P107:P112)</f>
        <v>2.810974041502512E-2</v>
      </c>
      <c r="AV107" s="29">
        <f>IF( OR(ISBLANK(R107:R112),ISBLANK(AJ107:AJ112), ISBLANK(T107:T112),ISBLANK(AL107:AL112)), "·", bdRateExtend( R107:R112,T107:T112, AJ107:AJ112,AL107:AL112))</f>
        <v>-7.7187699587502268E-2</v>
      </c>
      <c r="AW107" s="29">
        <f>IF( OR(ISBLANK(R107:R112),ISBLANK(AJ107:AJ112), ISBLANK(U107:U112),ISBLANK(AM107:AM112)), "·", bdRateExtend( R107:R112,U107:U112, AJ107:AJ112,AM107:AM112))</f>
        <v>0.23124555297376581</v>
      </c>
      <c r="AX107" s="29">
        <f>IF( OR(ISBLANK(R107:R112),ISBLANK(AJ107:AJ112), ISBLANK(V107:V112),ISBLANK(AN107:AN112)), "·", bdRateExtend( R107:R112,V107:V112, AJ107:AJ112,AN107:AN112))</f>
        <v>0.26727339451918408</v>
      </c>
      <c r="AY107" s="30"/>
      <c r="BA107" s="29">
        <f>IF( OR(ISBLANK(P107:P112),ISBLANK(AH107:AH112), ISBLANK(T107:T112),ISBLANK(AL107:AL112)), "·", bdRateExtend( P107:P112,T107:T112, AH107:AH112,AL107:AL112))</f>
        <v>-1.3394036284703703E-2</v>
      </c>
      <c r="BB107" s="29">
        <f>IF( OR(ISBLANK(P107:P112),ISBLANK(AH107:AH112), ISBLANK(U107:U112),ISBLANK(AM107:AM112)), "·", bdRateExtend( P107:P112,U107:U112, AH107:AH112,AM107:AM112))</f>
        <v>1.7441886789745453E-2</v>
      </c>
      <c r="BC107" s="29">
        <f>IF( OR(ISBLANK(P107:P112),ISBLANK(AH107:AH112), ISBLANK(V107:V112),ISBLANK(AN107:AN112)), "·", bdRateExtend( P107:P112,V107:V112, AH107:AH112,AN107:AN112))</f>
        <v>2.3897550908813514E-2</v>
      </c>
      <c r="BD107" s="30"/>
    </row>
    <row r="108" spans="1:56" outlineLevel="1" x14ac:dyDescent="0.15">
      <c r="A108" s="31"/>
      <c r="B108" s="31" t="s">
        <v>281</v>
      </c>
      <c r="C108" s="32" t="s">
        <v>226</v>
      </c>
      <c r="D108" s="31">
        <v>1009132</v>
      </c>
      <c r="E108" s="33">
        <v>12</v>
      </c>
      <c r="F108" s="32">
        <v>1</v>
      </c>
      <c r="G108" s="32"/>
      <c r="I108" s="34" t="str">
        <f t="shared" si="11"/>
        <v>·</v>
      </c>
      <c r="J108" s="35">
        <f t="shared" si="12"/>
        <v>9.9712307210553224</v>
      </c>
      <c r="K108" s="35">
        <f t="shared" si="13"/>
        <v>9.6524220815512738</v>
      </c>
      <c r="L108" s="35">
        <f t="shared" si="14"/>
        <v>0.31830127277700043</v>
      </c>
      <c r="M108" s="36"/>
      <c r="N108" s="35">
        <f t="shared" si="15"/>
        <v>9.9712307210553224</v>
      </c>
      <c r="O108" s="37">
        <v>1009132</v>
      </c>
      <c r="P108" s="38">
        <v>10062288</v>
      </c>
      <c r="Q108" s="38">
        <v>9740568</v>
      </c>
      <c r="R108" s="38">
        <v>321208</v>
      </c>
      <c r="S108" s="39"/>
      <c r="T108" s="40">
        <v>22.948399999999999</v>
      </c>
      <c r="U108" s="40">
        <v>33.063499999999998</v>
      </c>
      <c r="V108" s="40">
        <v>34.934699999999999</v>
      </c>
      <c r="W108" s="41"/>
      <c r="X108" s="42"/>
      <c r="Y108" s="42"/>
      <c r="AA108" s="34" t="str">
        <f t="shared" si="16"/>
        <v>·</v>
      </c>
      <c r="AB108" s="35">
        <f t="shared" si="17"/>
        <v>9.8071927161164254</v>
      </c>
      <c r="AC108" s="35">
        <f t="shared" si="18"/>
        <v>9.6524220815512738</v>
      </c>
      <c r="AD108" s="35">
        <f t="shared" si="19"/>
        <v>0.15427119544321258</v>
      </c>
      <c r="AE108" s="36"/>
      <c r="AF108" s="35">
        <f t="shared" si="20"/>
        <v>9.8071927161164254</v>
      </c>
      <c r="AG108" s="37">
        <v>1009132</v>
      </c>
      <c r="AH108" s="38">
        <v>9896752</v>
      </c>
      <c r="AI108" s="38">
        <v>9740568</v>
      </c>
      <c r="AJ108" s="38">
        <v>155680</v>
      </c>
      <c r="AK108" s="39"/>
      <c r="AL108" s="40">
        <v>21.460100000000001</v>
      </c>
      <c r="AM108" s="40">
        <v>31.538900000000002</v>
      </c>
      <c r="AN108" s="40">
        <v>33.682499999999997</v>
      </c>
      <c r="AO108" s="41"/>
      <c r="AP108" s="42"/>
      <c r="AQ108" s="42"/>
      <c r="AS108" s="43">
        <f t="shared" si="21"/>
        <v>1.6191508356652395E-2</v>
      </c>
      <c r="AT108" s="43"/>
      <c r="AV108" s="44"/>
      <c r="AW108" s="44"/>
      <c r="AX108" s="44"/>
      <c r="AY108" s="45"/>
      <c r="BA108" s="44"/>
      <c r="BB108" s="44"/>
      <c r="BC108" s="44"/>
      <c r="BD108" s="45"/>
    </row>
    <row r="109" spans="1:56" outlineLevel="1" x14ac:dyDescent="0.15">
      <c r="A109" s="16"/>
      <c r="B109" s="16" t="s">
        <v>281</v>
      </c>
      <c r="C109" s="17" t="s">
        <v>227</v>
      </c>
      <c r="D109" s="16">
        <v>1009132</v>
      </c>
      <c r="E109" s="18">
        <v>12</v>
      </c>
      <c r="F109" s="17">
        <v>1</v>
      </c>
      <c r="G109" s="17"/>
      <c r="I109" s="19" t="str">
        <f t="shared" si="11"/>
        <v>·</v>
      </c>
      <c r="J109" s="20">
        <f t="shared" si="12"/>
        <v>10.482592961079423</v>
      </c>
      <c r="K109" s="20">
        <f t="shared" si="13"/>
        <v>9.6524220815512738</v>
      </c>
      <c r="L109" s="20">
        <f t="shared" si="14"/>
        <v>0.8296635128011004</v>
      </c>
      <c r="M109" s="21"/>
      <c r="N109" s="20">
        <f t="shared" si="15"/>
        <v>10.482592961079423</v>
      </c>
      <c r="O109" s="22">
        <v>1009132</v>
      </c>
      <c r="P109" s="23">
        <v>10578320</v>
      </c>
      <c r="Q109" s="23">
        <v>9740568</v>
      </c>
      <c r="R109" s="23">
        <v>837240</v>
      </c>
      <c r="S109" s="24"/>
      <c r="T109" s="25">
        <v>25.9282</v>
      </c>
      <c r="U109" s="25">
        <v>34.682699999999997</v>
      </c>
      <c r="V109" s="25">
        <v>36.426000000000002</v>
      </c>
      <c r="W109" s="26"/>
      <c r="X109" s="27"/>
      <c r="Y109" s="27"/>
      <c r="AA109" s="19" t="str">
        <f t="shared" si="16"/>
        <v>·</v>
      </c>
      <c r="AB109" s="20">
        <f t="shared" si="17"/>
        <v>10.184451588097494</v>
      </c>
      <c r="AC109" s="20">
        <f t="shared" si="18"/>
        <v>9.6524220815512738</v>
      </c>
      <c r="AD109" s="20">
        <f t="shared" si="19"/>
        <v>0.53153006742428144</v>
      </c>
      <c r="AE109" s="21"/>
      <c r="AF109" s="20">
        <f t="shared" si="20"/>
        <v>10.184451588097494</v>
      </c>
      <c r="AG109" s="22">
        <v>1009132</v>
      </c>
      <c r="AH109" s="23">
        <v>10277456</v>
      </c>
      <c r="AI109" s="23">
        <v>9740568</v>
      </c>
      <c r="AJ109" s="23">
        <v>536384</v>
      </c>
      <c r="AK109" s="24"/>
      <c r="AL109" s="25">
        <v>24.542200000000001</v>
      </c>
      <c r="AM109" s="25">
        <v>33.071599999999997</v>
      </c>
      <c r="AN109" s="25">
        <v>35.031300000000002</v>
      </c>
      <c r="AO109" s="26"/>
      <c r="AP109" s="27"/>
      <c r="AQ109" s="27"/>
      <c r="AS109" s="28">
        <f t="shared" si="21"/>
        <v>2.6955797244688107E-2</v>
      </c>
      <c r="AT109" s="28"/>
      <c r="AV109" s="29"/>
      <c r="AW109" s="29"/>
      <c r="AX109" s="29"/>
      <c r="AY109" s="30"/>
      <c r="BA109" s="29"/>
      <c r="BB109" s="29"/>
      <c r="BC109" s="29"/>
      <c r="BD109" s="30"/>
    </row>
    <row r="110" spans="1:56" outlineLevel="1" x14ac:dyDescent="0.15">
      <c r="A110" s="31"/>
      <c r="B110" s="31" t="s">
        <v>281</v>
      </c>
      <c r="C110" s="32" t="s">
        <v>228</v>
      </c>
      <c r="D110" s="31">
        <v>1009132</v>
      </c>
      <c r="E110" s="33">
        <v>12</v>
      </c>
      <c r="F110" s="32">
        <v>1</v>
      </c>
      <c r="G110" s="32"/>
      <c r="I110" s="34" t="str">
        <f t="shared" si="11"/>
        <v>·</v>
      </c>
      <c r="J110" s="35">
        <f t="shared" si="12"/>
        <v>11.428800196604607</v>
      </c>
      <c r="K110" s="35">
        <f t="shared" si="13"/>
        <v>9.6524220815512738</v>
      </c>
      <c r="L110" s="35">
        <f t="shared" si="14"/>
        <v>1.7758707483262843</v>
      </c>
      <c r="M110" s="36"/>
      <c r="N110" s="35">
        <f t="shared" si="15"/>
        <v>11.428800196604607</v>
      </c>
      <c r="O110" s="37">
        <v>1009132</v>
      </c>
      <c r="P110" s="38">
        <v>11533168</v>
      </c>
      <c r="Q110" s="38">
        <v>9740568</v>
      </c>
      <c r="R110" s="38">
        <v>1792088</v>
      </c>
      <c r="S110" s="39"/>
      <c r="T110" s="40">
        <v>30.188500000000001</v>
      </c>
      <c r="U110" s="40">
        <v>36.646500000000003</v>
      </c>
      <c r="V110" s="40">
        <v>38.121499999999997</v>
      </c>
      <c r="W110" s="41"/>
      <c r="X110" s="42"/>
      <c r="Y110" s="42"/>
      <c r="AA110" s="34" t="str">
        <f t="shared" si="16"/>
        <v>·</v>
      </c>
      <c r="AB110" s="35">
        <f t="shared" si="17"/>
        <v>10.949798440640075</v>
      </c>
      <c r="AC110" s="35">
        <f t="shared" si="18"/>
        <v>9.6524220815512738</v>
      </c>
      <c r="AD110" s="35">
        <f t="shared" si="19"/>
        <v>1.2968769199668626</v>
      </c>
      <c r="AE110" s="36"/>
      <c r="AF110" s="35">
        <f t="shared" si="20"/>
        <v>10.949798440640075</v>
      </c>
      <c r="AG110" s="37">
        <v>1009132</v>
      </c>
      <c r="AH110" s="38">
        <v>11049792</v>
      </c>
      <c r="AI110" s="38">
        <v>9740568</v>
      </c>
      <c r="AJ110" s="38">
        <v>1308720</v>
      </c>
      <c r="AK110" s="39"/>
      <c r="AL110" s="40">
        <v>28.791599999999999</v>
      </c>
      <c r="AM110" s="40">
        <v>34.960700000000003</v>
      </c>
      <c r="AN110" s="40">
        <v>36.6203</v>
      </c>
      <c r="AO110" s="41"/>
      <c r="AP110" s="42"/>
      <c r="AQ110" s="42"/>
      <c r="AS110" s="43">
        <f t="shared" si="21"/>
        <v>3.6945933551276511E-2</v>
      </c>
      <c r="AT110" s="43"/>
      <c r="AV110" s="44"/>
      <c r="AW110" s="44"/>
      <c r="AX110" s="44"/>
      <c r="AY110" s="45"/>
      <c r="BA110" s="44"/>
      <c r="BB110" s="44"/>
      <c r="BC110" s="44"/>
      <c r="BD110" s="45"/>
    </row>
    <row r="111" spans="1:56" outlineLevel="1" x14ac:dyDescent="0.15">
      <c r="A111" s="16"/>
      <c r="B111" s="16" t="s">
        <v>281</v>
      </c>
      <c r="C111" s="17" t="s">
        <v>229</v>
      </c>
      <c r="D111" s="16">
        <v>1009132</v>
      </c>
      <c r="E111" s="18">
        <v>12</v>
      </c>
      <c r="F111" s="17">
        <v>1</v>
      </c>
      <c r="G111" s="17"/>
      <c r="I111" s="19" t="str">
        <f t="shared" si="11"/>
        <v>·</v>
      </c>
      <c r="J111" s="20">
        <f t="shared" si="12"/>
        <v>12.882635770147017</v>
      </c>
      <c r="K111" s="20">
        <f t="shared" si="13"/>
        <v>9.6524220815512738</v>
      </c>
      <c r="L111" s="20">
        <f t="shared" si="14"/>
        <v>3.229706321868695</v>
      </c>
      <c r="M111" s="21"/>
      <c r="N111" s="20">
        <f t="shared" si="15"/>
        <v>12.882635770147017</v>
      </c>
      <c r="O111" s="22">
        <v>1009132</v>
      </c>
      <c r="P111" s="23">
        <v>13000280</v>
      </c>
      <c r="Q111" s="23">
        <v>9740568</v>
      </c>
      <c r="R111" s="23">
        <v>3259200</v>
      </c>
      <c r="S111" s="24"/>
      <c r="T111" s="25">
        <v>35.382599999999996</v>
      </c>
      <c r="U111" s="25">
        <v>39.1798</v>
      </c>
      <c r="V111" s="25">
        <v>40.2425</v>
      </c>
      <c r="W111" s="26"/>
      <c r="X111" s="27"/>
      <c r="Y111" s="27"/>
      <c r="AA111" s="19" t="str">
        <f t="shared" si="16"/>
        <v>·</v>
      </c>
      <c r="AB111" s="20">
        <f t="shared" si="17"/>
        <v>12.252486295152666</v>
      </c>
      <c r="AC111" s="20">
        <f t="shared" si="18"/>
        <v>9.6524220815512738</v>
      </c>
      <c r="AD111" s="20">
        <f t="shared" si="19"/>
        <v>2.5995647744794534</v>
      </c>
      <c r="AE111" s="21"/>
      <c r="AF111" s="20">
        <f t="shared" si="20"/>
        <v>12.252486295152666</v>
      </c>
      <c r="AG111" s="22">
        <v>1009132</v>
      </c>
      <c r="AH111" s="23">
        <v>12364376</v>
      </c>
      <c r="AI111" s="23">
        <v>9740568</v>
      </c>
      <c r="AJ111" s="23">
        <v>2623304</v>
      </c>
      <c r="AK111" s="24"/>
      <c r="AL111" s="25">
        <v>34.189599999999999</v>
      </c>
      <c r="AM111" s="25">
        <v>37.745800000000003</v>
      </c>
      <c r="AN111" s="25">
        <v>38.8386</v>
      </c>
      <c r="AO111" s="26"/>
      <c r="AP111" s="27"/>
      <c r="AQ111" s="27"/>
      <c r="AS111" s="28">
        <f t="shared" si="21"/>
        <v>3.8534606603120136E-2</v>
      </c>
      <c r="AT111" s="28"/>
      <c r="AV111" s="29"/>
      <c r="AW111" s="29"/>
      <c r="AX111" s="29"/>
      <c r="AY111" s="30"/>
      <c r="BA111" s="29"/>
      <c r="BB111" s="29"/>
      <c r="BC111" s="29"/>
      <c r="BD111" s="30"/>
    </row>
    <row r="112" spans="1:56" outlineLevel="1" x14ac:dyDescent="0.15">
      <c r="A112" s="31"/>
      <c r="B112" s="46" t="s">
        <v>281</v>
      </c>
      <c r="C112" s="47" t="s">
        <v>230</v>
      </c>
      <c r="D112" s="46">
        <v>1009132</v>
      </c>
      <c r="E112" s="48">
        <v>12</v>
      </c>
      <c r="F112" s="47">
        <v>1</v>
      </c>
      <c r="G112" s="47"/>
      <c r="I112" s="49" t="str">
        <f t="shared" si="11"/>
        <v>·</v>
      </c>
      <c r="J112" s="50">
        <f t="shared" si="12"/>
        <v>14.992615435839911</v>
      </c>
      <c r="K112" s="50">
        <f t="shared" si="13"/>
        <v>9.6524220815512738</v>
      </c>
      <c r="L112" s="50">
        <f t="shared" si="14"/>
        <v>5.3396859875615874</v>
      </c>
      <c r="M112" s="51"/>
      <c r="N112" s="50">
        <f t="shared" si="15"/>
        <v>14.992615435839911</v>
      </c>
      <c r="O112" s="52">
        <v>1009132</v>
      </c>
      <c r="P112" s="53">
        <v>15129528</v>
      </c>
      <c r="Q112" s="53">
        <v>9740568</v>
      </c>
      <c r="R112" s="53">
        <v>5388448</v>
      </c>
      <c r="S112" s="54"/>
      <c r="T112" s="55">
        <v>40.918199999999999</v>
      </c>
      <c r="U112" s="55">
        <v>42.723999999999997</v>
      </c>
      <c r="V112" s="55">
        <v>43.183900000000001</v>
      </c>
      <c r="W112" s="56"/>
      <c r="X112" s="57"/>
      <c r="Y112" s="57"/>
      <c r="AA112" s="49" t="str">
        <f t="shared" si="16"/>
        <v>·</v>
      </c>
      <c r="AB112" s="50">
        <f t="shared" si="17"/>
        <v>14.078253390042136</v>
      </c>
      <c r="AC112" s="50">
        <f t="shared" si="18"/>
        <v>9.6524220815512738</v>
      </c>
      <c r="AD112" s="50">
        <f t="shared" si="19"/>
        <v>4.4253318693689234</v>
      </c>
      <c r="AE112" s="51"/>
      <c r="AF112" s="50">
        <f t="shared" si="20"/>
        <v>14.078253390042136</v>
      </c>
      <c r="AG112" s="52">
        <v>1009132</v>
      </c>
      <c r="AH112" s="53">
        <v>14206816</v>
      </c>
      <c r="AI112" s="53">
        <v>9740568</v>
      </c>
      <c r="AJ112" s="53">
        <v>4465744</v>
      </c>
      <c r="AK112" s="54"/>
      <c r="AL112" s="55">
        <v>39.420299999999997</v>
      </c>
      <c r="AM112" s="55">
        <v>41.247100000000003</v>
      </c>
      <c r="AN112" s="55">
        <v>41.722099999999998</v>
      </c>
      <c r="AO112" s="56"/>
      <c r="AP112" s="57"/>
      <c r="AQ112" s="57"/>
      <c r="AS112" s="58">
        <f t="shared" si="21"/>
        <v>4.1814635571062131E-2</v>
      </c>
      <c r="AT112" s="58"/>
      <c r="AV112" s="59"/>
      <c r="AW112" s="59"/>
      <c r="AX112" s="59"/>
      <c r="AY112" s="60"/>
      <c r="BA112" s="59"/>
      <c r="BB112" s="59"/>
      <c r="BC112" s="59"/>
      <c r="BD112" s="60"/>
    </row>
    <row r="113" spans="1:56" collapsed="1" x14ac:dyDescent="0.15">
      <c r="A113" s="16"/>
      <c r="B113" s="16" t="s">
        <v>284</v>
      </c>
      <c r="C113" s="17" t="s">
        <v>225</v>
      </c>
      <c r="D113" s="16">
        <v>4001754</v>
      </c>
      <c r="E113" s="18">
        <v>12</v>
      </c>
      <c r="F113" s="17">
        <v>1</v>
      </c>
      <c r="G113" s="17"/>
      <c r="I113" s="19" t="str">
        <f t="shared" si="11"/>
        <v>·</v>
      </c>
      <c r="J113" s="20">
        <f t="shared" si="12"/>
        <v>3.867044301073979</v>
      </c>
      <c r="K113" s="20">
        <f t="shared" si="13"/>
        <v>3.8442702874789405</v>
      </c>
      <c r="L113" s="20">
        <f t="shared" si="14"/>
        <v>2.2526122295373478E-2</v>
      </c>
      <c r="M113" s="21"/>
      <c r="N113" s="20">
        <f t="shared" si="15"/>
        <v>3.867044301073979</v>
      </c>
      <c r="O113" s="22">
        <v>4001754</v>
      </c>
      <c r="P113" s="23">
        <v>15474960</v>
      </c>
      <c r="Q113" s="23">
        <v>15383824</v>
      </c>
      <c r="R113" s="23">
        <v>90144</v>
      </c>
      <c r="S113" s="24"/>
      <c r="T113" s="25">
        <v>30.376100000000001</v>
      </c>
      <c r="U113" s="25">
        <v>41.450299999999999</v>
      </c>
      <c r="V113" s="25">
        <v>45.261699999999998</v>
      </c>
      <c r="W113" s="26"/>
      <c r="X113" s="27"/>
      <c r="Y113" s="27"/>
      <c r="AA113" s="19" t="str">
        <f t="shared" si="16"/>
        <v>·</v>
      </c>
      <c r="AB113" s="20">
        <f t="shared" si="17"/>
        <v>3.8552534713528117</v>
      </c>
      <c r="AC113" s="20">
        <f t="shared" si="18"/>
        <v>3.8442702874789405</v>
      </c>
      <c r="AD113" s="20">
        <f t="shared" si="19"/>
        <v>1.0737291697590606E-2</v>
      </c>
      <c r="AE113" s="21"/>
      <c r="AF113" s="20">
        <f t="shared" si="20"/>
        <v>3.8552534713528117</v>
      </c>
      <c r="AG113" s="22">
        <v>4001754</v>
      </c>
      <c r="AH113" s="23">
        <v>15427776</v>
      </c>
      <c r="AI113" s="23">
        <v>15383824</v>
      </c>
      <c r="AJ113" s="23">
        <v>42968</v>
      </c>
      <c r="AK113" s="24"/>
      <c r="AL113" s="25">
        <v>28.178799999999999</v>
      </c>
      <c r="AM113" s="25">
        <v>43.163800000000002</v>
      </c>
      <c r="AN113" s="25">
        <v>43.500900000000001</v>
      </c>
      <c r="AO113" s="26"/>
      <c r="AP113" s="27"/>
      <c r="AQ113" s="27"/>
      <c r="AS113" s="28">
        <f t="shared" si="21"/>
        <v>3.040368316731823E-3</v>
      </c>
      <c r="AT113" s="28">
        <f t="array" ref="AT113">AVERAGE(AI113:AI118/AH113:AH118) - AVERAGE(Q113:Q118/P113:P118)</f>
        <v>1.6936207679729365E-2</v>
      </c>
      <c r="AV113" s="29">
        <f>IF( OR(ISBLANK(R113:R118),ISBLANK(AJ113:AJ118), ISBLANK(T113:T118),ISBLANK(AL113:AL118)), "·", bdRateExtend( R113:R118,T113:T118, AJ113:AJ118,AL113:AL118))</f>
        <v>0.10998939908040817</v>
      </c>
      <c r="AW113" s="29">
        <f>IF( OR(ISBLANK(R113:R118),ISBLANK(AJ113:AJ118), ISBLANK(U113:U118),ISBLANK(AM113:AM118)), "·", bdRateExtend( R113:R118,U113:U118, AJ113:AJ118,AM113:AM118))</f>
        <v>0.15199464043572486</v>
      </c>
      <c r="AX113" s="29">
        <f>IF( OR(ISBLANK(R113:R118),ISBLANK(AJ113:AJ118), ISBLANK(V113:V118),ISBLANK(AN113:AN118)), "·", bdRateExtend( R113:R118,V113:V118, AJ113:AJ118,AN113:AN118))</f>
        <v>0.44309852523381688</v>
      </c>
      <c r="AY113" s="30"/>
      <c r="BA113" s="29">
        <f>IF( OR(ISBLANK(P113:P118),ISBLANK(AH113:AH118), ISBLANK(T113:T118),ISBLANK(AL113:AL118)), "·", bdRateExtend( P113:P118,T113:T118, AH113:AH118,AL113:AL118))</f>
        <v>3.0593121969326731E-3</v>
      </c>
      <c r="BB113" s="29">
        <f>IF( OR(ISBLANK(P113:P118),ISBLANK(AH113:AH118), ISBLANK(U113:U118),ISBLANK(AM113:AM118)), "·", bdRateExtend( P113:P118,U113:U118, AH113:AH118,AM113:AM118))</f>
        <v>1.1293731094386139E-2</v>
      </c>
      <c r="BC113" s="29">
        <f>IF( OR(ISBLANK(P113:P118),ISBLANK(AH113:AH118), ISBLANK(V113:V118),ISBLANK(AN113:AN118)), "·", bdRateExtend( P113:P118,V113:V118, AH113:AH118,AN113:AN118))</f>
        <v>1.6339274869672904E-2</v>
      </c>
      <c r="BD113" s="30"/>
    </row>
    <row r="114" spans="1:56" outlineLevel="1" x14ac:dyDescent="0.15">
      <c r="A114" s="31"/>
      <c r="B114" s="31" t="s">
        <v>284</v>
      </c>
      <c r="C114" s="32" t="s">
        <v>226</v>
      </c>
      <c r="D114" s="31">
        <v>4001754</v>
      </c>
      <c r="E114" s="33">
        <v>12</v>
      </c>
      <c r="F114" s="32">
        <v>1</v>
      </c>
      <c r="G114" s="32"/>
      <c r="I114" s="34" t="str">
        <f t="shared" si="11"/>
        <v>·</v>
      </c>
      <c r="J114" s="35">
        <f t="shared" si="12"/>
        <v>3.8912396913953233</v>
      </c>
      <c r="K114" s="35">
        <f t="shared" si="13"/>
        <v>3.8442702874789405</v>
      </c>
      <c r="L114" s="35">
        <f t="shared" si="14"/>
        <v>4.6721512616717573E-2</v>
      </c>
      <c r="M114" s="36"/>
      <c r="N114" s="35">
        <f t="shared" si="15"/>
        <v>3.8912396913953233</v>
      </c>
      <c r="O114" s="37">
        <v>4001754</v>
      </c>
      <c r="P114" s="38">
        <v>15571784</v>
      </c>
      <c r="Q114" s="38">
        <v>15383824</v>
      </c>
      <c r="R114" s="38">
        <v>186968</v>
      </c>
      <c r="S114" s="39"/>
      <c r="T114" s="40">
        <v>32.890599999999999</v>
      </c>
      <c r="U114" s="40">
        <v>45.950200000000002</v>
      </c>
      <c r="V114" s="40">
        <v>46.805100000000003</v>
      </c>
      <c r="W114" s="41"/>
      <c r="X114" s="42"/>
      <c r="Y114" s="42"/>
      <c r="AA114" s="34" t="str">
        <f t="shared" si="16"/>
        <v>·</v>
      </c>
      <c r="AB114" s="35">
        <f t="shared" si="17"/>
        <v>3.8693033104983465</v>
      </c>
      <c r="AC114" s="35">
        <f t="shared" si="18"/>
        <v>3.8442702874789405</v>
      </c>
      <c r="AD114" s="35">
        <f t="shared" si="19"/>
        <v>2.4787130843125289E-2</v>
      </c>
      <c r="AE114" s="36"/>
      <c r="AF114" s="35">
        <f t="shared" si="20"/>
        <v>3.8693033104983465</v>
      </c>
      <c r="AG114" s="37">
        <v>4001754</v>
      </c>
      <c r="AH114" s="38">
        <v>15484000</v>
      </c>
      <c r="AI114" s="38">
        <v>15383824</v>
      </c>
      <c r="AJ114" s="38">
        <v>99192</v>
      </c>
      <c r="AK114" s="39"/>
      <c r="AL114" s="40">
        <v>30.324000000000002</v>
      </c>
      <c r="AM114" s="40">
        <v>44.405200000000001</v>
      </c>
      <c r="AN114" s="40">
        <v>45.030500000000004</v>
      </c>
      <c r="AO114" s="41"/>
      <c r="AP114" s="42"/>
      <c r="AQ114" s="42"/>
      <c r="AS114" s="43">
        <f t="shared" si="21"/>
        <v>5.6009040831777046E-3</v>
      </c>
      <c r="AT114" s="43"/>
      <c r="AV114" s="44"/>
      <c r="AW114" s="44"/>
      <c r="AX114" s="44"/>
      <c r="AY114" s="45"/>
      <c r="BA114" s="44"/>
      <c r="BB114" s="44"/>
      <c r="BC114" s="44"/>
      <c r="BD114" s="45"/>
    </row>
    <row r="115" spans="1:56" outlineLevel="1" x14ac:dyDescent="0.15">
      <c r="A115" s="16"/>
      <c r="B115" s="16" t="s">
        <v>284</v>
      </c>
      <c r="C115" s="17" t="s">
        <v>227</v>
      </c>
      <c r="D115" s="16">
        <v>4001754</v>
      </c>
      <c r="E115" s="18">
        <v>12</v>
      </c>
      <c r="F115" s="17">
        <v>1</v>
      </c>
      <c r="G115" s="17"/>
      <c r="I115" s="19" t="str">
        <f t="shared" si="11"/>
        <v>·</v>
      </c>
      <c r="J115" s="20">
        <f t="shared" si="12"/>
        <v>3.944778214752831</v>
      </c>
      <c r="K115" s="20">
        <f t="shared" si="13"/>
        <v>3.8442702874789405</v>
      </c>
      <c r="L115" s="20">
        <f t="shared" si="14"/>
        <v>0.10026003597422531</v>
      </c>
      <c r="M115" s="21"/>
      <c r="N115" s="20">
        <f t="shared" si="15"/>
        <v>3.944778214752831</v>
      </c>
      <c r="O115" s="22">
        <v>4001754</v>
      </c>
      <c r="P115" s="23">
        <v>15786032</v>
      </c>
      <c r="Q115" s="23">
        <v>15383824</v>
      </c>
      <c r="R115" s="23">
        <v>401216</v>
      </c>
      <c r="S115" s="24"/>
      <c r="T115" s="25">
        <v>35.770800000000001</v>
      </c>
      <c r="U115" s="25">
        <v>47.557699999999997</v>
      </c>
      <c r="V115" s="25">
        <v>48.5227</v>
      </c>
      <c r="W115" s="26"/>
      <c r="X115" s="27"/>
      <c r="Y115" s="27"/>
      <c r="AA115" s="19" t="str">
        <f t="shared" si="16"/>
        <v>·</v>
      </c>
      <c r="AB115" s="20">
        <f t="shared" si="17"/>
        <v>3.9058053043740322</v>
      </c>
      <c r="AC115" s="20">
        <f t="shared" si="18"/>
        <v>3.8442702874789405</v>
      </c>
      <c r="AD115" s="20">
        <f t="shared" si="19"/>
        <v>6.1289124718810803E-2</v>
      </c>
      <c r="AE115" s="21"/>
      <c r="AF115" s="20">
        <f t="shared" si="20"/>
        <v>3.9058053043740322</v>
      </c>
      <c r="AG115" s="22">
        <v>4001754</v>
      </c>
      <c r="AH115" s="23">
        <v>15630072</v>
      </c>
      <c r="AI115" s="23">
        <v>15383824</v>
      </c>
      <c r="AJ115" s="23">
        <v>245264</v>
      </c>
      <c r="AK115" s="24"/>
      <c r="AL115" s="25">
        <v>33.313800000000001</v>
      </c>
      <c r="AM115" s="25">
        <v>45.948799999999999</v>
      </c>
      <c r="AN115" s="25">
        <v>46.712200000000003</v>
      </c>
      <c r="AO115" s="26"/>
      <c r="AP115" s="27"/>
      <c r="AQ115" s="27"/>
      <c r="AS115" s="28">
        <f t="shared" si="21"/>
        <v>9.7239691368359304E-3</v>
      </c>
      <c r="AT115" s="28"/>
      <c r="AV115" s="29"/>
      <c r="AW115" s="29"/>
      <c r="AX115" s="29"/>
      <c r="AY115" s="30"/>
      <c r="BA115" s="29"/>
      <c r="BB115" s="29"/>
      <c r="BC115" s="29"/>
      <c r="BD115" s="30"/>
    </row>
    <row r="116" spans="1:56" outlineLevel="1" x14ac:dyDescent="0.15">
      <c r="A116" s="31"/>
      <c r="B116" s="31" t="s">
        <v>284</v>
      </c>
      <c r="C116" s="32" t="s">
        <v>228</v>
      </c>
      <c r="D116" s="31">
        <v>4001754</v>
      </c>
      <c r="E116" s="33">
        <v>12</v>
      </c>
      <c r="F116" s="32">
        <v>1</v>
      </c>
      <c r="G116" s="32"/>
      <c r="I116" s="34" t="str">
        <f t="shared" si="11"/>
        <v>·</v>
      </c>
      <c r="J116" s="35">
        <f t="shared" si="12"/>
        <v>4.0524789879637781</v>
      </c>
      <c r="K116" s="35">
        <f t="shared" si="13"/>
        <v>3.8442702874789405</v>
      </c>
      <c r="L116" s="35">
        <f t="shared" si="14"/>
        <v>0.20796080918517229</v>
      </c>
      <c r="M116" s="36"/>
      <c r="N116" s="35">
        <f t="shared" si="15"/>
        <v>4.0524789879637781</v>
      </c>
      <c r="O116" s="37">
        <v>4001754</v>
      </c>
      <c r="P116" s="38">
        <v>16217024</v>
      </c>
      <c r="Q116" s="38">
        <v>15383824</v>
      </c>
      <c r="R116" s="38">
        <v>832208</v>
      </c>
      <c r="S116" s="39"/>
      <c r="T116" s="40">
        <v>38.697600000000001</v>
      </c>
      <c r="U116" s="40">
        <v>49.307099999999998</v>
      </c>
      <c r="V116" s="40">
        <v>50.2639</v>
      </c>
      <c r="W116" s="41"/>
      <c r="X116" s="42"/>
      <c r="Y116" s="42"/>
      <c r="AA116" s="34" t="str">
        <f t="shared" si="16"/>
        <v>·</v>
      </c>
      <c r="AB116" s="35">
        <f t="shared" si="17"/>
        <v>3.9810303182054669</v>
      </c>
      <c r="AC116" s="35">
        <f t="shared" si="18"/>
        <v>3.8442702874789405</v>
      </c>
      <c r="AD116" s="35">
        <f t="shared" si="19"/>
        <v>0.13651413855024572</v>
      </c>
      <c r="AE116" s="36"/>
      <c r="AF116" s="35">
        <f t="shared" si="20"/>
        <v>3.9810303182054669</v>
      </c>
      <c r="AG116" s="37">
        <v>4001754</v>
      </c>
      <c r="AH116" s="38">
        <v>15931104</v>
      </c>
      <c r="AI116" s="38">
        <v>15383824</v>
      </c>
      <c r="AJ116" s="38">
        <v>546296</v>
      </c>
      <c r="AK116" s="39"/>
      <c r="AL116" s="40">
        <v>36.443300000000001</v>
      </c>
      <c r="AM116" s="40">
        <v>47.545499999999997</v>
      </c>
      <c r="AN116" s="40">
        <v>48.361199999999997</v>
      </c>
      <c r="AO116" s="41"/>
      <c r="AP116" s="42"/>
      <c r="AQ116" s="42"/>
      <c r="AS116" s="43">
        <f t="shared" si="21"/>
        <v>1.7025183662472521E-2</v>
      </c>
      <c r="AT116" s="43"/>
      <c r="AV116" s="44"/>
      <c r="AW116" s="44"/>
      <c r="AX116" s="44"/>
      <c r="AY116" s="45"/>
      <c r="BA116" s="44"/>
      <c r="BB116" s="44"/>
      <c r="BC116" s="44"/>
      <c r="BD116" s="45"/>
    </row>
    <row r="117" spans="1:56" outlineLevel="1" x14ac:dyDescent="0.15">
      <c r="A117" s="16"/>
      <c r="B117" s="16" t="s">
        <v>284</v>
      </c>
      <c r="C117" s="17" t="s">
        <v>229</v>
      </c>
      <c r="D117" s="16">
        <v>4001754</v>
      </c>
      <c r="E117" s="18">
        <v>12</v>
      </c>
      <c r="F117" s="17">
        <v>1</v>
      </c>
      <c r="G117" s="17"/>
      <c r="I117" s="19" t="str">
        <f t="shared" si="11"/>
        <v>·</v>
      </c>
      <c r="J117" s="20">
        <f t="shared" si="12"/>
        <v>4.2566274688549068</v>
      </c>
      <c r="K117" s="20">
        <f t="shared" si="13"/>
        <v>3.8442702874789405</v>
      </c>
      <c r="L117" s="20">
        <f t="shared" si="14"/>
        <v>0.41210929007630154</v>
      </c>
      <c r="M117" s="21"/>
      <c r="N117" s="20">
        <f t="shared" si="15"/>
        <v>4.2566274688549068</v>
      </c>
      <c r="O117" s="22">
        <v>4001754</v>
      </c>
      <c r="P117" s="23">
        <v>17033976</v>
      </c>
      <c r="Q117" s="23">
        <v>15383824</v>
      </c>
      <c r="R117" s="23">
        <v>1649160</v>
      </c>
      <c r="S117" s="24"/>
      <c r="T117" s="25">
        <v>41.569800000000001</v>
      </c>
      <c r="U117" s="25">
        <v>50.9895</v>
      </c>
      <c r="V117" s="25">
        <v>51.9437</v>
      </c>
      <c r="W117" s="26"/>
      <c r="X117" s="27"/>
      <c r="Y117" s="27"/>
      <c r="AA117" s="19" t="str">
        <f t="shared" si="16"/>
        <v>·</v>
      </c>
      <c r="AB117" s="20">
        <f t="shared" si="17"/>
        <v>4.1422816095142281</v>
      </c>
      <c r="AC117" s="20">
        <f t="shared" si="18"/>
        <v>3.8442702874789405</v>
      </c>
      <c r="AD117" s="20">
        <f t="shared" si="19"/>
        <v>0.29776542985900684</v>
      </c>
      <c r="AE117" s="21"/>
      <c r="AF117" s="20">
        <f t="shared" si="20"/>
        <v>4.1422816095142281</v>
      </c>
      <c r="AG117" s="22">
        <v>4001754</v>
      </c>
      <c r="AH117" s="23">
        <v>16576392</v>
      </c>
      <c r="AI117" s="23">
        <v>15383824</v>
      </c>
      <c r="AJ117" s="23">
        <v>1191584</v>
      </c>
      <c r="AK117" s="24"/>
      <c r="AL117" s="25">
        <v>39.909799999999997</v>
      </c>
      <c r="AM117" s="25">
        <v>49.2881</v>
      </c>
      <c r="AN117" s="25">
        <v>50.125399999999999</v>
      </c>
      <c r="AO117" s="26"/>
      <c r="AP117" s="27"/>
      <c r="AQ117" s="27"/>
      <c r="AS117" s="28">
        <f t="shared" si="21"/>
        <v>2.493039121535201E-2</v>
      </c>
      <c r="AT117" s="28"/>
      <c r="AV117" s="29"/>
      <c r="AW117" s="29"/>
      <c r="AX117" s="29"/>
      <c r="AY117" s="30"/>
      <c r="BA117" s="29"/>
      <c r="BB117" s="29"/>
      <c r="BC117" s="29"/>
      <c r="BD117" s="30"/>
    </row>
    <row r="118" spans="1:56" outlineLevel="1" x14ac:dyDescent="0.15">
      <c r="A118" s="31"/>
      <c r="B118" s="46" t="s">
        <v>284</v>
      </c>
      <c r="C118" s="47" t="s">
        <v>230</v>
      </c>
      <c r="D118" s="46">
        <v>4001754</v>
      </c>
      <c r="E118" s="48">
        <v>12</v>
      </c>
      <c r="F118" s="47">
        <v>1</v>
      </c>
      <c r="G118" s="47"/>
      <c r="I118" s="49" t="str">
        <f t="shared" si="11"/>
        <v>·</v>
      </c>
      <c r="J118" s="50">
        <f t="shared" si="12"/>
        <v>4.6615818963384559</v>
      </c>
      <c r="K118" s="50">
        <f t="shared" si="13"/>
        <v>3.8442702874789405</v>
      </c>
      <c r="L118" s="50">
        <f t="shared" si="14"/>
        <v>0.81706371755984997</v>
      </c>
      <c r="M118" s="51"/>
      <c r="N118" s="50">
        <f t="shared" si="15"/>
        <v>4.6615818963384559</v>
      </c>
      <c r="O118" s="52">
        <v>4001754</v>
      </c>
      <c r="P118" s="53">
        <v>18654504</v>
      </c>
      <c r="Q118" s="53">
        <v>15383824</v>
      </c>
      <c r="R118" s="53">
        <v>3269688</v>
      </c>
      <c r="S118" s="54"/>
      <c r="T118" s="55">
        <v>44.552500000000002</v>
      </c>
      <c r="U118" s="55">
        <v>52.563000000000002</v>
      </c>
      <c r="V118" s="55">
        <v>53.400700000000001</v>
      </c>
      <c r="W118" s="56"/>
      <c r="X118" s="57"/>
      <c r="Y118" s="57"/>
      <c r="AA118" s="49" t="str">
        <f t="shared" si="16"/>
        <v>·</v>
      </c>
      <c r="AB118" s="50">
        <f t="shared" si="17"/>
        <v>4.4392793759936264</v>
      </c>
      <c r="AC118" s="50">
        <f t="shared" si="18"/>
        <v>3.8442702874789405</v>
      </c>
      <c r="AD118" s="50">
        <f t="shared" si="19"/>
        <v>0.59476319633840558</v>
      </c>
      <c r="AE118" s="51"/>
      <c r="AF118" s="50">
        <f t="shared" si="20"/>
        <v>4.4392793759936264</v>
      </c>
      <c r="AG118" s="52">
        <v>4001754</v>
      </c>
      <c r="AH118" s="53">
        <v>17764904</v>
      </c>
      <c r="AI118" s="53">
        <v>15383824</v>
      </c>
      <c r="AJ118" s="53">
        <v>2380096</v>
      </c>
      <c r="AK118" s="54"/>
      <c r="AL118" s="55">
        <v>43.238</v>
      </c>
      <c r="AM118" s="55">
        <v>50.972799999999999</v>
      </c>
      <c r="AN118" s="55">
        <v>51.734099999999998</v>
      </c>
      <c r="AO118" s="56"/>
      <c r="AP118" s="57"/>
      <c r="AQ118" s="57"/>
      <c r="AS118" s="58">
        <f t="shared" si="21"/>
        <v>4.1296429663806755E-2</v>
      </c>
      <c r="AT118" s="58"/>
      <c r="AV118" s="59"/>
      <c r="AW118" s="59"/>
      <c r="AX118" s="59"/>
      <c r="AY118" s="60"/>
      <c r="BA118" s="59"/>
      <c r="BB118" s="59"/>
      <c r="BC118" s="59"/>
      <c r="BD118" s="60"/>
    </row>
    <row r="119" spans="1:56" collapsed="1" x14ac:dyDescent="0.15">
      <c r="A119" s="16"/>
      <c r="B119" s="16" t="s">
        <v>287</v>
      </c>
      <c r="C119" s="17" t="s">
        <v>225</v>
      </c>
      <c r="D119" s="16">
        <v>1089091</v>
      </c>
      <c r="E119" s="18">
        <v>10</v>
      </c>
      <c r="F119" s="17">
        <v>1</v>
      </c>
      <c r="G119" s="17"/>
      <c r="I119" s="19" t="str">
        <f t="shared" si="11"/>
        <v>·</v>
      </c>
      <c r="J119" s="20">
        <f t="shared" si="12"/>
        <v>1.066408592119483</v>
      </c>
      <c r="K119" s="20">
        <f t="shared" si="13"/>
        <v>1.0349474929092244</v>
      </c>
      <c r="L119" s="20">
        <f t="shared" si="14"/>
        <v>3.0976291237371348E-2</v>
      </c>
      <c r="M119" s="21"/>
      <c r="N119" s="20">
        <f t="shared" si="15"/>
        <v>1.066408592119483</v>
      </c>
      <c r="O119" s="22">
        <v>1089091</v>
      </c>
      <c r="P119" s="23">
        <v>1161416</v>
      </c>
      <c r="Q119" s="23">
        <v>1127152</v>
      </c>
      <c r="R119" s="23">
        <v>33736</v>
      </c>
      <c r="S119" s="24"/>
      <c r="T119" s="25">
        <v>28.259899999999998</v>
      </c>
      <c r="U119" s="25">
        <v>40.9589</v>
      </c>
      <c r="V119" s="25">
        <v>43.771500000000003</v>
      </c>
      <c r="W119" s="26"/>
      <c r="X119" s="27"/>
      <c r="Y119" s="27"/>
      <c r="AA119" s="19" t="str">
        <f t="shared" si="16"/>
        <v>·</v>
      </c>
      <c r="AB119" s="20">
        <f t="shared" si="17"/>
        <v>1.048646990930969</v>
      </c>
      <c r="AC119" s="20">
        <f t="shared" si="18"/>
        <v>1.0349474929092244</v>
      </c>
      <c r="AD119" s="20">
        <f t="shared" si="19"/>
        <v>1.3222035624204037E-2</v>
      </c>
      <c r="AE119" s="21"/>
      <c r="AF119" s="20">
        <f t="shared" si="20"/>
        <v>1.048646990930969</v>
      </c>
      <c r="AG119" s="22">
        <v>1089091</v>
      </c>
      <c r="AH119" s="23">
        <v>1142072</v>
      </c>
      <c r="AI119" s="23">
        <v>1127152</v>
      </c>
      <c r="AJ119" s="23">
        <v>14400</v>
      </c>
      <c r="AK119" s="24"/>
      <c r="AL119" s="25">
        <v>26.275400000000001</v>
      </c>
      <c r="AM119" s="25">
        <v>41.828200000000002</v>
      </c>
      <c r="AN119" s="25">
        <v>42.061</v>
      </c>
      <c r="AO119" s="26"/>
      <c r="AP119" s="27"/>
      <c r="AQ119" s="27"/>
      <c r="AS119" s="28">
        <f t="shared" si="21"/>
        <v>1.643794339715654E-2</v>
      </c>
      <c r="AT119" s="28">
        <f t="array" ref="AT119">AVERAGE(AI119:AI124/AH119:AH124) - AVERAGE(Q119:Q124/P119:P124)</f>
        <v>4.53487354746549E-2</v>
      </c>
      <c r="AV119" s="29">
        <f>IF( OR(ISBLANK(R119:R124),ISBLANK(AJ119:AJ124), ISBLANK(T119:T124),ISBLANK(AL119:AL124)), "·", bdRateExtend( R119:R124,T119:T124, AJ119:AJ124,AL119:AL124))</f>
        <v>6.6396765752270159E-2</v>
      </c>
      <c r="AW119" s="29">
        <f>IF( OR(ISBLANK(R119:R124),ISBLANK(AJ119:AJ124), ISBLANK(U119:U124),ISBLANK(AM119:AM124)), "·", bdRateExtend( R119:R124,U119:U124, AJ119:AJ124,AM119:AM124))</f>
        <v>0.22389922473196511</v>
      </c>
      <c r="AX119" s="29">
        <f>IF( OR(ISBLANK(R119:R124),ISBLANK(AJ119:AJ124), ISBLANK(V119:V124),ISBLANK(AN119:AN124)), "·", bdRateExtend( R119:R124,V119:V124, AJ119:AJ124,AN119:AN124))</f>
        <v>0.53390307619056854</v>
      </c>
      <c r="AY119" s="30"/>
      <c r="BA119" s="29">
        <f>IF( OR(ISBLANK(P119:P124),ISBLANK(AH119:AH124), ISBLANK(T119:T124),ISBLANK(AL119:AL124)), "·", bdRateExtend( P119:P124,T119:T124, AH119:AH124,AL119:AL124))</f>
        <v>6.153433824289678E-4</v>
      </c>
      <c r="BB119" s="29">
        <f>IF( OR(ISBLANK(P119:P124),ISBLANK(AH119:AH124), ISBLANK(U119:U124),ISBLANK(AM119:AM124)), "·", bdRateExtend( P119:P124,U119:U124, AH119:AH124,AM119:AM124))</f>
        <v>6.6048080602448156E-2</v>
      </c>
      <c r="BC119" s="29">
        <f>IF( OR(ISBLANK(P119:P124),ISBLANK(AH119:AH124), ISBLANK(V119:V124),ISBLANK(AN119:AN124)), "·", bdRateExtend( P119:P124,V119:V124, AH119:AH124,AN119:AN124))</f>
        <v>9.0879918992343711E-2</v>
      </c>
      <c r="BD119" s="30"/>
    </row>
    <row r="120" spans="1:56" outlineLevel="1" x14ac:dyDescent="0.15">
      <c r="A120" s="31"/>
      <c r="B120" s="31" t="s">
        <v>287</v>
      </c>
      <c r="C120" s="32" t="s">
        <v>226</v>
      </c>
      <c r="D120" s="31">
        <v>1089091</v>
      </c>
      <c r="E120" s="33">
        <v>10</v>
      </c>
      <c r="F120" s="32">
        <v>1</v>
      </c>
      <c r="G120" s="32"/>
      <c r="I120" s="34" t="str">
        <f t="shared" si="11"/>
        <v>·</v>
      </c>
      <c r="J120" s="35">
        <f t="shared" si="12"/>
        <v>1.1031070865519961</v>
      </c>
      <c r="K120" s="35">
        <f t="shared" si="13"/>
        <v>1.0349474929092244</v>
      </c>
      <c r="L120" s="35">
        <f t="shared" si="14"/>
        <v>6.767478566988433E-2</v>
      </c>
      <c r="M120" s="36"/>
      <c r="N120" s="35">
        <f t="shared" si="15"/>
        <v>1.1031070865519961</v>
      </c>
      <c r="O120" s="37">
        <v>1089091</v>
      </c>
      <c r="P120" s="38">
        <v>1201384</v>
      </c>
      <c r="Q120" s="38">
        <v>1127152</v>
      </c>
      <c r="R120" s="38">
        <v>73704</v>
      </c>
      <c r="S120" s="39"/>
      <c r="T120" s="40">
        <v>30.490100000000002</v>
      </c>
      <c r="U120" s="40">
        <v>44.8626</v>
      </c>
      <c r="V120" s="40">
        <v>45.471800000000002</v>
      </c>
      <c r="W120" s="41"/>
      <c r="X120" s="42"/>
      <c r="Y120" s="42"/>
      <c r="AA120" s="34" t="str">
        <f t="shared" si="16"/>
        <v>·</v>
      </c>
      <c r="AB120" s="35">
        <f t="shared" si="17"/>
        <v>1.0693468222581952</v>
      </c>
      <c r="AC120" s="35">
        <f t="shared" si="18"/>
        <v>1.0349474929092244</v>
      </c>
      <c r="AD120" s="35">
        <f t="shared" si="19"/>
        <v>3.3921866951430138E-2</v>
      </c>
      <c r="AE120" s="36"/>
      <c r="AF120" s="35">
        <f t="shared" si="20"/>
        <v>1.0693468222581952</v>
      </c>
      <c r="AG120" s="37">
        <v>1089091</v>
      </c>
      <c r="AH120" s="38">
        <v>1164616</v>
      </c>
      <c r="AI120" s="38">
        <v>1127152</v>
      </c>
      <c r="AJ120" s="38">
        <v>36944</v>
      </c>
      <c r="AK120" s="39"/>
      <c r="AL120" s="40">
        <v>28.198399999999999</v>
      </c>
      <c r="AM120" s="40">
        <v>43.244399999999999</v>
      </c>
      <c r="AN120" s="40">
        <v>43.586399999999998</v>
      </c>
      <c r="AO120" s="41"/>
      <c r="AP120" s="42"/>
      <c r="AQ120" s="42"/>
      <c r="AS120" s="43">
        <f t="shared" si="21"/>
        <v>2.9620193882233692E-2</v>
      </c>
      <c r="AT120" s="43"/>
      <c r="AV120" s="44"/>
      <c r="AW120" s="44"/>
      <c r="AX120" s="44"/>
      <c r="AY120" s="45"/>
      <c r="BA120" s="44"/>
      <c r="BB120" s="44"/>
      <c r="BC120" s="44"/>
      <c r="BD120" s="45"/>
    </row>
    <row r="121" spans="1:56" outlineLevel="1" x14ac:dyDescent="0.15">
      <c r="A121" s="16"/>
      <c r="B121" s="16" t="s">
        <v>287</v>
      </c>
      <c r="C121" s="17" t="s">
        <v>227</v>
      </c>
      <c r="D121" s="16">
        <v>1089091</v>
      </c>
      <c r="E121" s="18">
        <v>10</v>
      </c>
      <c r="F121" s="17">
        <v>1</v>
      </c>
      <c r="G121" s="17"/>
      <c r="I121" s="19" t="str">
        <f t="shared" si="11"/>
        <v>·</v>
      </c>
      <c r="J121" s="20">
        <f t="shared" si="12"/>
        <v>1.1916433062067358</v>
      </c>
      <c r="K121" s="20">
        <f t="shared" si="13"/>
        <v>1.0349474929092244</v>
      </c>
      <c r="L121" s="20">
        <f t="shared" si="14"/>
        <v>0.15621100532462392</v>
      </c>
      <c r="M121" s="21"/>
      <c r="N121" s="20">
        <f t="shared" si="15"/>
        <v>1.1916433062067358</v>
      </c>
      <c r="O121" s="22">
        <v>1089091</v>
      </c>
      <c r="P121" s="23">
        <v>1297808</v>
      </c>
      <c r="Q121" s="23">
        <v>1127152</v>
      </c>
      <c r="R121" s="23">
        <v>170128</v>
      </c>
      <c r="S121" s="24"/>
      <c r="T121" s="25">
        <v>33.2639</v>
      </c>
      <c r="U121" s="25">
        <v>46.462899999999998</v>
      </c>
      <c r="V121" s="25">
        <v>47.192799999999998</v>
      </c>
      <c r="W121" s="26"/>
      <c r="X121" s="27"/>
      <c r="Y121" s="27"/>
      <c r="AA121" s="19" t="str">
        <f t="shared" si="16"/>
        <v>·</v>
      </c>
      <c r="AB121" s="20">
        <f t="shared" si="17"/>
        <v>1.1295952312524848</v>
      </c>
      <c r="AC121" s="20">
        <f t="shared" si="18"/>
        <v>1.0349474929092244</v>
      </c>
      <c r="AD121" s="20">
        <f t="shared" si="19"/>
        <v>9.4170275945719875E-2</v>
      </c>
      <c r="AE121" s="21"/>
      <c r="AF121" s="20">
        <f t="shared" si="20"/>
        <v>1.1295952312524848</v>
      </c>
      <c r="AG121" s="22">
        <v>1089091</v>
      </c>
      <c r="AH121" s="23">
        <v>1230232</v>
      </c>
      <c r="AI121" s="23">
        <v>1127152</v>
      </c>
      <c r="AJ121" s="23">
        <v>102560</v>
      </c>
      <c r="AK121" s="24"/>
      <c r="AL121" s="25">
        <v>30.976299999999998</v>
      </c>
      <c r="AM121" s="25">
        <v>44.7881</v>
      </c>
      <c r="AN121" s="25">
        <v>45.315199999999997</v>
      </c>
      <c r="AO121" s="26"/>
      <c r="AP121" s="27"/>
      <c r="AQ121" s="27"/>
      <c r="AS121" s="28">
        <f t="shared" si="21"/>
        <v>4.7706493980661513E-2</v>
      </c>
      <c r="AT121" s="28"/>
      <c r="AV121" s="29"/>
      <c r="AW121" s="29"/>
      <c r="AX121" s="29"/>
      <c r="AY121" s="30"/>
      <c r="BA121" s="29"/>
      <c r="BB121" s="29"/>
      <c r="BC121" s="29"/>
      <c r="BD121" s="30"/>
    </row>
    <row r="122" spans="1:56" outlineLevel="1" x14ac:dyDescent="0.15">
      <c r="A122" s="31"/>
      <c r="B122" s="31" t="s">
        <v>287</v>
      </c>
      <c r="C122" s="32" t="s">
        <v>228</v>
      </c>
      <c r="D122" s="31">
        <v>1089091</v>
      </c>
      <c r="E122" s="33">
        <v>10</v>
      </c>
      <c r="F122" s="32">
        <v>1</v>
      </c>
      <c r="G122" s="32"/>
      <c r="I122" s="34" t="str">
        <f t="shared" si="11"/>
        <v>·</v>
      </c>
      <c r="J122" s="35">
        <f t="shared" si="12"/>
        <v>1.3578369484276336</v>
      </c>
      <c r="K122" s="35">
        <f t="shared" si="13"/>
        <v>1.0349474929092244</v>
      </c>
      <c r="L122" s="35">
        <f t="shared" si="14"/>
        <v>0.32240464754552189</v>
      </c>
      <c r="M122" s="36"/>
      <c r="N122" s="35">
        <f t="shared" si="15"/>
        <v>1.3578369484276336</v>
      </c>
      <c r="O122" s="37">
        <v>1089091</v>
      </c>
      <c r="P122" s="38">
        <v>1478808</v>
      </c>
      <c r="Q122" s="38">
        <v>1127152</v>
      </c>
      <c r="R122" s="38">
        <v>351128</v>
      </c>
      <c r="S122" s="39"/>
      <c r="T122" s="40">
        <v>36.042700000000004</v>
      </c>
      <c r="U122" s="40">
        <v>48.321300000000001</v>
      </c>
      <c r="V122" s="40">
        <v>49.102899999999998</v>
      </c>
      <c r="W122" s="41"/>
      <c r="X122" s="42"/>
      <c r="Y122" s="42"/>
      <c r="AA122" s="34" t="str">
        <f t="shared" si="16"/>
        <v>·</v>
      </c>
      <c r="AB122" s="35">
        <f t="shared" si="17"/>
        <v>1.2619184255493803</v>
      </c>
      <c r="AC122" s="35">
        <f t="shared" si="18"/>
        <v>1.0349474929092244</v>
      </c>
      <c r="AD122" s="35">
        <f t="shared" si="19"/>
        <v>0.22649347024261518</v>
      </c>
      <c r="AE122" s="36"/>
      <c r="AF122" s="35">
        <f t="shared" si="20"/>
        <v>1.2619184255493803</v>
      </c>
      <c r="AG122" s="37">
        <v>1089091</v>
      </c>
      <c r="AH122" s="38">
        <v>1374344</v>
      </c>
      <c r="AI122" s="38">
        <v>1127152</v>
      </c>
      <c r="AJ122" s="38">
        <v>246672</v>
      </c>
      <c r="AK122" s="39"/>
      <c r="AL122" s="40">
        <v>34.186599999999999</v>
      </c>
      <c r="AM122" s="40">
        <v>46.419199999999996</v>
      </c>
      <c r="AN122" s="40">
        <v>47.119100000000003</v>
      </c>
      <c r="AO122" s="41"/>
      <c r="AP122" s="42"/>
      <c r="AQ122" s="42"/>
      <c r="AS122" s="43">
        <f t="shared" si="21"/>
        <v>5.7935117902225719E-2</v>
      </c>
      <c r="AT122" s="43"/>
      <c r="AV122" s="44"/>
      <c r="AW122" s="44"/>
      <c r="AX122" s="44"/>
      <c r="AY122" s="45"/>
      <c r="BA122" s="44"/>
      <c r="BB122" s="44"/>
      <c r="BC122" s="44"/>
      <c r="BD122" s="45"/>
    </row>
    <row r="123" spans="1:56" outlineLevel="1" x14ac:dyDescent="0.15">
      <c r="A123" s="16"/>
      <c r="B123" s="16" t="s">
        <v>287</v>
      </c>
      <c r="C123" s="17" t="s">
        <v>229</v>
      </c>
      <c r="D123" s="16">
        <v>1089091</v>
      </c>
      <c r="E123" s="18">
        <v>10</v>
      </c>
      <c r="F123" s="17">
        <v>1</v>
      </c>
      <c r="G123" s="17"/>
      <c r="I123" s="19" t="str">
        <f t="shared" si="11"/>
        <v>·</v>
      </c>
      <c r="J123" s="20">
        <f t="shared" si="12"/>
        <v>1.6872125469772499</v>
      </c>
      <c r="K123" s="20">
        <f t="shared" si="13"/>
        <v>1.0349474929092244</v>
      </c>
      <c r="L123" s="20">
        <f t="shared" si="14"/>
        <v>0.65178024609513807</v>
      </c>
      <c r="M123" s="21"/>
      <c r="N123" s="20">
        <f t="shared" si="15"/>
        <v>1.6872125469772499</v>
      </c>
      <c r="O123" s="22">
        <v>1089091</v>
      </c>
      <c r="P123" s="23">
        <v>1837528</v>
      </c>
      <c r="Q123" s="23">
        <v>1127152</v>
      </c>
      <c r="R123" s="23">
        <v>709848</v>
      </c>
      <c r="S123" s="24"/>
      <c r="T123" s="25">
        <v>38.949300000000001</v>
      </c>
      <c r="U123" s="25">
        <v>50.2117</v>
      </c>
      <c r="V123" s="25">
        <v>51.046900000000001</v>
      </c>
      <c r="W123" s="26"/>
      <c r="X123" s="27"/>
      <c r="Y123" s="27"/>
      <c r="AA123" s="19" t="str">
        <f t="shared" si="16"/>
        <v>·</v>
      </c>
      <c r="AB123" s="20">
        <f t="shared" si="17"/>
        <v>1.5457661480996538</v>
      </c>
      <c r="AC123" s="20">
        <f t="shared" si="18"/>
        <v>1.0349474929092244</v>
      </c>
      <c r="AD123" s="20">
        <f t="shared" si="19"/>
        <v>0.5103411927928887</v>
      </c>
      <c r="AE123" s="21"/>
      <c r="AF123" s="20">
        <f t="shared" si="20"/>
        <v>1.5457661480996538</v>
      </c>
      <c r="AG123" s="22">
        <v>1089091</v>
      </c>
      <c r="AH123" s="23">
        <v>1683480</v>
      </c>
      <c r="AI123" s="23">
        <v>1127152</v>
      </c>
      <c r="AJ123" s="23">
        <v>555808</v>
      </c>
      <c r="AK123" s="24"/>
      <c r="AL123" s="25">
        <v>37.950699999999998</v>
      </c>
      <c r="AM123" s="25">
        <v>48.317100000000003</v>
      </c>
      <c r="AN123" s="25">
        <v>48.997300000000003</v>
      </c>
      <c r="AO123" s="26"/>
      <c r="AP123" s="27"/>
      <c r="AQ123" s="27"/>
      <c r="AS123" s="28">
        <f t="shared" si="21"/>
        <v>5.6130204363478264E-2</v>
      </c>
      <c r="AT123" s="28"/>
      <c r="AV123" s="29"/>
      <c r="AW123" s="29"/>
      <c r="AX123" s="29"/>
      <c r="AY123" s="30"/>
      <c r="BA123" s="29"/>
      <c r="BB123" s="29"/>
      <c r="BC123" s="29"/>
      <c r="BD123" s="30"/>
    </row>
    <row r="124" spans="1:56" outlineLevel="1" x14ac:dyDescent="0.15">
      <c r="A124" s="31"/>
      <c r="B124" s="46" t="s">
        <v>287</v>
      </c>
      <c r="C124" s="47" t="s">
        <v>230</v>
      </c>
      <c r="D124" s="46">
        <v>1089091</v>
      </c>
      <c r="E124" s="48">
        <v>10</v>
      </c>
      <c r="F124" s="47">
        <v>1</v>
      </c>
      <c r="G124" s="47"/>
      <c r="I124" s="49" t="str">
        <f t="shared" si="11"/>
        <v>·</v>
      </c>
      <c r="J124" s="50">
        <f t="shared" si="12"/>
        <v>2.3206288547054377</v>
      </c>
      <c r="K124" s="50">
        <f t="shared" si="13"/>
        <v>1.0349474929092244</v>
      </c>
      <c r="L124" s="50">
        <f t="shared" si="14"/>
        <v>1.2851965538233261</v>
      </c>
      <c r="M124" s="51"/>
      <c r="N124" s="50">
        <f t="shared" si="15"/>
        <v>2.3206288547054377</v>
      </c>
      <c r="O124" s="52">
        <v>1089091</v>
      </c>
      <c r="P124" s="53">
        <v>2527376</v>
      </c>
      <c r="Q124" s="53">
        <v>1127152</v>
      </c>
      <c r="R124" s="53">
        <v>1399696</v>
      </c>
      <c r="S124" s="54"/>
      <c r="T124" s="55">
        <v>42.682600000000001</v>
      </c>
      <c r="U124" s="55">
        <v>51.857399999999998</v>
      </c>
      <c r="V124" s="55">
        <v>52.635199999999998</v>
      </c>
      <c r="W124" s="56"/>
      <c r="X124" s="57"/>
      <c r="Y124" s="57"/>
      <c r="AA124" s="49" t="str">
        <f t="shared" si="16"/>
        <v>·</v>
      </c>
      <c r="AB124" s="50">
        <f t="shared" si="17"/>
        <v>2.0283557572324078</v>
      </c>
      <c r="AC124" s="50">
        <f t="shared" si="18"/>
        <v>1.0349474929092244</v>
      </c>
      <c r="AD124" s="50">
        <f t="shared" si="19"/>
        <v>0.99293080192564254</v>
      </c>
      <c r="AE124" s="51"/>
      <c r="AF124" s="50">
        <f t="shared" si="20"/>
        <v>2.0283557572324078</v>
      </c>
      <c r="AG124" s="52">
        <v>1089091</v>
      </c>
      <c r="AH124" s="53">
        <v>2209064</v>
      </c>
      <c r="AI124" s="53">
        <v>1127152</v>
      </c>
      <c r="AJ124" s="53">
        <v>1081392</v>
      </c>
      <c r="AK124" s="54"/>
      <c r="AL124" s="55">
        <v>41.758099999999999</v>
      </c>
      <c r="AM124" s="55">
        <v>50.074399999999997</v>
      </c>
      <c r="AN124" s="55">
        <v>50.804400000000001</v>
      </c>
      <c r="AO124" s="56"/>
      <c r="AP124" s="57"/>
      <c r="AQ124" s="57"/>
      <c r="AS124" s="58">
        <f t="shared" si="21"/>
        <v>6.4262459322173116E-2</v>
      </c>
      <c r="AT124" s="58"/>
      <c r="AV124" s="59"/>
      <c r="AW124" s="59"/>
      <c r="AX124" s="59"/>
      <c r="AY124" s="60"/>
      <c r="BA124" s="59"/>
      <c r="BB124" s="59"/>
      <c r="BC124" s="59"/>
      <c r="BD124" s="60"/>
    </row>
    <row r="125" spans="1:56" collapsed="1" x14ac:dyDescent="0.15">
      <c r="A125" s="16"/>
      <c r="B125" s="16" t="s">
        <v>290</v>
      </c>
      <c r="C125" s="17" t="s">
        <v>225</v>
      </c>
      <c r="D125" s="16">
        <v>3130215</v>
      </c>
      <c r="E125" s="18">
        <v>12</v>
      </c>
      <c r="F125" s="17">
        <v>1</v>
      </c>
      <c r="G125" s="17"/>
      <c r="I125" s="19" t="str">
        <f t="shared" si="11"/>
        <v>·</v>
      </c>
      <c r="J125" s="20">
        <f t="shared" si="12"/>
        <v>1.1380994596217833</v>
      </c>
      <c r="K125" s="20">
        <f t="shared" si="13"/>
        <v>1.0974786076994711</v>
      </c>
      <c r="L125" s="20">
        <f t="shared" si="14"/>
        <v>4.0319275193556992E-2</v>
      </c>
      <c r="M125" s="21"/>
      <c r="N125" s="20">
        <f t="shared" si="15"/>
        <v>1.1380994596217833</v>
      </c>
      <c r="O125" s="22">
        <v>3130215</v>
      </c>
      <c r="P125" s="23">
        <v>3562496</v>
      </c>
      <c r="Q125" s="23">
        <v>3435344</v>
      </c>
      <c r="R125" s="23">
        <v>126208</v>
      </c>
      <c r="S125" s="24"/>
      <c r="T125" s="25">
        <v>28.670300000000001</v>
      </c>
      <c r="U125" s="25">
        <v>35.117400000000004</v>
      </c>
      <c r="V125" s="25">
        <v>35.7166</v>
      </c>
      <c r="W125" s="26"/>
      <c r="X125" s="27"/>
      <c r="Y125" s="27"/>
      <c r="AA125" s="19" t="str">
        <f t="shared" si="16"/>
        <v>·</v>
      </c>
      <c r="AB125" s="20">
        <f t="shared" si="17"/>
        <v>1.1146148108037308</v>
      </c>
      <c r="AC125" s="20">
        <f t="shared" si="18"/>
        <v>1.0974786076994711</v>
      </c>
      <c r="AD125" s="20">
        <f t="shared" si="19"/>
        <v>1.6837182110494009E-2</v>
      </c>
      <c r="AE125" s="21"/>
      <c r="AF125" s="20">
        <f t="shared" si="20"/>
        <v>1.1146148108037308</v>
      </c>
      <c r="AG125" s="22">
        <v>3130215</v>
      </c>
      <c r="AH125" s="23">
        <v>3488984</v>
      </c>
      <c r="AI125" s="23">
        <v>3435344</v>
      </c>
      <c r="AJ125" s="23">
        <v>52704</v>
      </c>
      <c r="AK125" s="24"/>
      <c r="AL125" s="25">
        <v>26.4192</v>
      </c>
      <c r="AM125" s="25">
        <v>33.308199999999999</v>
      </c>
      <c r="AN125" s="25">
        <v>33.497700000000002</v>
      </c>
      <c r="AO125" s="26"/>
      <c r="AP125" s="27"/>
      <c r="AQ125" s="27"/>
      <c r="AS125" s="28">
        <f t="shared" si="21"/>
        <v>2.0317726371406164E-2</v>
      </c>
      <c r="AT125" s="28">
        <f t="array" ref="AT125">AVERAGE(AI125:AI130/AH125:AH130) - AVERAGE(Q125:Q130/P125:P130)</f>
        <v>5.0249200259952942E-2</v>
      </c>
      <c r="AV125" s="29">
        <f>IF( OR(ISBLANK(R125:R130),ISBLANK(AJ125:AJ130), ISBLANK(T125:T130),ISBLANK(AL125:AL130)), "·", bdRateExtend( R125:R130,T125:T130, AJ125:AJ130,AL125:AL130))</f>
        <v>1.7504466741449454E-2</v>
      </c>
      <c r="AW125" s="29">
        <f>IF( OR(ISBLANK(R125:R130),ISBLANK(AJ125:AJ130), ISBLANK(U125:U130),ISBLANK(AM125:AM130)), "·", bdRateExtend( R125:R130,U125:U130, AJ125:AJ130,AM125:AM130))</f>
        <v>0.21942997291474575</v>
      </c>
      <c r="AX125" s="29">
        <f>IF( OR(ISBLANK(R125:R130),ISBLANK(AJ125:AJ130), ISBLANK(V125:V130),ISBLANK(AN125:AN130)), "·", bdRateExtend( R125:R130,V125:V130, AJ125:AJ130,AN125:AN130))</f>
        <v>0.33473295681195547</v>
      </c>
      <c r="AY125" s="30"/>
      <c r="BA125" s="29">
        <f>IF( OR(ISBLANK(P125:P130),ISBLANK(AH125:AH130), ISBLANK(T125:T130),ISBLANK(AL125:AL130)), "·", bdRateExtend( P125:P130,T125:T130, AH125:AH130,AL125:AL130))</f>
        <v>-8.1561283896429693E-3</v>
      </c>
      <c r="BB125" s="29">
        <f>IF( OR(ISBLANK(P125:P130),ISBLANK(AH125:AH130), ISBLANK(U125:U130),ISBLANK(AM125:AM130)), "·", bdRateExtend( P125:P130,U125:U130, AH125:AH130,AM125:AM130))</f>
        <v>3.9008243777519658E-2</v>
      </c>
      <c r="BC125" s="29">
        <f>IF( OR(ISBLANK(P125:P130),ISBLANK(AH125:AH130), ISBLANK(V125:V130),ISBLANK(AN125:AN130)), "·", bdRateExtend( P125:P130,V125:V130, AH125:AH130,AN125:AN130))</f>
        <v>5.5272230709060288E-2</v>
      </c>
      <c r="BD125" s="30"/>
    </row>
    <row r="126" spans="1:56" outlineLevel="1" x14ac:dyDescent="0.15">
      <c r="A126" s="31"/>
      <c r="B126" s="31" t="s">
        <v>290</v>
      </c>
      <c r="C126" s="32" t="s">
        <v>226</v>
      </c>
      <c r="D126" s="31">
        <v>3130215</v>
      </c>
      <c r="E126" s="33">
        <v>12</v>
      </c>
      <c r="F126" s="32">
        <v>1</v>
      </c>
      <c r="G126" s="32"/>
      <c r="I126" s="34" t="str">
        <f t="shared" si="11"/>
        <v>·</v>
      </c>
      <c r="J126" s="35">
        <f t="shared" si="12"/>
        <v>1.1815392872374582</v>
      </c>
      <c r="K126" s="35">
        <f t="shared" si="13"/>
        <v>1.0974786076994711</v>
      </c>
      <c r="L126" s="35">
        <f t="shared" si="14"/>
        <v>8.3759102809231947E-2</v>
      </c>
      <c r="M126" s="36"/>
      <c r="N126" s="35">
        <f t="shared" si="15"/>
        <v>1.1815392872374582</v>
      </c>
      <c r="O126" s="37">
        <v>3130215</v>
      </c>
      <c r="P126" s="38">
        <v>3698472</v>
      </c>
      <c r="Q126" s="38">
        <v>3435344</v>
      </c>
      <c r="R126" s="38">
        <v>262184</v>
      </c>
      <c r="S126" s="39"/>
      <c r="T126" s="40">
        <v>31.0913</v>
      </c>
      <c r="U126" s="40">
        <v>37.702399999999997</v>
      </c>
      <c r="V126" s="40">
        <v>38.1402</v>
      </c>
      <c r="W126" s="41"/>
      <c r="X126" s="42"/>
      <c r="Y126" s="42"/>
      <c r="AA126" s="34" t="str">
        <f t="shared" si="16"/>
        <v>·</v>
      </c>
      <c r="AB126" s="35">
        <f t="shared" si="17"/>
        <v>1.1414704740728672</v>
      </c>
      <c r="AC126" s="35">
        <f t="shared" si="18"/>
        <v>1.0974786076994711</v>
      </c>
      <c r="AD126" s="35">
        <f t="shared" si="19"/>
        <v>4.3692845379630474E-2</v>
      </c>
      <c r="AE126" s="36"/>
      <c r="AF126" s="35">
        <f t="shared" si="20"/>
        <v>1.1414704740728672</v>
      </c>
      <c r="AG126" s="37">
        <v>3130215</v>
      </c>
      <c r="AH126" s="38">
        <v>3573048</v>
      </c>
      <c r="AI126" s="38">
        <v>3435344</v>
      </c>
      <c r="AJ126" s="38">
        <v>136768</v>
      </c>
      <c r="AK126" s="39"/>
      <c r="AL126" s="40">
        <v>28.6373</v>
      </c>
      <c r="AM126" s="40">
        <v>35.248199999999997</v>
      </c>
      <c r="AN126" s="40">
        <v>35.3962</v>
      </c>
      <c r="AO126" s="41"/>
      <c r="AP126" s="42"/>
      <c r="AQ126" s="42"/>
      <c r="AS126" s="43">
        <f t="shared" si="21"/>
        <v>3.2605412077677309E-2</v>
      </c>
      <c r="AT126" s="43"/>
      <c r="AV126" s="44"/>
      <c r="AW126" s="44"/>
      <c r="AX126" s="44"/>
      <c r="AY126" s="45"/>
      <c r="BA126" s="44"/>
      <c r="BB126" s="44"/>
      <c r="BC126" s="44"/>
      <c r="BD126" s="45"/>
    </row>
    <row r="127" spans="1:56" outlineLevel="1" x14ac:dyDescent="0.15">
      <c r="A127" s="16"/>
      <c r="B127" s="16" t="s">
        <v>290</v>
      </c>
      <c r="C127" s="17" t="s">
        <v>227</v>
      </c>
      <c r="D127" s="16">
        <v>3130215</v>
      </c>
      <c r="E127" s="18">
        <v>12</v>
      </c>
      <c r="F127" s="17">
        <v>1</v>
      </c>
      <c r="G127" s="17"/>
      <c r="I127" s="19" t="str">
        <f t="shared" si="11"/>
        <v>·</v>
      </c>
      <c r="J127" s="20">
        <f t="shared" si="12"/>
        <v>1.2796871780372914</v>
      </c>
      <c r="K127" s="20">
        <f t="shared" si="13"/>
        <v>1.0974786076994711</v>
      </c>
      <c r="L127" s="20">
        <f t="shared" si="14"/>
        <v>0.1819069936090652</v>
      </c>
      <c r="M127" s="21"/>
      <c r="N127" s="20">
        <f t="shared" si="15"/>
        <v>1.2796871780372914</v>
      </c>
      <c r="O127" s="22">
        <v>3130215</v>
      </c>
      <c r="P127" s="23">
        <v>4005696</v>
      </c>
      <c r="Q127" s="23">
        <v>3435344</v>
      </c>
      <c r="R127" s="23">
        <v>569408</v>
      </c>
      <c r="S127" s="24"/>
      <c r="T127" s="25">
        <v>34.243499999999997</v>
      </c>
      <c r="U127" s="25">
        <v>40.760599999999997</v>
      </c>
      <c r="V127" s="25">
        <v>41.154400000000003</v>
      </c>
      <c r="W127" s="26"/>
      <c r="X127" s="27"/>
      <c r="Y127" s="27"/>
      <c r="AA127" s="19" t="str">
        <f t="shared" si="16"/>
        <v>·</v>
      </c>
      <c r="AB127" s="20">
        <f t="shared" si="17"/>
        <v>1.2137338808995548</v>
      </c>
      <c r="AC127" s="20">
        <f t="shared" si="18"/>
        <v>1.0974786076994711</v>
      </c>
      <c r="AD127" s="20">
        <f t="shared" si="19"/>
        <v>0.1159562522063181</v>
      </c>
      <c r="AE127" s="21"/>
      <c r="AF127" s="20">
        <f t="shared" si="20"/>
        <v>1.2137338808995548</v>
      </c>
      <c r="AG127" s="22">
        <v>3130215</v>
      </c>
      <c r="AH127" s="23">
        <v>3799248</v>
      </c>
      <c r="AI127" s="23">
        <v>3435344</v>
      </c>
      <c r="AJ127" s="23">
        <v>362968</v>
      </c>
      <c r="AK127" s="24"/>
      <c r="AL127" s="25">
        <v>31.918900000000001</v>
      </c>
      <c r="AM127" s="25">
        <v>38.048299999999998</v>
      </c>
      <c r="AN127" s="25">
        <v>38.134300000000003</v>
      </c>
      <c r="AO127" s="26"/>
      <c r="AP127" s="27"/>
      <c r="AQ127" s="27"/>
      <c r="AS127" s="28">
        <f t="shared" si="21"/>
        <v>4.6602077902730854E-2</v>
      </c>
      <c r="AT127" s="28"/>
      <c r="AV127" s="29"/>
      <c r="AW127" s="29"/>
      <c r="AX127" s="29"/>
      <c r="AY127" s="30"/>
      <c r="BA127" s="29"/>
      <c r="BB127" s="29"/>
      <c r="BC127" s="29"/>
      <c r="BD127" s="30"/>
    </row>
    <row r="128" spans="1:56" outlineLevel="1" x14ac:dyDescent="0.15">
      <c r="A128" s="31"/>
      <c r="B128" s="31" t="s">
        <v>290</v>
      </c>
      <c r="C128" s="32" t="s">
        <v>228</v>
      </c>
      <c r="D128" s="31">
        <v>3130215</v>
      </c>
      <c r="E128" s="33">
        <v>12</v>
      </c>
      <c r="F128" s="32">
        <v>1</v>
      </c>
      <c r="G128" s="32"/>
      <c r="I128" s="34" t="str">
        <f t="shared" si="11"/>
        <v>·</v>
      </c>
      <c r="J128" s="35">
        <f t="shared" si="12"/>
        <v>1.4559383301147046</v>
      </c>
      <c r="K128" s="35">
        <f t="shared" si="13"/>
        <v>1.0974786076994711</v>
      </c>
      <c r="L128" s="35">
        <f t="shared" si="14"/>
        <v>0.35815814568647841</v>
      </c>
      <c r="M128" s="36"/>
      <c r="N128" s="35">
        <f t="shared" si="15"/>
        <v>1.4559383301147046</v>
      </c>
      <c r="O128" s="37">
        <v>3130215</v>
      </c>
      <c r="P128" s="38">
        <v>4557400</v>
      </c>
      <c r="Q128" s="38">
        <v>3435344</v>
      </c>
      <c r="R128" s="38">
        <v>1121112</v>
      </c>
      <c r="S128" s="39"/>
      <c r="T128" s="40">
        <v>37.229500000000002</v>
      </c>
      <c r="U128" s="40">
        <v>43.702599999999997</v>
      </c>
      <c r="V128" s="40">
        <v>44.057699999999997</v>
      </c>
      <c r="W128" s="41"/>
      <c r="X128" s="42"/>
      <c r="Y128" s="42"/>
      <c r="AA128" s="34" t="str">
        <f t="shared" si="16"/>
        <v>·</v>
      </c>
      <c r="AB128" s="35">
        <f t="shared" si="17"/>
        <v>1.3526150759612359</v>
      </c>
      <c r="AC128" s="35">
        <f t="shared" si="18"/>
        <v>1.0974786076994711</v>
      </c>
      <c r="AD128" s="35">
        <f t="shared" si="19"/>
        <v>0.25483744726799917</v>
      </c>
      <c r="AE128" s="36"/>
      <c r="AF128" s="35">
        <f t="shared" si="20"/>
        <v>1.3526150759612359</v>
      </c>
      <c r="AG128" s="37">
        <v>3130215</v>
      </c>
      <c r="AH128" s="38">
        <v>4233976</v>
      </c>
      <c r="AI128" s="38">
        <v>3435344</v>
      </c>
      <c r="AJ128" s="38">
        <v>797696</v>
      </c>
      <c r="AK128" s="39"/>
      <c r="AL128" s="40">
        <v>35.445999999999998</v>
      </c>
      <c r="AM128" s="40">
        <v>41.161299999999997</v>
      </c>
      <c r="AN128" s="40">
        <v>41.210999999999999</v>
      </c>
      <c r="AO128" s="41"/>
      <c r="AP128" s="42"/>
      <c r="AQ128" s="42"/>
      <c r="AS128" s="43">
        <f t="shared" si="21"/>
        <v>5.758069943742794E-2</v>
      </c>
      <c r="AT128" s="43"/>
      <c r="AV128" s="44"/>
      <c r="AW128" s="44"/>
      <c r="AX128" s="44"/>
      <c r="AY128" s="45"/>
      <c r="BA128" s="44"/>
      <c r="BB128" s="44"/>
      <c r="BC128" s="44"/>
      <c r="BD128" s="45"/>
    </row>
    <row r="129" spans="1:56" outlineLevel="1" x14ac:dyDescent="0.15">
      <c r="A129" s="16"/>
      <c r="B129" s="16" t="s">
        <v>290</v>
      </c>
      <c r="C129" s="17" t="s">
        <v>229</v>
      </c>
      <c r="D129" s="16">
        <v>3130215</v>
      </c>
      <c r="E129" s="18">
        <v>12</v>
      </c>
      <c r="F129" s="17">
        <v>1</v>
      </c>
      <c r="G129" s="17"/>
      <c r="I129" s="19" t="str">
        <f t="shared" si="11"/>
        <v>·</v>
      </c>
      <c r="J129" s="20">
        <f t="shared" si="12"/>
        <v>1.8051565148080884</v>
      </c>
      <c r="K129" s="20">
        <f t="shared" si="13"/>
        <v>1.0974786076994711</v>
      </c>
      <c r="L129" s="20">
        <f t="shared" si="14"/>
        <v>0.70737633037986214</v>
      </c>
      <c r="M129" s="21"/>
      <c r="N129" s="20">
        <f t="shared" si="15"/>
        <v>1.8051565148080884</v>
      </c>
      <c r="O129" s="22">
        <v>3130215</v>
      </c>
      <c r="P129" s="23">
        <v>5650528</v>
      </c>
      <c r="Q129" s="23">
        <v>3435344</v>
      </c>
      <c r="R129" s="23">
        <v>2214240</v>
      </c>
      <c r="S129" s="24"/>
      <c r="T129" s="25">
        <v>40.354100000000003</v>
      </c>
      <c r="U129" s="25">
        <v>46.459099999999999</v>
      </c>
      <c r="V129" s="25">
        <v>46.713900000000002</v>
      </c>
      <c r="W129" s="26"/>
      <c r="X129" s="27"/>
      <c r="Y129" s="27"/>
      <c r="AA129" s="19" t="str">
        <f t="shared" si="16"/>
        <v>·</v>
      </c>
      <c r="AB129" s="20">
        <f t="shared" si="17"/>
        <v>1.6239651269960689</v>
      </c>
      <c r="AC129" s="20">
        <f t="shared" si="18"/>
        <v>1.0974786076994711</v>
      </c>
      <c r="AD129" s="20">
        <f t="shared" si="19"/>
        <v>0.52618749830283218</v>
      </c>
      <c r="AE129" s="21"/>
      <c r="AF129" s="20">
        <f t="shared" si="20"/>
        <v>1.6239651269960689</v>
      </c>
      <c r="AG129" s="22">
        <v>3130215</v>
      </c>
      <c r="AH129" s="23">
        <v>5083360</v>
      </c>
      <c r="AI129" s="23">
        <v>3435344</v>
      </c>
      <c r="AJ129" s="23">
        <v>1647080</v>
      </c>
      <c r="AK129" s="24"/>
      <c r="AL129" s="25">
        <v>39.275700000000001</v>
      </c>
      <c r="AM129" s="25">
        <v>44.4587</v>
      </c>
      <c r="AN129" s="25">
        <v>44.478000000000002</v>
      </c>
      <c r="AO129" s="26"/>
      <c r="AP129" s="27"/>
      <c r="AQ129" s="27"/>
      <c r="AS129" s="28">
        <f t="shared" si="21"/>
        <v>6.7833160612944976E-2</v>
      </c>
      <c r="AT129" s="28"/>
      <c r="AV129" s="29"/>
      <c r="AW129" s="29"/>
      <c r="AX129" s="29"/>
      <c r="AY129" s="30"/>
      <c r="BA129" s="29"/>
      <c r="BB129" s="29"/>
      <c r="BC129" s="29"/>
      <c r="BD129" s="30"/>
    </row>
    <row r="130" spans="1:56" outlineLevel="1" x14ac:dyDescent="0.15">
      <c r="A130" s="31"/>
      <c r="B130" s="46" t="s">
        <v>290</v>
      </c>
      <c r="C130" s="47" t="s">
        <v>230</v>
      </c>
      <c r="D130" s="46">
        <v>3130215</v>
      </c>
      <c r="E130" s="48">
        <v>12</v>
      </c>
      <c r="F130" s="47">
        <v>1</v>
      </c>
      <c r="G130" s="47"/>
      <c r="I130" s="49" t="str">
        <f t="shared" si="11"/>
        <v>·</v>
      </c>
      <c r="J130" s="50">
        <f t="shared" si="12"/>
        <v>2.4389890151315483</v>
      </c>
      <c r="K130" s="50">
        <f t="shared" si="13"/>
        <v>1.0974786076994711</v>
      </c>
      <c r="L130" s="50">
        <f t="shared" si="14"/>
        <v>1.3412088307033223</v>
      </c>
      <c r="M130" s="51"/>
      <c r="N130" s="50">
        <f t="shared" si="15"/>
        <v>2.4389890151315483</v>
      </c>
      <c r="O130" s="52">
        <v>3130215</v>
      </c>
      <c r="P130" s="53">
        <v>7634560</v>
      </c>
      <c r="Q130" s="53">
        <v>3435344</v>
      </c>
      <c r="R130" s="53">
        <v>4198272</v>
      </c>
      <c r="S130" s="54"/>
      <c r="T130" s="55">
        <v>44.140599999999999</v>
      </c>
      <c r="U130" s="55">
        <v>48.962899999999998</v>
      </c>
      <c r="V130" s="55">
        <v>49.145699999999998</v>
      </c>
      <c r="W130" s="56"/>
      <c r="X130" s="57"/>
      <c r="Y130" s="57"/>
      <c r="AA130" s="49" t="str">
        <f t="shared" si="16"/>
        <v>·</v>
      </c>
      <c r="AB130" s="50">
        <f t="shared" si="17"/>
        <v>2.0843654509354788</v>
      </c>
      <c r="AC130" s="50">
        <f t="shared" si="18"/>
        <v>1.0974786076994711</v>
      </c>
      <c r="AD130" s="50">
        <f t="shared" si="19"/>
        <v>0.98658782224224217</v>
      </c>
      <c r="AE130" s="51"/>
      <c r="AF130" s="50">
        <f t="shared" si="20"/>
        <v>2.0843654509354788</v>
      </c>
      <c r="AG130" s="52">
        <v>3130215</v>
      </c>
      <c r="AH130" s="53">
        <v>6524512</v>
      </c>
      <c r="AI130" s="53">
        <v>3435344</v>
      </c>
      <c r="AJ130" s="53">
        <v>3088232</v>
      </c>
      <c r="AK130" s="54"/>
      <c r="AL130" s="55">
        <v>42.985599999999998</v>
      </c>
      <c r="AM130" s="55">
        <v>47.352899999999998</v>
      </c>
      <c r="AN130" s="55">
        <v>47.372199999999999</v>
      </c>
      <c r="AO130" s="56"/>
      <c r="AP130" s="57"/>
      <c r="AQ130" s="57"/>
      <c r="AS130" s="58">
        <f t="shared" si="21"/>
        <v>7.655612515753063E-2</v>
      </c>
      <c r="AT130" s="58"/>
      <c r="AV130" s="59"/>
      <c r="AW130" s="59"/>
      <c r="AX130" s="59"/>
      <c r="AY130" s="60"/>
      <c r="BA130" s="59"/>
      <c r="BB130" s="59"/>
      <c r="BC130" s="59"/>
      <c r="BD130" s="60"/>
    </row>
    <row r="131" spans="1:56" collapsed="1" x14ac:dyDescent="0.15">
      <c r="A131" s="16"/>
      <c r="B131" s="16" t="s">
        <v>293</v>
      </c>
      <c r="C131" s="17" t="s">
        <v>225</v>
      </c>
      <c r="D131" s="16">
        <v>1995189</v>
      </c>
      <c r="E131" s="18">
        <v>13</v>
      </c>
      <c r="F131" s="17">
        <v>1</v>
      </c>
      <c r="G131" s="17"/>
      <c r="I131" s="19" t="str">
        <f t="shared" si="11"/>
        <v>·</v>
      </c>
      <c r="J131" s="20">
        <f t="shared" si="12"/>
        <v>11.338566922732634</v>
      </c>
      <c r="K131" s="20">
        <f t="shared" si="13"/>
        <v>11.243005048644514</v>
      </c>
      <c r="L131" s="20">
        <f t="shared" si="14"/>
        <v>9.5265160343205577E-2</v>
      </c>
      <c r="M131" s="21"/>
      <c r="N131" s="20">
        <f t="shared" si="15"/>
        <v>11.338566922732634</v>
      </c>
      <c r="O131" s="22">
        <v>1995189</v>
      </c>
      <c r="P131" s="23">
        <v>22622584</v>
      </c>
      <c r="Q131" s="23">
        <v>22431920</v>
      </c>
      <c r="R131" s="23">
        <v>190072</v>
      </c>
      <c r="S131" s="24"/>
      <c r="T131" s="25">
        <v>24.694800000000001</v>
      </c>
      <c r="U131" s="25">
        <v>34.691800000000001</v>
      </c>
      <c r="V131" s="25">
        <v>33.864600000000003</v>
      </c>
      <c r="W131" s="26"/>
      <c r="X131" s="27"/>
      <c r="Y131" s="27"/>
      <c r="AA131" s="19" t="str">
        <f t="shared" si="16"/>
        <v>·</v>
      </c>
      <c r="AB131" s="20">
        <f t="shared" si="17"/>
        <v>11.29271262020791</v>
      </c>
      <c r="AC131" s="20">
        <f t="shared" si="18"/>
        <v>11.243005048644514</v>
      </c>
      <c r="AD131" s="20">
        <f t="shared" si="19"/>
        <v>4.9414867463683891E-2</v>
      </c>
      <c r="AE131" s="21"/>
      <c r="AF131" s="20">
        <f t="shared" si="20"/>
        <v>11.29271262020791</v>
      </c>
      <c r="AG131" s="22">
        <v>1995189</v>
      </c>
      <c r="AH131" s="23">
        <v>22531096</v>
      </c>
      <c r="AI131" s="23">
        <v>22431920</v>
      </c>
      <c r="AJ131" s="23">
        <v>98592</v>
      </c>
      <c r="AK131" s="24"/>
      <c r="AL131" s="25">
        <v>22.842300000000002</v>
      </c>
      <c r="AM131" s="25">
        <v>33.314599999999999</v>
      </c>
      <c r="AN131" s="25">
        <v>32.1006</v>
      </c>
      <c r="AO131" s="26"/>
      <c r="AP131" s="27"/>
      <c r="AQ131" s="27"/>
      <c r="AS131" s="28">
        <f t="shared" si="21"/>
        <v>4.0262992821029631E-3</v>
      </c>
      <c r="AT131" s="28">
        <f t="array" ref="AT131">AVERAGE(AI131:AI136/AH131:AH136) - AVERAGE(Q131:Q136/P131:P136)</f>
        <v>1.2735154638260471E-2</v>
      </c>
      <c r="AV131" s="29">
        <f>IF( OR(ISBLANK(R131:R136),ISBLANK(AJ131:AJ136), ISBLANK(T131:T136),ISBLANK(AL131:AL136)), "·", bdRateExtend( R131:R136,T131:T136, AJ131:AJ136,AL131:AL136))</f>
        <v>2.2979757033354309E-2</v>
      </c>
      <c r="AW131" s="29">
        <f>IF( OR(ISBLANK(R131:R136),ISBLANK(AJ131:AJ136), ISBLANK(U131:U136),ISBLANK(AM131:AM136)), "·", bdRateExtend( R131:R136,U131:U136, AJ131:AJ136,AM131:AM136))</f>
        <v>0.20726242264215178</v>
      </c>
      <c r="AX131" s="29">
        <f>IF( OR(ISBLANK(R131:R136),ISBLANK(AJ131:AJ136), ISBLANK(V131:V136),ISBLANK(AN131:AN136)), "·", bdRateExtend( R131:R136,V131:V136, AJ131:AJ136,AN131:AN136))</f>
        <v>0.21710289465034593</v>
      </c>
      <c r="AY131" s="30"/>
      <c r="BA131" s="29">
        <f>IF( OR(ISBLANK(P131:P136),ISBLANK(AH131:AH136), ISBLANK(T131:T136),ISBLANK(AL131:AL136)), "·", bdRateExtend( P131:P136,T131:T136, AH131:AH136,AL131:AL136))</f>
        <v>8.8815836070033072E-4</v>
      </c>
      <c r="BB131" s="29">
        <f>IF( OR(ISBLANK(P131:P136),ISBLANK(AH131:AH136), ISBLANK(U131:U136),ISBLANK(AM131:AM136)), "·", bdRateExtend( P131:P136,U131:U136, AH131:AH136,AM131:AM136))</f>
        <v>1.0671030983700591E-2</v>
      </c>
      <c r="BC131" s="29">
        <f>IF( OR(ISBLANK(P131:P136),ISBLANK(AH131:AH136), ISBLANK(V131:V136),ISBLANK(AN131:AN136)), "·", bdRateExtend( P131:P136,V131:V136, AH131:AH136,AN131:AN136))</f>
        <v>1.0420649885511279E-2</v>
      </c>
      <c r="BD131" s="30"/>
    </row>
    <row r="132" spans="1:56" outlineLevel="1" x14ac:dyDescent="0.15">
      <c r="A132" s="31"/>
      <c r="B132" s="31" t="s">
        <v>293</v>
      </c>
      <c r="C132" s="32" t="s">
        <v>226</v>
      </c>
      <c r="D132" s="31">
        <v>1995189</v>
      </c>
      <c r="E132" s="33">
        <v>13</v>
      </c>
      <c r="F132" s="32">
        <v>1</v>
      </c>
      <c r="G132" s="32"/>
      <c r="I132" s="34" t="str">
        <f t="shared" si="11"/>
        <v>·</v>
      </c>
      <c r="J132" s="35">
        <f t="shared" si="12"/>
        <v>11.450327763434943</v>
      </c>
      <c r="K132" s="35">
        <f t="shared" si="13"/>
        <v>11.243005048644514</v>
      </c>
      <c r="L132" s="35">
        <f t="shared" si="14"/>
        <v>0.207026001045515</v>
      </c>
      <c r="M132" s="36"/>
      <c r="N132" s="35">
        <f t="shared" si="15"/>
        <v>11.450327763434943</v>
      </c>
      <c r="O132" s="37">
        <v>1995189</v>
      </c>
      <c r="P132" s="38">
        <v>22845568</v>
      </c>
      <c r="Q132" s="38">
        <v>22431920</v>
      </c>
      <c r="R132" s="38">
        <v>413056</v>
      </c>
      <c r="S132" s="39"/>
      <c r="T132" s="40">
        <v>27.124500000000001</v>
      </c>
      <c r="U132" s="40">
        <v>37.1509</v>
      </c>
      <c r="V132" s="40">
        <v>35.989800000000002</v>
      </c>
      <c r="W132" s="41"/>
      <c r="X132" s="42"/>
      <c r="Y132" s="42"/>
      <c r="AA132" s="34" t="str">
        <f t="shared" si="16"/>
        <v>·</v>
      </c>
      <c r="AB132" s="35">
        <f t="shared" si="17"/>
        <v>11.365427535937698</v>
      </c>
      <c r="AC132" s="35">
        <f t="shared" si="18"/>
        <v>11.243005048644514</v>
      </c>
      <c r="AD132" s="35">
        <f t="shared" si="19"/>
        <v>0.1221297831934719</v>
      </c>
      <c r="AE132" s="36"/>
      <c r="AF132" s="35">
        <f t="shared" si="20"/>
        <v>11.365427535937698</v>
      </c>
      <c r="AG132" s="37">
        <v>1995189</v>
      </c>
      <c r="AH132" s="38">
        <v>22676176</v>
      </c>
      <c r="AI132" s="38">
        <v>22431920</v>
      </c>
      <c r="AJ132" s="38">
        <v>243672</v>
      </c>
      <c r="AK132" s="39"/>
      <c r="AL132" s="40">
        <v>25.130600000000001</v>
      </c>
      <c r="AM132" s="40">
        <v>35.1813</v>
      </c>
      <c r="AN132" s="40">
        <v>33.933500000000002</v>
      </c>
      <c r="AO132" s="41"/>
      <c r="AP132" s="42"/>
      <c r="AQ132" s="42"/>
      <c r="AS132" s="43">
        <f t="shared" si="21"/>
        <v>7.3347879677364558E-3</v>
      </c>
      <c r="AT132" s="43"/>
      <c r="AV132" s="44"/>
      <c r="AW132" s="44"/>
      <c r="AX132" s="44"/>
      <c r="AY132" s="45"/>
      <c r="BA132" s="44"/>
      <c r="BB132" s="44"/>
      <c r="BC132" s="44"/>
      <c r="BD132" s="45"/>
    </row>
    <row r="133" spans="1:56" outlineLevel="1" x14ac:dyDescent="0.15">
      <c r="A133" s="16"/>
      <c r="B133" s="16" t="s">
        <v>293</v>
      </c>
      <c r="C133" s="17" t="s">
        <v>227</v>
      </c>
      <c r="D133" s="16">
        <v>1995189</v>
      </c>
      <c r="E133" s="18">
        <v>13</v>
      </c>
      <c r="F133" s="17">
        <v>1</v>
      </c>
      <c r="G133" s="17"/>
      <c r="I133" s="19" t="str">
        <f t="shared" ref="I133:I196" si="22">IF(OR(ISBLANK(P133),ISBLANK(G133)),"·",P133*G133/F133/1000000)</f>
        <v>·</v>
      </c>
      <c r="J133" s="20">
        <f t="shared" ref="J133:J196" si="23">IF(ISBLANK(P133),"·",P133/D133)</f>
        <v>11.694647474499909</v>
      </c>
      <c r="K133" s="20">
        <f t="shared" ref="K133:K196" si="24">IF(Q133="","·",Q133/D133)</f>
        <v>11.243005048644514</v>
      </c>
      <c r="L133" s="20">
        <f t="shared" ref="L133:L196" si="25">IF(ISBLANK(R133),"·",R133/D133)</f>
        <v>0.45134571211048174</v>
      </c>
      <c r="M133" s="21"/>
      <c r="N133" s="20">
        <f t="shared" ref="N133:N196" si="26">IF(ISBLANK(P133),"·",P133/O133)</f>
        <v>11.694647474499909</v>
      </c>
      <c r="O133" s="22">
        <v>1995189</v>
      </c>
      <c r="P133" s="23">
        <v>23333032</v>
      </c>
      <c r="Q133" s="23">
        <v>22431920</v>
      </c>
      <c r="R133" s="23">
        <v>900520</v>
      </c>
      <c r="S133" s="24"/>
      <c r="T133" s="25">
        <v>30.698</v>
      </c>
      <c r="U133" s="25">
        <v>39.807299999999998</v>
      </c>
      <c r="V133" s="25">
        <v>38.554900000000004</v>
      </c>
      <c r="W133" s="26"/>
      <c r="X133" s="27"/>
      <c r="Y133" s="27"/>
      <c r="AA133" s="19" t="str">
        <f t="shared" ref="AA133:AA196" si="27">IF(OR(ISBLANK(AH133),ISBLANK(G133)),"·",AH133*G133/F133/1000000)</f>
        <v>·</v>
      </c>
      <c r="AB133" s="20">
        <f t="shared" ref="AB133:AB196" si="28">IF(ISBLANK(AH133),"·",AH133/D133)</f>
        <v>11.562176816331686</v>
      </c>
      <c r="AC133" s="20">
        <f t="shared" ref="AC133:AC196" si="29">IF(AI133="","·",AI133/D133)</f>
        <v>11.243005048644514</v>
      </c>
      <c r="AD133" s="20">
        <f t="shared" ref="AD133:AD196" si="30">IF(ISBLANK(AJ133),"·",AJ133/D133)</f>
        <v>0.31887906358745965</v>
      </c>
      <c r="AE133" s="21"/>
      <c r="AF133" s="20">
        <f t="shared" ref="AF133:AF196" si="31">IF(ISBLANK(AH133),"·",AH133/AG133)</f>
        <v>11.562176816331686</v>
      </c>
      <c r="AG133" s="22">
        <v>1995189</v>
      </c>
      <c r="AH133" s="23">
        <v>23068728</v>
      </c>
      <c r="AI133" s="23">
        <v>22431920</v>
      </c>
      <c r="AJ133" s="23">
        <v>636224</v>
      </c>
      <c r="AK133" s="24"/>
      <c r="AL133" s="25">
        <v>28.7972</v>
      </c>
      <c r="AM133" s="25">
        <v>37.707500000000003</v>
      </c>
      <c r="AN133" s="25">
        <v>36.458100000000002</v>
      </c>
      <c r="AO133" s="26"/>
      <c r="AP133" s="27"/>
      <c r="AQ133" s="27"/>
      <c r="AS133" s="28">
        <f t="shared" ref="AS133:AS196" si="32">(AI133/AH133) - (Q133/P133)</f>
        <v>1.1014768102916017E-2</v>
      </c>
      <c r="AT133" s="28"/>
      <c r="AV133" s="29"/>
      <c r="AW133" s="29"/>
      <c r="AX133" s="29"/>
      <c r="AY133" s="30"/>
      <c r="BA133" s="29"/>
      <c r="BB133" s="29"/>
      <c r="BC133" s="29"/>
      <c r="BD133" s="30"/>
    </row>
    <row r="134" spans="1:56" outlineLevel="1" x14ac:dyDescent="0.15">
      <c r="A134" s="31"/>
      <c r="B134" s="31" t="s">
        <v>293</v>
      </c>
      <c r="C134" s="32" t="s">
        <v>228</v>
      </c>
      <c r="D134" s="31">
        <v>1995189</v>
      </c>
      <c r="E134" s="33">
        <v>13</v>
      </c>
      <c r="F134" s="32">
        <v>1</v>
      </c>
      <c r="G134" s="32"/>
      <c r="I134" s="34" t="str">
        <f t="shared" si="22"/>
        <v>·</v>
      </c>
      <c r="J134" s="35">
        <f t="shared" si="23"/>
        <v>12.098354591970987</v>
      </c>
      <c r="K134" s="35">
        <f t="shared" si="24"/>
        <v>11.243005048644514</v>
      </c>
      <c r="L134" s="35">
        <f t="shared" si="25"/>
        <v>0.85505282958155848</v>
      </c>
      <c r="M134" s="36"/>
      <c r="N134" s="35">
        <f t="shared" si="26"/>
        <v>12.098354591970987</v>
      </c>
      <c r="O134" s="37">
        <v>1995189</v>
      </c>
      <c r="P134" s="38">
        <v>24138504</v>
      </c>
      <c r="Q134" s="38">
        <v>22431920</v>
      </c>
      <c r="R134" s="38">
        <v>1705992</v>
      </c>
      <c r="S134" s="39"/>
      <c r="T134" s="40">
        <v>34.818100000000001</v>
      </c>
      <c r="U134" s="40">
        <v>42.545999999999999</v>
      </c>
      <c r="V134" s="40">
        <v>41.373699999999999</v>
      </c>
      <c r="W134" s="41"/>
      <c r="X134" s="42"/>
      <c r="Y134" s="42"/>
      <c r="AA134" s="34" t="str">
        <f t="shared" si="27"/>
        <v>·</v>
      </c>
      <c r="AB134" s="35">
        <f t="shared" si="28"/>
        <v>11.898958945743987</v>
      </c>
      <c r="AC134" s="35">
        <f t="shared" si="29"/>
        <v>11.243005048644514</v>
      </c>
      <c r="AD134" s="35">
        <f t="shared" si="30"/>
        <v>0.65566119299976089</v>
      </c>
      <c r="AE134" s="36"/>
      <c r="AF134" s="35">
        <f t="shared" si="31"/>
        <v>11.898958945743987</v>
      </c>
      <c r="AG134" s="37">
        <v>1995189</v>
      </c>
      <c r="AH134" s="38">
        <v>23740672</v>
      </c>
      <c r="AI134" s="38">
        <v>22431920</v>
      </c>
      <c r="AJ134" s="38">
        <v>1308168</v>
      </c>
      <c r="AK134" s="39"/>
      <c r="AL134" s="40">
        <v>32.901400000000002</v>
      </c>
      <c r="AM134" s="40">
        <v>40.377099999999999</v>
      </c>
      <c r="AN134" s="40">
        <v>39.1706</v>
      </c>
      <c r="AO134" s="41"/>
      <c r="AP134" s="42"/>
      <c r="AQ134" s="42"/>
      <c r="AS134" s="43">
        <f t="shared" si="32"/>
        <v>1.5572660002488026E-2</v>
      </c>
      <c r="AT134" s="43"/>
      <c r="AV134" s="44"/>
      <c r="AW134" s="44"/>
      <c r="AX134" s="44"/>
      <c r="AY134" s="45"/>
      <c r="BA134" s="44"/>
      <c r="BB134" s="44"/>
      <c r="BC134" s="44"/>
      <c r="BD134" s="45"/>
    </row>
    <row r="135" spans="1:56" outlineLevel="1" x14ac:dyDescent="0.15">
      <c r="A135" s="16"/>
      <c r="B135" s="16" t="s">
        <v>293</v>
      </c>
      <c r="C135" s="17" t="s">
        <v>229</v>
      </c>
      <c r="D135" s="16">
        <v>1995189</v>
      </c>
      <c r="E135" s="18">
        <v>13</v>
      </c>
      <c r="F135" s="17">
        <v>1</v>
      </c>
      <c r="G135" s="17"/>
      <c r="I135" s="19" t="str">
        <f t="shared" si="22"/>
        <v>·</v>
      </c>
      <c r="J135" s="20">
        <f t="shared" si="23"/>
        <v>12.709316260264066</v>
      </c>
      <c r="K135" s="20">
        <f t="shared" si="24"/>
        <v>11.243005048644514</v>
      </c>
      <c r="L135" s="20">
        <f t="shared" si="25"/>
        <v>1.4660144978746374</v>
      </c>
      <c r="M135" s="21"/>
      <c r="N135" s="20">
        <f t="shared" si="26"/>
        <v>12.709316260264066</v>
      </c>
      <c r="O135" s="22">
        <v>1995189</v>
      </c>
      <c r="P135" s="23">
        <v>25357488</v>
      </c>
      <c r="Q135" s="23">
        <v>22431920</v>
      </c>
      <c r="R135" s="23">
        <v>2924976</v>
      </c>
      <c r="S135" s="24"/>
      <c r="T135" s="25">
        <v>39.3354</v>
      </c>
      <c r="U135" s="25">
        <v>45.602600000000002</v>
      </c>
      <c r="V135" s="25">
        <v>44.565800000000003</v>
      </c>
      <c r="W135" s="26"/>
      <c r="X135" s="27"/>
      <c r="Y135" s="27"/>
      <c r="AA135" s="19" t="str">
        <f t="shared" si="27"/>
        <v>·</v>
      </c>
      <c r="AB135" s="20">
        <f t="shared" si="28"/>
        <v>12.465237127911191</v>
      </c>
      <c r="AC135" s="20">
        <f t="shared" si="29"/>
        <v>11.243005048644514</v>
      </c>
      <c r="AD135" s="20">
        <f t="shared" si="30"/>
        <v>1.221939375166964</v>
      </c>
      <c r="AE135" s="21"/>
      <c r="AF135" s="20">
        <f t="shared" si="31"/>
        <v>12.465237127911191</v>
      </c>
      <c r="AG135" s="22">
        <v>1995189</v>
      </c>
      <c r="AH135" s="23">
        <v>24870504</v>
      </c>
      <c r="AI135" s="23">
        <v>22431920</v>
      </c>
      <c r="AJ135" s="23">
        <v>2438000</v>
      </c>
      <c r="AK135" s="24"/>
      <c r="AL135" s="25">
        <v>37.619100000000003</v>
      </c>
      <c r="AM135" s="25">
        <v>43.5779</v>
      </c>
      <c r="AN135" s="25">
        <v>42.5383</v>
      </c>
      <c r="AO135" s="26"/>
      <c r="AP135" s="27"/>
      <c r="AQ135" s="27"/>
      <c r="AS135" s="28">
        <f t="shared" si="32"/>
        <v>1.7321692518374232E-2</v>
      </c>
      <c r="AT135" s="28"/>
      <c r="AV135" s="29"/>
      <c r="AW135" s="29"/>
      <c r="AX135" s="29"/>
      <c r="AY135" s="30"/>
      <c r="BA135" s="29"/>
      <c r="BB135" s="29"/>
      <c r="BC135" s="29"/>
      <c r="BD135" s="30"/>
    </row>
    <row r="136" spans="1:56" outlineLevel="1" x14ac:dyDescent="0.15">
      <c r="A136" s="46"/>
      <c r="B136" s="46" t="s">
        <v>293</v>
      </c>
      <c r="C136" s="47" t="s">
        <v>230</v>
      </c>
      <c r="D136" s="46">
        <v>1995189</v>
      </c>
      <c r="E136" s="48">
        <v>13</v>
      </c>
      <c r="F136" s="47">
        <v>1</v>
      </c>
      <c r="G136" s="47"/>
      <c r="I136" s="49" t="str">
        <f t="shared" si="22"/>
        <v>·</v>
      </c>
      <c r="J136" s="50">
        <f t="shared" si="23"/>
        <v>13.575704356830355</v>
      </c>
      <c r="K136" s="50">
        <f t="shared" si="24"/>
        <v>11.243005048644514</v>
      </c>
      <c r="L136" s="50">
        <f t="shared" si="25"/>
        <v>2.3324025944409277</v>
      </c>
      <c r="M136" s="51"/>
      <c r="N136" s="50">
        <f t="shared" si="26"/>
        <v>13.575704356830355</v>
      </c>
      <c r="O136" s="52">
        <v>1995189</v>
      </c>
      <c r="P136" s="53">
        <v>27086096</v>
      </c>
      <c r="Q136" s="53">
        <v>22431920</v>
      </c>
      <c r="R136" s="53">
        <v>4653584</v>
      </c>
      <c r="S136" s="54"/>
      <c r="T136" s="55">
        <v>44.144399999999997</v>
      </c>
      <c r="U136" s="55">
        <v>48.767699999999998</v>
      </c>
      <c r="V136" s="55">
        <v>48.019300000000001</v>
      </c>
      <c r="W136" s="56"/>
      <c r="X136" s="57"/>
      <c r="Y136" s="57"/>
      <c r="AA136" s="49" t="str">
        <f t="shared" si="27"/>
        <v>·</v>
      </c>
      <c r="AB136" s="50">
        <f t="shared" si="28"/>
        <v>13.237783488180819</v>
      </c>
      <c r="AC136" s="50">
        <f t="shared" si="29"/>
        <v>11.243005048644514</v>
      </c>
      <c r="AD136" s="50">
        <f t="shared" si="30"/>
        <v>1.9944857354365928</v>
      </c>
      <c r="AE136" s="51"/>
      <c r="AF136" s="50">
        <f t="shared" si="31"/>
        <v>13.237783488180819</v>
      </c>
      <c r="AG136" s="52">
        <v>1995189</v>
      </c>
      <c r="AH136" s="53">
        <v>26411880</v>
      </c>
      <c r="AI136" s="53">
        <v>22431920</v>
      </c>
      <c r="AJ136" s="53">
        <v>3979376</v>
      </c>
      <c r="AK136" s="54"/>
      <c r="AL136" s="55">
        <v>42.244500000000002</v>
      </c>
      <c r="AM136" s="55">
        <v>46.719499999999996</v>
      </c>
      <c r="AN136" s="55">
        <v>45.947800000000001</v>
      </c>
      <c r="AO136" s="56"/>
      <c r="AP136" s="57"/>
      <c r="AQ136" s="57"/>
      <c r="AS136" s="58">
        <f t="shared" si="32"/>
        <v>2.1140719955944021E-2</v>
      </c>
      <c r="AT136" s="58"/>
      <c r="AV136" s="59"/>
      <c r="AW136" s="59"/>
      <c r="AX136" s="59"/>
      <c r="AY136" s="60"/>
      <c r="BA136" s="59"/>
      <c r="BB136" s="59"/>
      <c r="BC136" s="59"/>
      <c r="BD136" s="60"/>
    </row>
    <row r="137" spans="1:56" collapsed="1" x14ac:dyDescent="0.15">
      <c r="A137" s="16" t="s">
        <v>297</v>
      </c>
      <c r="B137" s="16" t="s">
        <v>296</v>
      </c>
      <c r="C137" s="17" t="s">
        <v>225</v>
      </c>
      <c r="D137" s="16">
        <v>1481746</v>
      </c>
      <c r="E137" s="18">
        <v>12</v>
      </c>
      <c r="F137" s="17">
        <v>1</v>
      </c>
      <c r="G137" s="17"/>
      <c r="I137" s="19" t="str">
        <f t="shared" si="22"/>
        <v>·</v>
      </c>
      <c r="J137" s="20">
        <f t="shared" si="23"/>
        <v>10.148535578972375</v>
      </c>
      <c r="K137" s="20">
        <f t="shared" si="24"/>
        <v>10.003965591943558</v>
      </c>
      <c r="L137" s="20">
        <f t="shared" si="25"/>
        <v>0.14406247764461655</v>
      </c>
      <c r="M137" s="21"/>
      <c r="N137" s="20">
        <f t="shared" si="26"/>
        <v>10.148535578972375</v>
      </c>
      <c r="O137" s="22">
        <v>1481746</v>
      </c>
      <c r="P137" s="23">
        <v>15037552</v>
      </c>
      <c r="Q137" s="23">
        <v>14823336</v>
      </c>
      <c r="R137" s="23">
        <v>213464</v>
      </c>
      <c r="S137" s="24"/>
      <c r="T137" s="25">
        <v>19.867799999999999</v>
      </c>
      <c r="U137" s="25">
        <v>35.6006</v>
      </c>
      <c r="V137" s="25">
        <v>35.851599999999998</v>
      </c>
      <c r="W137" s="26"/>
      <c r="X137" s="27"/>
      <c r="Y137" s="27"/>
      <c r="AA137" s="19" t="str">
        <f t="shared" si="27"/>
        <v>·</v>
      </c>
      <c r="AB137" s="20">
        <f t="shared" si="28"/>
        <v>10.046752952260373</v>
      </c>
      <c r="AC137" s="20">
        <f t="shared" si="29"/>
        <v>10.003965591943558</v>
      </c>
      <c r="AD137" s="20">
        <f t="shared" si="30"/>
        <v>4.2285249968618106E-2</v>
      </c>
      <c r="AE137" s="21"/>
      <c r="AF137" s="20">
        <f t="shared" si="31"/>
        <v>10.046752952260373</v>
      </c>
      <c r="AG137" s="22">
        <v>1481746</v>
      </c>
      <c r="AH137" s="23">
        <v>14886736</v>
      </c>
      <c r="AI137" s="23">
        <v>14823336</v>
      </c>
      <c r="AJ137" s="23">
        <v>62656</v>
      </c>
      <c r="AK137" s="24"/>
      <c r="AL137" s="25">
        <v>18.991399999999999</v>
      </c>
      <c r="AM137" s="25">
        <v>35.552500000000002</v>
      </c>
      <c r="AN137" s="25">
        <v>35.275100000000002</v>
      </c>
      <c r="AO137" s="26"/>
      <c r="AP137" s="27"/>
      <c r="AQ137" s="27"/>
      <c r="AS137" s="28">
        <f t="shared" si="32"/>
        <v>9.9865790045947644E-3</v>
      </c>
      <c r="AT137" s="28">
        <f t="array" ref="AT137">AVERAGE(AI137:AI142/AH137:AH142) - AVERAGE(Q137:Q142/P137:P142)</f>
        <v>3.1913897887120957E-2</v>
      </c>
      <c r="AV137" s="29">
        <f>IF( OR(ISBLANK(R137:R142),ISBLANK(AJ137:AJ142), ISBLANK(T137:T142),ISBLANK(AL137:AL142)), "·", bdRateExtend( R137:R142,T137:T142, AJ137:AJ142,AL137:AL142))</f>
        <v>-0.18986400272091497</v>
      </c>
      <c r="AW137" s="29">
        <f>IF( OR(ISBLANK(R137:R142),ISBLANK(AJ137:AJ142), ISBLANK(U137:U142),ISBLANK(AM137:AM142)), "·", bdRateExtend( R137:R142,U137:U142, AJ137:AJ142,AM137:AM142))</f>
        <v>-3.1679675018252196E-2</v>
      </c>
      <c r="AX137" s="29">
        <f>IF( OR(ISBLANK(R137:R142),ISBLANK(AJ137:AJ142), ISBLANK(V137:V142),ISBLANK(AN137:AN142)), "·", bdRateExtend( R137:R142,V137:V142, AJ137:AJ142,AN137:AN142))</f>
        <v>6.2180702061118698E-3</v>
      </c>
      <c r="AY137" s="30"/>
      <c r="BA137" s="29">
        <f>IF( OR(ISBLANK(P137:P142),ISBLANK(AH137:AH142), ISBLANK(T137:T142),ISBLANK(AL137:AL142)), "·", bdRateExtend( P137:P142,T137:T142, AH137:AH142,AL137:AL142))</f>
        <v>-2.7939836819907748E-2</v>
      </c>
      <c r="BB137" s="29">
        <f>IF( OR(ISBLANK(P137:P142),ISBLANK(AH137:AH142), ISBLANK(U137:U142),ISBLANK(AM137:AM142)), "·", bdRateExtend( P137:P142,U137:U142, AH137:AH142,AM137:AM142))</f>
        <v>-6.3201701473284411E-3</v>
      </c>
      <c r="BC137" s="29">
        <f>IF( OR(ISBLANK(P137:P142),ISBLANK(AH137:AH142), ISBLANK(V137:V142),ISBLANK(AN137:AN142)), "·", bdRateExtend( P137:P142,V137:V142, AH137:AH142,AN137:AN142))</f>
        <v>-9.4216678916051455E-3</v>
      </c>
      <c r="BD137" s="30"/>
    </row>
    <row r="138" spans="1:56" outlineLevel="1" x14ac:dyDescent="0.15">
      <c r="A138" s="31"/>
      <c r="B138" s="31" t="s">
        <v>296</v>
      </c>
      <c r="C138" s="32" t="s">
        <v>226</v>
      </c>
      <c r="D138" s="31">
        <v>1481746</v>
      </c>
      <c r="E138" s="33">
        <v>12</v>
      </c>
      <c r="F138" s="32">
        <v>1</v>
      </c>
      <c r="G138" s="32"/>
      <c r="I138" s="34" t="str">
        <f t="shared" si="22"/>
        <v>·</v>
      </c>
      <c r="J138" s="35">
        <f t="shared" si="23"/>
        <v>10.367741839694522</v>
      </c>
      <c r="K138" s="35">
        <f t="shared" si="24"/>
        <v>10.003965591943558</v>
      </c>
      <c r="L138" s="35">
        <f t="shared" si="25"/>
        <v>0.3632687383667646</v>
      </c>
      <c r="M138" s="36"/>
      <c r="N138" s="35">
        <f t="shared" si="26"/>
        <v>10.367741839694522</v>
      </c>
      <c r="O138" s="37">
        <v>1481746</v>
      </c>
      <c r="P138" s="38">
        <v>15362360</v>
      </c>
      <c r="Q138" s="38">
        <v>14823336</v>
      </c>
      <c r="R138" s="38">
        <v>538272</v>
      </c>
      <c r="S138" s="39"/>
      <c r="T138" s="40">
        <v>21.493200000000002</v>
      </c>
      <c r="U138" s="40">
        <v>36.679000000000002</v>
      </c>
      <c r="V138" s="40">
        <v>36.340299999999999</v>
      </c>
      <c r="W138" s="41"/>
      <c r="X138" s="42"/>
      <c r="Y138" s="42"/>
      <c r="AA138" s="34" t="str">
        <f t="shared" si="27"/>
        <v>·</v>
      </c>
      <c r="AB138" s="35">
        <f t="shared" si="28"/>
        <v>10.172026784617607</v>
      </c>
      <c r="AC138" s="35">
        <f t="shared" si="29"/>
        <v>10.003965591943558</v>
      </c>
      <c r="AD138" s="35">
        <f t="shared" si="30"/>
        <v>0.16755908232585071</v>
      </c>
      <c r="AE138" s="36"/>
      <c r="AF138" s="35">
        <f t="shared" si="31"/>
        <v>10.172026784617607</v>
      </c>
      <c r="AG138" s="37">
        <v>1481746</v>
      </c>
      <c r="AH138" s="38">
        <v>15072360</v>
      </c>
      <c r="AI138" s="38">
        <v>14823336</v>
      </c>
      <c r="AJ138" s="38">
        <v>248280</v>
      </c>
      <c r="AK138" s="39"/>
      <c r="AL138" s="40">
        <v>20.624199999999998</v>
      </c>
      <c r="AM138" s="40">
        <v>36.104399999999998</v>
      </c>
      <c r="AN138" s="40">
        <v>35.852699999999999</v>
      </c>
      <c r="AO138" s="41"/>
      <c r="AP138" s="42"/>
      <c r="AQ138" s="42"/>
      <c r="AS138" s="43">
        <f t="shared" si="32"/>
        <v>1.8565418950925117E-2</v>
      </c>
      <c r="AT138" s="43"/>
      <c r="AV138" s="44"/>
      <c r="AW138" s="44"/>
      <c r="AX138" s="44"/>
      <c r="AY138" s="45"/>
      <c r="BA138" s="44"/>
      <c r="BB138" s="44"/>
      <c r="BC138" s="44"/>
      <c r="BD138" s="45"/>
    </row>
    <row r="139" spans="1:56" outlineLevel="1" x14ac:dyDescent="0.15">
      <c r="A139" s="16"/>
      <c r="B139" s="16" t="s">
        <v>296</v>
      </c>
      <c r="C139" s="17" t="s">
        <v>227</v>
      </c>
      <c r="D139" s="16">
        <v>1481746</v>
      </c>
      <c r="E139" s="18">
        <v>12</v>
      </c>
      <c r="F139" s="17">
        <v>1</v>
      </c>
      <c r="G139" s="17"/>
      <c r="I139" s="19" t="str">
        <f t="shared" si="22"/>
        <v>·</v>
      </c>
      <c r="J139" s="20">
        <f t="shared" si="23"/>
        <v>10.967671922178296</v>
      </c>
      <c r="K139" s="20">
        <f t="shared" si="24"/>
        <v>10.003965591943558</v>
      </c>
      <c r="L139" s="20">
        <f t="shared" si="25"/>
        <v>0.9631988208505371</v>
      </c>
      <c r="M139" s="21"/>
      <c r="N139" s="20">
        <f t="shared" si="26"/>
        <v>10.967671922178296</v>
      </c>
      <c r="O139" s="22">
        <v>1481746</v>
      </c>
      <c r="P139" s="23">
        <v>16251304</v>
      </c>
      <c r="Q139" s="23">
        <v>14823336</v>
      </c>
      <c r="R139" s="23">
        <v>1427216</v>
      </c>
      <c r="S139" s="24"/>
      <c r="T139" s="25">
        <v>24.394300000000001</v>
      </c>
      <c r="U139" s="25">
        <v>37.327100000000002</v>
      </c>
      <c r="V139" s="25">
        <v>36.947200000000002</v>
      </c>
      <c r="W139" s="26"/>
      <c r="X139" s="27"/>
      <c r="Y139" s="27"/>
      <c r="AA139" s="19" t="str">
        <f t="shared" si="27"/>
        <v>·</v>
      </c>
      <c r="AB139" s="20">
        <f t="shared" si="28"/>
        <v>10.592201362446735</v>
      </c>
      <c r="AC139" s="20">
        <f t="shared" si="29"/>
        <v>10.003965591943558</v>
      </c>
      <c r="AD139" s="20">
        <f t="shared" si="30"/>
        <v>0.5877336601549793</v>
      </c>
      <c r="AE139" s="21"/>
      <c r="AF139" s="20">
        <f t="shared" si="31"/>
        <v>10.592201362446735</v>
      </c>
      <c r="AG139" s="22">
        <v>1481746</v>
      </c>
      <c r="AH139" s="23">
        <v>15694952</v>
      </c>
      <c r="AI139" s="23">
        <v>14823336</v>
      </c>
      <c r="AJ139" s="23">
        <v>870872</v>
      </c>
      <c r="AK139" s="24"/>
      <c r="AL139" s="25">
        <v>23.568000000000001</v>
      </c>
      <c r="AM139" s="25">
        <v>36.798999999999999</v>
      </c>
      <c r="AN139" s="25">
        <v>36.494500000000002</v>
      </c>
      <c r="AO139" s="26"/>
      <c r="AP139" s="27"/>
      <c r="AQ139" s="27"/>
      <c r="AS139" s="28">
        <f t="shared" si="32"/>
        <v>3.2333104080204289E-2</v>
      </c>
      <c r="AT139" s="28"/>
      <c r="AV139" s="29"/>
      <c r="AW139" s="29"/>
      <c r="AX139" s="29"/>
      <c r="AY139" s="30"/>
      <c r="BA139" s="29"/>
      <c r="BB139" s="29"/>
      <c r="BC139" s="29"/>
      <c r="BD139" s="30"/>
    </row>
    <row r="140" spans="1:56" outlineLevel="1" x14ac:dyDescent="0.15">
      <c r="A140" s="31"/>
      <c r="B140" s="31" t="s">
        <v>296</v>
      </c>
      <c r="C140" s="32" t="s">
        <v>228</v>
      </c>
      <c r="D140" s="31">
        <v>1481746</v>
      </c>
      <c r="E140" s="33">
        <v>12</v>
      </c>
      <c r="F140" s="32">
        <v>1</v>
      </c>
      <c r="G140" s="32"/>
      <c r="I140" s="34" t="str">
        <f t="shared" si="22"/>
        <v>·</v>
      </c>
      <c r="J140" s="35">
        <f t="shared" si="23"/>
        <v>12.012887498937065</v>
      </c>
      <c r="K140" s="35">
        <f t="shared" si="24"/>
        <v>10.003965591943558</v>
      </c>
      <c r="L140" s="35">
        <f t="shared" si="25"/>
        <v>2.008414397609307</v>
      </c>
      <c r="M140" s="36"/>
      <c r="N140" s="35">
        <f t="shared" si="26"/>
        <v>12.012887498937065</v>
      </c>
      <c r="O140" s="37">
        <v>1481746</v>
      </c>
      <c r="P140" s="38">
        <v>17800048</v>
      </c>
      <c r="Q140" s="38">
        <v>14823336</v>
      </c>
      <c r="R140" s="38">
        <v>2975960</v>
      </c>
      <c r="S140" s="39"/>
      <c r="T140" s="40">
        <v>29.172699999999999</v>
      </c>
      <c r="U140" s="40">
        <v>38.229399999999998</v>
      </c>
      <c r="V140" s="40">
        <v>37.787700000000001</v>
      </c>
      <c r="W140" s="41"/>
      <c r="X140" s="42"/>
      <c r="Y140" s="42"/>
      <c r="AA140" s="34" t="str">
        <f t="shared" si="27"/>
        <v>·</v>
      </c>
      <c r="AB140" s="35">
        <f t="shared" si="28"/>
        <v>11.456246887118304</v>
      </c>
      <c r="AC140" s="35">
        <f t="shared" si="29"/>
        <v>10.003965591943558</v>
      </c>
      <c r="AD140" s="35">
        <f t="shared" si="30"/>
        <v>1.4517791848265493</v>
      </c>
      <c r="AE140" s="36"/>
      <c r="AF140" s="35">
        <f t="shared" si="31"/>
        <v>11.456246887118304</v>
      </c>
      <c r="AG140" s="37">
        <v>1481746</v>
      </c>
      <c r="AH140" s="38">
        <v>16975248</v>
      </c>
      <c r="AI140" s="38">
        <v>14823336</v>
      </c>
      <c r="AJ140" s="38">
        <v>2151168</v>
      </c>
      <c r="AK140" s="39"/>
      <c r="AL140" s="40">
        <v>28.137799999999999</v>
      </c>
      <c r="AM140" s="40">
        <v>37.623899999999999</v>
      </c>
      <c r="AN140" s="40">
        <v>37.258200000000002</v>
      </c>
      <c r="AO140" s="41"/>
      <c r="AP140" s="42"/>
      <c r="AQ140" s="42"/>
      <c r="AS140" s="43">
        <f t="shared" si="32"/>
        <v>4.04629277806966E-2</v>
      </c>
      <c r="AT140" s="43"/>
      <c r="AV140" s="44"/>
      <c r="AW140" s="44"/>
      <c r="AX140" s="44"/>
      <c r="AY140" s="45"/>
      <c r="BA140" s="44"/>
      <c r="BB140" s="44"/>
      <c r="BC140" s="44"/>
      <c r="BD140" s="45"/>
    </row>
    <row r="141" spans="1:56" outlineLevel="1" x14ac:dyDescent="0.15">
      <c r="A141" s="16"/>
      <c r="B141" s="16" t="s">
        <v>296</v>
      </c>
      <c r="C141" s="17" t="s">
        <v>229</v>
      </c>
      <c r="D141" s="16">
        <v>1481746</v>
      </c>
      <c r="E141" s="18">
        <v>12</v>
      </c>
      <c r="F141" s="17">
        <v>1</v>
      </c>
      <c r="G141" s="17"/>
      <c r="I141" s="19" t="str">
        <f t="shared" si="22"/>
        <v>·</v>
      </c>
      <c r="J141" s="20">
        <f t="shared" si="23"/>
        <v>13.400337169798332</v>
      </c>
      <c r="K141" s="20">
        <f t="shared" si="24"/>
        <v>10.003965591943558</v>
      </c>
      <c r="L141" s="20">
        <f t="shared" si="25"/>
        <v>3.3958640684705745</v>
      </c>
      <c r="M141" s="21"/>
      <c r="N141" s="20">
        <f t="shared" si="26"/>
        <v>13.400337169798332</v>
      </c>
      <c r="O141" s="22">
        <v>1481746</v>
      </c>
      <c r="P141" s="23">
        <v>19855896</v>
      </c>
      <c r="Q141" s="23">
        <v>14823336</v>
      </c>
      <c r="R141" s="23">
        <v>5031808</v>
      </c>
      <c r="S141" s="24"/>
      <c r="T141" s="25">
        <v>34.787700000000001</v>
      </c>
      <c r="U141" s="25">
        <v>39.617699999999999</v>
      </c>
      <c r="V141" s="25">
        <v>39.130699999999997</v>
      </c>
      <c r="W141" s="26"/>
      <c r="X141" s="27"/>
      <c r="Y141" s="27"/>
      <c r="AA141" s="19" t="str">
        <f t="shared" si="27"/>
        <v>·</v>
      </c>
      <c r="AB141" s="20">
        <f t="shared" si="28"/>
        <v>12.670824824227633</v>
      </c>
      <c r="AC141" s="20">
        <f t="shared" si="29"/>
        <v>10.003965591943558</v>
      </c>
      <c r="AD141" s="20">
        <f t="shared" si="30"/>
        <v>2.6663571219358784</v>
      </c>
      <c r="AE141" s="21"/>
      <c r="AF141" s="20">
        <f t="shared" si="31"/>
        <v>12.670824824227633</v>
      </c>
      <c r="AG141" s="22">
        <v>1481746</v>
      </c>
      <c r="AH141" s="23">
        <v>18774944</v>
      </c>
      <c r="AI141" s="23">
        <v>14823336</v>
      </c>
      <c r="AJ141" s="23">
        <v>3950864</v>
      </c>
      <c r="AK141" s="24"/>
      <c r="AL141" s="25">
        <v>33.937399999999997</v>
      </c>
      <c r="AM141" s="25">
        <v>38.964599999999997</v>
      </c>
      <c r="AN141" s="25">
        <v>38.521500000000003</v>
      </c>
      <c r="AO141" s="26"/>
      <c r="AP141" s="27"/>
      <c r="AQ141" s="27"/>
      <c r="AS141" s="28">
        <f t="shared" si="32"/>
        <v>4.2981762739074059E-2</v>
      </c>
      <c r="AT141" s="28"/>
      <c r="AV141" s="29"/>
      <c r="AW141" s="29"/>
      <c r="AX141" s="29"/>
      <c r="AY141" s="30"/>
      <c r="BA141" s="29"/>
      <c r="BB141" s="29"/>
      <c r="BC141" s="29"/>
      <c r="BD141" s="30"/>
    </row>
    <row r="142" spans="1:56" outlineLevel="1" x14ac:dyDescent="0.15">
      <c r="A142" s="31"/>
      <c r="B142" s="46" t="s">
        <v>296</v>
      </c>
      <c r="C142" s="47" t="s">
        <v>230</v>
      </c>
      <c r="D142" s="46">
        <v>1481746</v>
      </c>
      <c r="E142" s="48">
        <v>12</v>
      </c>
      <c r="F142" s="47">
        <v>1</v>
      </c>
      <c r="G142" s="47"/>
      <c r="I142" s="49" t="str">
        <f t="shared" si="22"/>
        <v>·</v>
      </c>
      <c r="J142" s="50">
        <f t="shared" si="23"/>
        <v>15.45056170220807</v>
      </c>
      <c r="K142" s="50">
        <f t="shared" si="24"/>
        <v>10.003965591943558</v>
      </c>
      <c r="L142" s="50">
        <f t="shared" si="25"/>
        <v>5.4460886008803131</v>
      </c>
      <c r="M142" s="51"/>
      <c r="N142" s="50">
        <f t="shared" si="26"/>
        <v>15.45056170220807</v>
      </c>
      <c r="O142" s="52">
        <v>1481746</v>
      </c>
      <c r="P142" s="53">
        <v>22893808</v>
      </c>
      <c r="Q142" s="53">
        <v>14823336</v>
      </c>
      <c r="R142" s="53">
        <v>8069720</v>
      </c>
      <c r="S142" s="54"/>
      <c r="T142" s="55">
        <v>40.539000000000001</v>
      </c>
      <c r="U142" s="55">
        <v>42.4589</v>
      </c>
      <c r="V142" s="55">
        <v>42.173900000000003</v>
      </c>
      <c r="W142" s="56"/>
      <c r="X142" s="57"/>
      <c r="Y142" s="57"/>
      <c r="AA142" s="49" t="str">
        <f t="shared" si="27"/>
        <v>·</v>
      </c>
      <c r="AB142" s="50">
        <f t="shared" si="28"/>
        <v>14.401739569399883</v>
      </c>
      <c r="AC142" s="50">
        <f t="shared" si="29"/>
        <v>10.003965591943558</v>
      </c>
      <c r="AD142" s="50">
        <f t="shared" si="30"/>
        <v>4.3972718671081275</v>
      </c>
      <c r="AE142" s="51"/>
      <c r="AF142" s="50">
        <f t="shared" si="31"/>
        <v>14.401739569399883</v>
      </c>
      <c r="AG142" s="52">
        <v>1481746</v>
      </c>
      <c r="AH142" s="53">
        <v>21339720</v>
      </c>
      <c r="AI142" s="53">
        <v>14823336</v>
      </c>
      <c r="AJ142" s="53">
        <v>6515640</v>
      </c>
      <c r="AK142" s="54"/>
      <c r="AL142" s="55">
        <v>39.335700000000003</v>
      </c>
      <c r="AM142" s="55">
        <v>41.474499999999999</v>
      </c>
      <c r="AN142" s="55">
        <v>41.113</v>
      </c>
      <c r="AO142" s="56"/>
      <c r="AP142" s="57"/>
      <c r="AQ142" s="57"/>
      <c r="AS142" s="58">
        <f t="shared" si="32"/>
        <v>4.7153594767231688E-2</v>
      </c>
      <c r="AT142" s="58"/>
      <c r="AV142" s="59"/>
      <c r="AW142" s="59"/>
      <c r="AX142" s="59"/>
      <c r="AY142" s="60"/>
      <c r="BA142" s="59"/>
      <c r="BB142" s="59"/>
      <c r="BC142" s="59"/>
      <c r="BD142" s="60"/>
    </row>
    <row r="143" spans="1:56" collapsed="1" x14ac:dyDescent="0.15">
      <c r="A143" s="16"/>
      <c r="B143" s="16" t="s">
        <v>300</v>
      </c>
      <c r="C143" s="17" t="s">
        <v>225</v>
      </c>
      <c r="D143" s="16">
        <v>1530552</v>
      </c>
      <c r="E143" s="18">
        <v>20</v>
      </c>
      <c r="F143" s="17">
        <v>1</v>
      </c>
      <c r="G143" s="17"/>
      <c r="I143" s="19" t="str">
        <f t="shared" si="22"/>
        <v>·</v>
      </c>
      <c r="J143" s="20">
        <f t="shared" si="23"/>
        <v>34.564664251851617</v>
      </c>
      <c r="K143" s="20">
        <f t="shared" si="24"/>
        <v>34.420867765355247</v>
      </c>
      <c r="L143" s="20">
        <f t="shared" si="25"/>
        <v>0.14328947987392784</v>
      </c>
      <c r="M143" s="21"/>
      <c r="N143" s="20">
        <f t="shared" si="26"/>
        <v>34.564664251851617</v>
      </c>
      <c r="O143" s="22">
        <v>1530552</v>
      </c>
      <c r="P143" s="23">
        <v>52903016</v>
      </c>
      <c r="Q143" s="23">
        <v>52682928</v>
      </c>
      <c r="R143" s="23">
        <v>219312</v>
      </c>
      <c r="S143" s="24"/>
      <c r="T143" s="25">
        <v>19.902000000000001</v>
      </c>
      <c r="U143" s="25">
        <v>35.521700000000003</v>
      </c>
      <c r="V143" s="25">
        <v>35.908099999999997</v>
      </c>
      <c r="W143" s="26"/>
      <c r="X143" s="27"/>
      <c r="Y143" s="27"/>
      <c r="AA143" s="19" t="str">
        <f t="shared" si="27"/>
        <v>·</v>
      </c>
      <c r="AB143" s="20">
        <f t="shared" si="28"/>
        <v>34.462886592549616</v>
      </c>
      <c r="AC143" s="20">
        <f t="shared" si="29"/>
        <v>34.420867765355247</v>
      </c>
      <c r="AD143" s="20">
        <f t="shared" si="30"/>
        <v>4.1517047444320741E-2</v>
      </c>
      <c r="AE143" s="21"/>
      <c r="AF143" s="20">
        <f t="shared" si="31"/>
        <v>34.462886592549616</v>
      </c>
      <c r="AG143" s="22">
        <v>1530552</v>
      </c>
      <c r="AH143" s="23">
        <v>52747240</v>
      </c>
      <c r="AI143" s="23">
        <v>52682928</v>
      </c>
      <c r="AJ143" s="23">
        <v>63544</v>
      </c>
      <c r="AK143" s="24"/>
      <c r="AL143" s="25">
        <v>19.015599999999999</v>
      </c>
      <c r="AM143" s="25">
        <v>35.590600000000002</v>
      </c>
      <c r="AN143" s="25">
        <v>35.334600000000002</v>
      </c>
      <c r="AO143" s="26"/>
      <c r="AP143" s="27"/>
      <c r="AQ143" s="27"/>
      <c r="AS143" s="28">
        <f t="shared" si="32"/>
        <v>2.9409678708247622E-3</v>
      </c>
      <c r="AT143" s="28">
        <f t="array" ref="AT143">AVERAGE(AI143:AI148/AH143:AH148) - AVERAGE(Q143:Q148/P143:P148)</f>
        <v>1.2426754065731349E-2</v>
      </c>
      <c r="AV143" s="29">
        <f>IF( OR(ISBLANK(R143:R148),ISBLANK(AJ143:AJ148), ISBLANK(T143:T148),ISBLANK(AL143:AL148)), "·", bdRateExtend( R143:R148,T143:T148, AJ143:AJ148,AL143:AL148))</f>
        <v>-0.19111627038024259</v>
      </c>
      <c r="AW143" s="29">
        <f>IF( OR(ISBLANK(R143:R148),ISBLANK(AJ143:AJ148), ISBLANK(U143:U148),ISBLANK(AM143:AM148)), "·", bdRateExtend( R143:R148,U143:U148, AJ143:AJ148,AM143:AM148))</f>
        <v>-4.1425759486345304E-2</v>
      </c>
      <c r="AX143" s="29">
        <f>IF( OR(ISBLANK(R143:R148),ISBLANK(AJ143:AJ148), ISBLANK(V143:V148),ISBLANK(AN143:AN148)), "·", bdRateExtend( R143:R148,V143:V148, AJ143:AJ148,AN143:AN148))</f>
        <v>1.5696059818817831E-2</v>
      </c>
      <c r="AY143" s="30"/>
      <c r="BA143" s="29">
        <f>IF( OR(ISBLANK(P143:P148),ISBLANK(AH143:AH148), ISBLANK(T143:T148),ISBLANK(AL143:AL148)), "·", bdRateExtend( P143:P148,T143:T148, AH143:AH148,AL143:AL148))</f>
        <v>-9.6261078156313351E-3</v>
      </c>
      <c r="BB143" s="29">
        <f>IF( OR(ISBLANK(P143:P148),ISBLANK(AH143:AH148), ISBLANK(U143:U148),ISBLANK(AM143:AM148)), "·", bdRateExtend( P143:P148,U143:U148, AH143:AH148,AM143:AM148))</f>
        <v>-2.5010327118792919E-3</v>
      </c>
      <c r="BC143" s="29">
        <f>IF( OR(ISBLANK(P143:P148),ISBLANK(AH143:AH148), ISBLANK(V143:V148),ISBLANK(AN143:AN148)), "·", bdRateExtend( P143:P148,V143:V148, AH143:AH148,AN143:AN148))</f>
        <v>-3.6141094143671282E-3</v>
      </c>
      <c r="BD143" s="30"/>
    </row>
    <row r="144" spans="1:56" outlineLevel="1" x14ac:dyDescent="0.15">
      <c r="A144" s="31"/>
      <c r="B144" s="31" t="s">
        <v>300</v>
      </c>
      <c r="C144" s="32" t="s">
        <v>226</v>
      </c>
      <c r="D144" s="31">
        <v>1530552</v>
      </c>
      <c r="E144" s="33">
        <v>20</v>
      </c>
      <c r="F144" s="32">
        <v>1</v>
      </c>
      <c r="G144" s="32"/>
      <c r="I144" s="34" t="str">
        <f t="shared" si="22"/>
        <v>·</v>
      </c>
      <c r="J144" s="35">
        <f t="shared" si="23"/>
        <v>34.780319780053212</v>
      </c>
      <c r="K144" s="35">
        <f t="shared" si="24"/>
        <v>34.420867765355247</v>
      </c>
      <c r="L144" s="35">
        <f t="shared" si="25"/>
        <v>0.35894500807551788</v>
      </c>
      <c r="M144" s="36"/>
      <c r="N144" s="35">
        <f t="shared" si="26"/>
        <v>34.780319780053212</v>
      </c>
      <c r="O144" s="37">
        <v>1530552</v>
      </c>
      <c r="P144" s="38">
        <v>53233088</v>
      </c>
      <c r="Q144" s="38">
        <v>52682928</v>
      </c>
      <c r="R144" s="38">
        <v>549384</v>
      </c>
      <c r="S144" s="39"/>
      <c r="T144" s="40">
        <v>21.500900000000001</v>
      </c>
      <c r="U144" s="40">
        <v>36.730800000000002</v>
      </c>
      <c r="V144" s="40">
        <v>36.401899999999998</v>
      </c>
      <c r="W144" s="41"/>
      <c r="X144" s="42"/>
      <c r="Y144" s="42"/>
      <c r="AA144" s="34" t="str">
        <f t="shared" si="27"/>
        <v>·</v>
      </c>
      <c r="AB144" s="35">
        <f t="shared" si="28"/>
        <v>34.5871188956664</v>
      </c>
      <c r="AC144" s="35">
        <f t="shared" si="29"/>
        <v>34.420867765355247</v>
      </c>
      <c r="AD144" s="35">
        <f t="shared" si="30"/>
        <v>0.16574935056110476</v>
      </c>
      <c r="AE144" s="36"/>
      <c r="AF144" s="35">
        <f t="shared" si="31"/>
        <v>34.5871188956664</v>
      </c>
      <c r="AG144" s="37">
        <v>1530552</v>
      </c>
      <c r="AH144" s="38">
        <v>52937384</v>
      </c>
      <c r="AI144" s="38">
        <v>52682928</v>
      </c>
      <c r="AJ144" s="38">
        <v>253688</v>
      </c>
      <c r="AK144" s="39"/>
      <c r="AL144" s="40">
        <v>20.640599999999999</v>
      </c>
      <c r="AM144" s="40">
        <v>36.140300000000003</v>
      </c>
      <c r="AN144" s="40">
        <v>35.898699999999998</v>
      </c>
      <c r="AO144" s="41"/>
      <c r="AP144" s="42"/>
      <c r="AQ144" s="42"/>
      <c r="AS144" s="43">
        <f t="shared" si="32"/>
        <v>5.5281900817435448E-3</v>
      </c>
      <c r="AT144" s="43"/>
      <c r="AV144" s="44"/>
      <c r="AW144" s="44"/>
      <c r="AX144" s="44"/>
      <c r="AY144" s="45"/>
      <c r="BA144" s="44"/>
      <c r="BB144" s="44"/>
      <c r="BC144" s="44"/>
      <c r="BD144" s="45"/>
    </row>
    <row r="145" spans="1:56" outlineLevel="1" x14ac:dyDescent="0.15">
      <c r="A145" s="16"/>
      <c r="B145" s="16" t="s">
        <v>300</v>
      </c>
      <c r="C145" s="17" t="s">
        <v>227</v>
      </c>
      <c r="D145" s="16">
        <v>1530552</v>
      </c>
      <c r="E145" s="18">
        <v>20</v>
      </c>
      <c r="F145" s="17">
        <v>1</v>
      </c>
      <c r="G145" s="17"/>
      <c r="I145" s="19" t="str">
        <f t="shared" si="22"/>
        <v>·</v>
      </c>
      <c r="J145" s="20">
        <f t="shared" si="23"/>
        <v>35.380516310455313</v>
      </c>
      <c r="K145" s="20">
        <f t="shared" si="24"/>
        <v>34.420867765355247</v>
      </c>
      <c r="L145" s="20">
        <f t="shared" si="25"/>
        <v>0.95914153847762118</v>
      </c>
      <c r="M145" s="21"/>
      <c r="N145" s="20">
        <f t="shared" si="26"/>
        <v>35.380516310455313</v>
      </c>
      <c r="O145" s="22">
        <v>1530552</v>
      </c>
      <c r="P145" s="23">
        <v>54151720</v>
      </c>
      <c r="Q145" s="23">
        <v>52682928</v>
      </c>
      <c r="R145" s="23">
        <v>1468016</v>
      </c>
      <c r="S145" s="24"/>
      <c r="T145" s="25">
        <v>24.379799999999999</v>
      </c>
      <c r="U145" s="25">
        <v>37.3431</v>
      </c>
      <c r="V145" s="25">
        <v>36.970300000000002</v>
      </c>
      <c r="W145" s="26"/>
      <c r="X145" s="27"/>
      <c r="Y145" s="27"/>
      <c r="AA145" s="19" t="str">
        <f t="shared" si="27"/>
        <v>·</v>
      </c>
      <c r="AB145" s="20">
        <f t="shared" si="28"/>
        <v>35.006538817367854</v>
      </c>
      <c r="AC145" s="20">
        <f t="shared" si="29"/>
        <v>34.420867765355247</v>
      </c>
      <c r="AD145" s="20">
        <f t="shared" si="30"/>
        <v>0.58516927226255622</v>
      </c>
      <c r="AE145" s="21"/>
      <c r="AF145" s="20">
        <f t="shared" si="31"/>
        <v>35.006538817367854</v>
      </c>
      <c r="AG145" s="22">
        <v>1530552</v>
      </c>
      <c r="AH145" s="23">
        <v>53579328</v>
      </c>
      <c r="AI145" s="23">
        <v>52682928</v>
      </c>
      <c r="AJ145" s="23">
        <v>895632</v>
      </c>
      <c r="AK145" s="24"/>
      <c r="AL145" s="25">
        <v>23.572299999999998</v>
      </c>
      <c r="AM145" s="25">
        <v>36.834600000000002</v>
      </c>
      <c r="AN145" s="25">
        <v>36.508400000000002</v>
      </c>
      <c r="AO145" s="26"/>
      <c r="AP145" s="27"/>
      <c r="AQ145" s="27"/>
      <c r="AS145" s="28">
        <f t="shared" si="32"/>
        <v>1.0393311444707232E-2</v>
      </c>
      <c r="AT145" s="28"/>
      <c r="AV145" s="29"/>
      <c r="AW145" s="29"/>
      <c r="AX145" s="29"/>
      <c r="AY145" s="30"/>
      <c r="BA145" s="29"/>
      <c r="BB145" s="29"/>
      <c r="BC145" s="29"/>
      <c r="BD145" s="30"/>
    </row>
    <row r="146" spans="1:56" outlineLevel="1" x14ac:dyDescent="0.15">
      <c r="A146" s="31"/>
      <c r="B146" s="31" t="s">
        <v>300</v>
      </c>
      <c r="C146" s="32" t="s">
        <v>228</v>
      </c>
      <c r="D146" s="31">
        <v>1530552</v>
      </c>
      <c r="E146" s="33">
        <v>20</v>
      </c>
      <c r="F146" s="32">
        <v>1</v>
      </c>
      <c r="G146" s="32"/>
      <c r="I146" s="34" t="str">
        <f t="shared" si="22"/>
        <v>·</v>
      </c>
      <c r="J146" s="35">
        <f t="shared" si="23"/>
        <v>36.421887005472534</v>
      </c>
      <c r="K146" s="35">
        <f t="shared" si="24"/>
        <v>34.420867765355247</v>
      </c>
      <c r="L146" s="35">
        <f t="shared" si="25"/>
        <v>2.0005122334948435</v>
      </c>
      <c r="M146" s="36"/>
      <c r="N146" s="35">
        <f t="shared" si="26"/>
        <v>36.421887005472534</v>
      </c>
      <c r="O146" s="37">
        <v>1530552</v>
      </c>
      <c r="P146" s="38">
        <v>55745592</v>
      </c>
      <c r="Q146" s="38">
        <v>52682928</v>
      </c>
      <c r="R146" s="38">
        <v>3061888</v>
      </c>
      <c r="S146" s="39"/>
      <c r="T146" s="40">
        <v>29.154800000000002</v>
      </c>
      <c r="U146" s="40">
        <v>38.244799999999998</v>
      </c>
      <c r="V146" s="40">
        <v>37.802199999999999</v>
      </c>
      <c r="W146" s="41"/>
      <c r="X146" s="42"/>
      <c r="Y146" s="42"/>
      <c r="AA146" s="34" t="str">
        <f t="shared" si="27"/>
        <v>·</v>
      </c>
      <c r="AB146" s="35">
        <f t="shared" si="28"/>
        <v>35.871685509541656</v>
      </c>
      <c r="AC146" s="35">
        <f t="shared" si="29"/>
        <v>34.420867765355247</v>
      </c>
      <c r="AD146" s="35">
        <f t="shared" si="30"/>
        <v>1.4503159644363601</v>
      </c>
      <c r="AE146" s="36"/>
      <c r="AF146" s="35">
        <f t="shared" si="31"/>
        <v>35.871685509541656</v>
      </c>
      <c r="AG146" s="37">
        <v>1530552</v>
      </c>
      <c r="AH146" s="38">
        <v>54903480</v>
      </c>
      <c r="AI146" s="38">
        <v>52682928</v>
      </c>
      <c r="AJ146" s="38">
        <v>2219784</v>
      </c>
      <c r="AK146" s="39"/>
      <c r="AL146" s="40">
        <v>28.155999999999999</v>
      </c>
      <c r="AM146" s="40">
        <v>37.648600000000002</v>
      </c>
      <c r="AN146" s="40">
        <v>37.270899999999997</v>
      </c>
      <c r="AO146" s="41"/>
      <c r="AP146" s="42"/>
      <c r="AQ146" s="42"/>
      <c r="AS146" s="43">
        <f t="shared" si="32"/>
        <v>1.4495371677026525E-2</v>
      </c>
      <c r="AT146" s="43"/>
      <c r="AV146" s="44"/>
      <c r="AW146" s="44"/>
      <c r="AX146" s="44"/>
      <c r="AY146" s="45"/>
      <c r="BA146" s="44"/>
      <c r="BB146" s="44"/>
      <c r="BC146" s="44"/>
      <c r="BD146" s="45"/>
    </row>
    <row r="147" spans="1:56" outlineLevel="1" x14ac:dyDescent="0.15">
      <c r="A147" s="16"/>
      <c r="B147" s="16" t="s">
        <v>300</v>
      </c>
      <c r="C147" s="17" t="s">
        <v>229</v>
      </c>
      <c r="D147" s="16">
        <v>1530552</v>
      </c>
      <c r="E147" s="18">
        <v>20</v>
      </c>
      <c r="F147" s="17">
        <v>1</v>
      </c>
      <c r="G147" s="17"/>
      <c r="I147" s="19" t="str">
        <f t="shared" si="22"/>
        <v>·</v>
      </c>
      <c r="J147" s="20">
        <f t="shared" si="23"/>
        <v>37.809684349175981</v>
      </c>
      <c r="K147" s="20">
        <f t="shared" si="24"/>
        <v>34.420867765355247</v>
      </c>
      <c r="L147" s="20">
        <f t="shared" si="25"/>
        <v>3.3883095771982918</v>
      </c>
      <c r="M147" s="21"/>
      <c r="N147" s="20">
        <f t="shared" si="26"/>
        <v>37.809684349175981</v>
      </c>
      <c r="O147" s="22">
        <v>1530552</v>
      </c>
      <c r="P147" s="23">
        <v>57869688</v>
      </c>
      <c r="Q147" s="23">
        <v>52682928</v>
      </c>
      <c r="R147" s="23">
        <v>5185984</v>
      </c>
      <c r="S147" s="24"/>
      <c r="T147" s="25">
        <v>34.781300000000002</v>
      </c>
      <c r="U147" s="25">
        <v>39.624600000000001</v>
      </c>
      <c r="V147" s="25">
        <v>39.124400000000001</v>
      </c>
      <c r="W147" s="26"/>
      <c r="X147" s="27"/>
      <c r="Y147" s="27"/>
      <c r="AA147" s="19" t="str">
        <f t="shared" si="27"/>
        <v>·</v>
      </c>
      <c r="AB147" s="20">
        <f t="shared" si="28"/>
        <v>37.08153920938328</v>
      </c>
      <c r="AC147" s="20">
        <f t="shared" si="29"/>
        <v>34.420867765355247</v>
      </c>
      <c r="AD147" s="20">
        <f t="shared" si="30"/>
        <v>2.6601696642779862</v>
      </c>
      <c r="AE147" s="21"/>
      <c r="AF147" s="20">
        <f t="shared" si="31"/>
        <v>37.08153920938328</v>
      </c>
      <c r="AG147" s="22">
        <v>1530552</v>
      </c>
      <c r="AH147" s="23">
        <v>56755224</v>
      </c>
      <c r="AI147" s="23">
        <v>52682928</v>
      </c>
      <c r="AJ147" s="23">
        <v>4071528</v>
      </c>
      <c r="AK147" s="24"/>
      <c r="AL147" s="25">
        <v>33.9572</v>
      </c>
      <c r="AM147" s="25">
        <v>38.974200000000003</v>
      </c>
      <c r="AN147" s="25">
        <v>38.528799999999997</v>
      </c>
      <c r="AO147" s="26"/>
      <c r="AP147" s="27"/>
      <c r="AQ147" s="27"/>
      <c r="AS147" s="28">
        <f t="shared" si="32"/>
        <v>1.7876354784624349E-2</v>
      </c>
      <c r="AT147" s="28"/>
      <c r="AV147" s="29"/>
      <c r="AW147" s="29"/>
      <c r="AX147" s="29"/>
      <c r="AY147" s="30"/>
      <c r="BA147" s="29"/>
      <c r="BB147" s="29"/>
      <c r="BC147" s="29"/>
      <c r="BD147" s="30"/>
    </row>
    <row r="148" spans="1:56" outlineLevel="1" x14ac:dyDescent="0.15">
      <c r="A148" s="31"/>
      <c r="B148" s="46" t="s">
        <v>300</v>
      </c>
      <c r="C148" s="47" t="s">
        <v>230</v>
      </c>
      <c r="D148" s="46">
        <v>1530552</v>
      </c>
      <c r="E148" s="48">
        <v>20</v>
      </c>
      <c r="F148" s="47">
        <v>1</v>
      </c>
      <c r="G148" s="47"/>
      <c r="I148" s="49" t="str">
        <f t="shared" si="22"/>
        <v>·</v>
      </c>
      <c r="J148" s="50">
        <f t="shared" si="23"/>
        <v>39.857661810902208</v>
      </c>
      <c r="K148" s="50">
        <f t="shared" si="24"/>
        <v>34.420867765355247</v>
      </c>
      <c r="L148" s="50">
        <f t="shared" si="25"/>
        <v>5.4362870389245188</v>
      </c>
      <c r="M148" s="51"/>
      <c r="N148" s="50">
        <f t="shared" si="26"/>
        <v>39.857661810902208</v>
      </c>
      <c r="O148" s="52">
        <v>1530552</v>
      </c>
      <c r="P148" s="53">
        <v>61004224</v>
      </c>
      <c r="Q148" s="53">
        <v>52682928</v>
      </c>
      <c r="R148" s="53">
        <v>8320520</v>
      </c>
      <c r="S148" s="54"/>
      <c r="T148" s="55">
        <v>40.533299999999997</v>
      </c>
      <c r="U148" s="55">
        <v>42.466900000000003</v>
      </c>
      <c r="V148" s="55">
        <v>42.162399999999998</v>
      </c>
      <c r="W148" s="56"/>
      <c r="X148" s="57"/>
      <c r="Y148" s="57"/>
      <c r="AA148" s="49" t="str">
        <f t="shared" si="27"/>
        <v>·</v>
      </c>
      <c r="AB148" s="50">
        <f t="shared" si="28"/>
        <v>38.809391644321785</v>
      </c>
      <c r="AC148" s="50">
        <f t="shared" si="29"/>
        <v>34.420867765355247</v>
      </c>
      <c r="AD148" s="50">
        <f t="shared" si="30"/>
        <v>4.3880220992164922</v>
      </c>
      <c r="AE148" s="51"/>
      <c r="AF148" s="50">
        <f t="shared" si="31"/>
        <v>38.809391644321785</v>
      </c>
      <c r="AG148" s="52">
        <v>1530552</v>
      </c>
      <c r="AH148" s="53">
        <v>59399792</v>
      </c>
      <c r="AI148" s="53">
        <v>52682928</v>
      </c>
      <c r="AJ148" s="53">
        <v>6716096</v>
      </c>
      <c r="AK148" s="54"/>
      <c r="AL148" s="55">
        <v>39.353400000000001</v>
      </c>
      <c r="AM148" s="55">
        <v>41.482599999999998</v>
      </c>
      <c r="AN148" s="55">
        <v>41.125300000000003</v>
      </c>
      <c r="AO148" s="56"/>
      <c r="AP148" s="57"/>
      <c r="AQ148" s="57"/>
      <c r="AS148" s="58">
        <f t="shared" si="32"/>
        <v>2.3326328535461127E-2</v>
      </c>
      <c r="AT148" s="58"/>
      <c r="AV148" s="59"/>
      <c r="AW148" s="59"/>
      <c r="AX148" s="59"/>
      <c r="AY148" s="60"/>
      <c r="BA148" s="59"/>
      <c r="BB148" s="59"/>
      <c r="BC148" s="59"/>
      <c r="BD148" s="60"/>
    </row>
    <row r="149" spans="1:56" collapsed="1" x14ac:dyDescent="0.15">
      <c r="A149" s="16"/>
      <c r="B149" s="16" t="s">
        <v>303</v>
      </c>
      <c r="C149" s="17" t="s">
        <v>225</v>
      </c>
      <c r="D149" s="16">
        <v>272689</v>
      </c>
      <c r="E149" s="18">
        <v>20</v>
      </c>
      <c r="F149" s="17">
        <v>1</v>
      </c>
      <c r="G149" s="17"/>
      <c r="I149" s="19" t="str">
        <f t="shared" si="22"/>
        <v>·</v>
      </c>
      <c r="J149" s="20">
        <f t="shared" si="23"/>
        <v>35.433244465306629</v>
      </c>
      <c r="K149" s="20">
        <f t="shared" si="24"/>
        <v>35.39316950812097</v>
      </c>
      <c r="L149" s="20">
        <f t="shared" si="25"/>
        <v>3.8109348011837664E-2</v>
      </c>
      <c r="M149" s="21"/>
      <c r="N149" s="20">
        <f t="shared" si="26"/>
        <v>35.433244465306629</v>
      </c>
      <c r="O149" s="22">
        <v>272689</v>
      </c>
      <c r="P149" s="23">
        <v>9662256</v>
      </c>
      <c r="Q149" s="23">
        <v>9651328</v>
      </c>
      <c r="R149" s="23">
        <v>10392</v>
      </c>
      <c r="S149" s="24"/>
      <c r="T149" s="25">
        <v>28.735099999999999</v>
      </c>
      <c r="U149" s="25">
        <v>37.767000000000003</v>
      </c>
      <c r="V149" s="25">
        <v>39.460799999999999</v>
      </c>
      <c r="W149" s="26"/>
      <c r="X149" s="27"/>
      <c r="Y149" s="27"/>
      <c r="AA149" s="19" t="str">
        <f t="shared" si="27"/>
        <v>·</v>
      </c>
      <c r="AB149" s="20">
        <f t="shared" si="28"/>
        <v>35.408160945252654</v>
      </c>
      <c r="AC149" s="20">
        <f t="shared" si="29"/>
        <v>35.39316950812097</v>
      </c>
      <c r="AD149" s="20">
        <f t="shared" si="30"/>
        <v>1.3055165408212286E-2</v>
      </c>
      <c r="AE149" s="21"/>
      <c r="AF149" s="20">
        <f t="shared" si="31"/>
        <v>35.408160945252654</v>
      </c>
      <c r="AG149" s="22">
        <v>272689</v>
      </c>
      <c r="AH149" s="23">
        <v>9655416</v>
      </c>
      <c r="AI149" s="23">
        <v>9651328</v>
      </c>
      <c r="AJ149" s="23">
        <v>3560</v>
      </c>
      <c r="AK149" s="24"/>
      <c r="AL149" s="25">
        <v>27.121700000000001</v>
      </c>
      <c r="AM149" s="25">
        <v>37.817100000000003</v>
      </c>
      <c r="AN149" s="25">
        <v>38.609099999999998</v>
      </c>
      <c r="AO149" s="26"/>
      <c r="AP149" s="27"/>
      <c r="AQ149" s="27"/>
      <c r="AS149" s="28">
        <f t="shared" si="32"/>
        <v>7.0760948758363806E-4</v>
      </c>
      <c r="AT149" s="28">
        <f t="array" ref="AT149">AVERAGE(AI149:AI154/AH149:AH154) - AVERAGE(Q149:Q154/P149:P154)</f>
        <v>4.859685563679772E-3</v>
      </c>
      <c r="AV149" s="29">
        <f>IF( OR(ISBLANK(R149:R154),ISBLANK(AJ149:AJ154), ISBLANK(T149:T154),ISBLANK(AL149:AL154)), "·", bdRateExtend( R149:R154,T149:T154, AJ149:AJ154,AL149:AL154))</f>
        <v>-4.9985922432154051E-2</v>
      </c>
      <c r="AW149" s="29">
        <f>IF( OR(ISBLANK(R149:R154),ISBLANK(AJ149:AJ154), ISBLANK(U149:U154),ISBLANK(AM149:AM154)), "·", bdRateExtend( R149:R154,U149:U154, AJ149:AJ154,AM149:AM154))</f>
        <v>-3.8885363509623128E-3</v>
      </c>
      <c r="AX149" s="29">
        <f>IF( OR(ISBLANK(R149:R154),ISBLANK(AJ149:AJ154), ISBLANK(V149:V154),ISBLANK(AN149:AN154)), "·", bdRateExtend( R149:R154,V149:V154, AJ149:AJ154,AN149:AN154))</f>
        <v>0.1514190199736114</v>
      </c>
      <c r="AY149" s="30"/>
      <c r="BA149" s="29">
        <f>IF( OR(ISBLANK(P149:P154),ISBLANK(AH149:AH154), ISBLANK(T149:T154),ISBLANK(AL149:AL154)), "·", bdRateExtend( P149:P154,T149:T154, AH149:AH154,AL149:AL154))</f>
        <v>-2.6260793842702856E-4</v>
      </c>
      <c r="BB149" s="29">
        <f>IF( OR(ISBLANK(P149:P154),ISBLANK(AH149:AH154), ISBLANK(U149:U154),ISBLANK(AM149:AM154)), "·", bdRateExtend( P149:P154,U149:U154, AH149:AH154,AM149:AM154))</f>
        <v>1.2676868243572947E-3</v>
      </c>
      <c r="BC149" s="29">
        <f>IF( OR(ISBLANK(P149:P154),ISBLANK(AH149:AH154), ISBLANK(V149:V154),ISBLANK(AN149:AN154)), "·", bdRateExtend( P149:P154,V149:V154, AH149:AH154,AN149:AN154))</f>
        <v>2.1041422026153445E-3</v>
      </c>
      <c r="BD149" s="30"/>
    </row>
    <row r="150" spans="1:56" outlineLevel="1" x14ac:dyDescent="0.15">
      <c r="A150" s="31"/>
      <c r="B150" s="31" t="s">
        <v>303</v>
      </c>
      <c r="C150" s="32" t="s">
        <v>226</v>
      </c>
      <c r="D150" s="31">
        <v>272689</v>
      </c>
      <c r="E150" s="33">
        <v>20</v>
      </c>
      <c r="F150" s="32">
        <v>1</v>
      </c>
      <c r="G150" s="32"/>
      <c r="I150" s="34" t="str">
        <f t="shared" si="22"/>
        <v>·</v>
      </c>
      <c r="J150" s="35">
        <f t="shared" si="23"/>
        <v>35.477279978290284</v>
      </c>
      <c r="K150" s="35">
        <f t="shared" si="24"/>
        <v>35.39316950812097</v>
      </c>
      <c r="L150" s="35">
        <f t="shared" si="25"/>
        <v>8.2144860995493035E-2</v>
      </c>
      <c r="M150" s="36"/>
      <c r="N150" s="35">
        <f t="shared" si="26"/>
        <v>35.477279978290284</v>
      </c>
      <c r="O150" s="37">
        <v>272689</v>
      </c>
      <c r="P150" s="38">
        <v>9674264</v>
      </c>
      <c r="Q150" s="38">
        <v>9651328</v>
      </c>
      <c r="R150" s="38">
        <v>22400</v>
      </c>
      <c r="S150" s="39"/>
      <c r="T150" s="40">
        <v>30.848099999999999</v>
      </c>
      <c r="U150" s="40">
        <v>39.885399999999997</v>
      </c>
      <c r="V150" s="40">
        <v>40.649299999999997</v>
      </c>
      <c r="W150" s="41"/>
      <c r="X150" s="42"/>
      <c r="Y150" s="42"/>
      <c r="AA150" s="34" t="str">
        <f t="shared" si="27"/>
        <v>·</v>
      </c>
      <c r="AB150" s="35">
        <f t="shared" si="28"/>
        <v>35.431308193583163</v>
      </c>
      <c r="AC150" s="35">
        <f t="shared" si="29"/>
        <v>35.39316950812097</v>
      </c>
      <c r="AD150" s="35">
        <f t="shared" si="30"/>
        <v>3.6202413738727998E-2</v>
      </c>
      <c r="AE150" s="36"/>
      <c r="AF150" s="35">
        <f t="shared" si="31"/>
        <v>35.431308193583163</v>
      </c>
      <c r="AG150" s="37">
        <v>272689</v>
      </c>
      <c r="AH150" s="38">
        <v>9661728</v>
      </c>
      <c r="AI150" s="38">
        <v>9651328</v>
      </c>
      <c r="AJ150" s="38">
        <v>9872</v>
      </c>
      <c r="AK150" s="39"/>
      <c r="AL150" s="40">
        <v>29.021899999999999</v>
      </c>
      <c r="AM150" s="40">
        <v>38.770200000000003</v>
      </c>
      <c r="AN150" s="40">
        <v>39.784100000000002</v>
      </c>
      <c r="AO150" s="41"/>
      <c r="AP150" s="42"/>
      <c r="AQ150" s="42"/>
      <c r="AS150" s="43">
        <f t="shared" si="32"/>
        <v>1.2944143450205337E-3</v>
      </c>
      <c r="AT150" s="43"/>
      <c r="AV150" s="44"/>
      <c r="AW150" s="44"/>
      <c r="AX150" s="44"/>
      <c r="AY150" s="45"/>
      <c r="BA150" s="44"/>
      <c r="BB150" s="44"/>
      <c r="BC150" s="44"/>
      <c r="BD150" s="45"/>
    </row>
    <row r="151" spans="1:56" outlineLevel="1" x14ac:dyDescent="0.15">
      <c r="A151" s="16"/>
      <c r="B151" s="16" t="s">
        <v>303</v>
      </c>
      <c r="C151" s="17" t="s">
        <v>227</v>
      </c>
      <c r="D151" s="16">
        <v>272689</v>
      </c>
      <c r="E151" s="18">
        <v>20</v>
      </c>
      <c r="F151" s="17">
        <v>1</v>
      </c>
      <c r="G151" s="17"/>
      <c r="I151" s="19" t="str">
        <f t="shared" si="22"/>
        <v>·</v>
      </c>
      <c r="J151" s="20">
        <f t="shared" si="23"/>
        <v>35.580166416687142</v>
      </c>
      <c r="K151" s="20">
        <f t="shared" si="24"/>
        <v>35.39316950812097</v>
      </c>
      <c r="L151" s="20">
        <f t="shared" si="25"/>
        <v>0.18503129939234805</v>
      </c>
      <c r="M151" s="21"/>
      <c r="N151" s="20">
        <f t="shared" si="26"/>
        <v>35.580166416687142</v>
      </c>
      <c r="O151" s="22">
        <v>272689</v>
      </c>
      <c r="P151" s="23">
        <v>9702320</v>
      </c>
      <c r="Q151" s="23">
        <v>9651328</v>
      </c>
      <c r="R151" s="23">
        <v>50456</v>
      </c>
      <c r="S151" s="24"/>
      <c r="T151" s="25">
        <v>33.509099999999997</v>
      </c>
      <c r="U151" s="25">
        <v>41.417999999999999</v>
      </c>
      <c r="V151" s="25">
        <v>42.1661</v>
      </c>
      <c r="W151" s="26"/>
      <c r="X151" s="27"/>
      <c r="Y151" s="27"/>
      <c r="AA151" s="19" t="str">
        <f t="shared" si="27"/>
        <v>·</v>
      </c>
      <c r="AB151" s="20">
        <f t="shared" si="28"/>
        <v>35.493356901085122</v>
      </c>
      <c r="AC151" s="20">
        <f t="shared" si="29"/>
        <v>35.39316950812097</v>
      </c>
      <c r="AD151" s="20">
        <f t="shared" si="30"/>
        <v>9.8251121240680778E-2</v>
      </c>
      <c r="AE151" s="21"/>
      <c r="AF151" s="20">
        <f t="shared" si="31"/>
        <v>35.493356901085122</v>
      </c>
      <c r="AG151" s="22">
        <v>272689</v>
      </c>
      <c r="AH151" s="23">
        <v>9678648</v>
      </c>
      <c r="AI151" s="23">
        <v>9651328</v>
      </c>
      <c r="AJ151" s="23">
        <v>26792</v>
      </c>
      <c r="AK151" s="24"/>
      <c r="AL151" s="25">
        <v>31.679300000000001</v>
      </c>
      <c r="AM151" s="25">
        <v>40.122100000000003</v>
      </c>
      <c r="AN151" s="25">
        <v>40.745100000000001</v>
      </c>
      <c r="AO151" s="26"/>
      <c r="AP151" s="27"/>
      <c r="AQ151" s="27"/>
      <c r="AS151" s="28">
        <f t="shared" si="32"/>
        <v>2.4329418993834784E-3</v>
      </c>
      <c r="AT151" s="28"/>
      <c r="AV151" s="29"/>
      <c r="AW151" s="29"/>
      <c r="AX151" s="29"/>
      <c r="AY151" s="30"/>
      <c r="BA151" s="29"/>
      <c r="BB151" s="29"/>
      <c r="BC151" s="29"/>
      <c r="BD151" s="30"/>
    </row>
    <row r="152" spans="1:56" outlineLevel="1" x14ac:dyDescent="0.15">
      <c r="A152" s="31"/>
      <c r="B152" s="31" t="s">
        <v>303</v>
      </c>
      <c r="C152" s="32" t="s">
        <v>228</v>
      </c>
      <c r="D152" s="31">
        <v>272689</v>
      </c>
      <c r="E152" s="33">
        <v>20</v>
      </c>
      <c r="F152" s="32">
        <v>1</v>
      </c>
      <c r="G152" s="32"/>
      <c r="I152" s="34" t="str">
        <f t="shared" si="22"/>
        <v>·</v>
      </c>
      <c r="J152" s="35">
        <f t="shared" si="23"/>
        <v>35.795532639747108</v>
      </c>
      <c r="K152" s="35">
        <f t="shared" si="24"/>
        <v>35.39316950812097</v>
      </c>
      <c r="L152" s="35">
        <f t="shared" si="25"/>
        <v>0.40039752245231747</v>
      </c>
      <c r="M152" s="36"/>
      <c r="N152" s="35">
        <f t="shared" si="26"/>
        <v>35.795532639747108</v>
      </c>
      <c r="O152" s="37">
        <v>272689</v>
      </c>
      <c r="P152" s="38">
        <v>9761048</v>
      </c>
      <c r="Q152" s="38">
        <v>9651328</v>
      </c>
      <c r="R152" s="38">
        <v>109184</v>
      </c>
      <c r="S152" s="39"/>
      <c r="T152" s="40">
        <v>36.343299999999999</v>
      </c>
      <c r="U152" s="40">
        <v>43.282499999999999</v>
      </c>
      <c r="V152" s="40">
        <v>43.871000000000002</v>
      </c>
      <c r="W152" s="41"/>
      <c r="X152" s="42"/>
      <c r="Y152" s="42"/>
      <c r="AA152" s="34" t="str">
        <f t="shared" si="27"/>
        <v>·</v>
      </c>
      <c r="AB152" s="35">
        <f t="shared" si="28"/>
        <v>35.623351143610485</v>
      </c>
      <c r="AC152" s="35">
        <f t="shared" si="29"/>
        <v>35.39316950812097</v>
      </c>
      <c r="AD152" s="35">
        <f t="shared" si="30"/>
        <v>0.22824536376604851</v>
      </c>
      <c r="AE152" s="36"/>
      <c r="AF152" s="35">
        <f t="shared" si="31"/>
        <v>35.623351143610485</v>
      </c>
      <c r="AG152" s="37">
        <v>272689</v>
      </c>
      <c r="AH152" s="38">
        <v>9714096</v>
      </c>
      <c r="AI152" s="38">
        <v>9651328</v>
      </c>
      <c r="AJ152" s="38">
        <v>62240</v>
      </c>
      <c r="AK152" s="39"/>
      <c r="AL152" s="40">
        <v>34.401000000000003</v>
      </c>
      <c r="AM152" s="40">
        <v>41.653799999999997</v>
      </c>
      <c r="AN152" s="40">
        <v>42.235799999999998</v>
      </c>
      <c r="AO152" s="41"/>
      <c r="AP152" s="42"/>
      <c r="AQ152" s="42"/>
      <c r="AS152" s="43">
        <f t="shared" si="32"/>
        <v>4.7790583418859667E-3</v>
      </c>
      <c r="AT152" s="43"/>
      <c r="AV152" s="44"/>
      <c r="AW152" s="44"/>
      <c r="AX152" s="44"/>
      <c r="AY152" s="45"/>
      <c r="BA152" s="44"/>
      <c r="BB152" s="44"/>
      <c r="BC152" s="44"/>
      <c r="BD152" s="45"/>
    </row>
    <row r="153" spans="1:56" outlineLevel="1" x14ac:dyDescent="0.15">
      <c r="A153" s="16"/>
      <c r="B153" s="16" t="s">
        <v>303</v>
      </c>
      <c r="C153" s="17" t="s">
        <v>229</v>
      </c>
      <c r="D153" s="16">
        <v>272689</v>
      </c>
      <c r="E153" s="18">
        <v>20</v>
      </c>
      <c r="F153" s="17">
        <v>1</v>
      </c>
      <c r="G153" s="17"/>
      <c r="I153" s="19" t="str">
        <f t="shared" si="22"/>
        <v>·</v>
      </c>
      <c r="J153" s="20">
        <f t="shared" si="23"/>
        <v>36.228348044842292</v>
      </c>
      <c r="K153" s="20">
        <f t="shared" si="24"/>
        <v>35.39316950812097</v>
      </c>
      <c r="L153" s="20">
        <f t="shared" si="25"/>
        <v>0.8332129275474992</v>
      </c>
      <c r="M153" s="21"/>
      <c r="N153" s="20">
        <f t="shared" si="26"/>
        <v>36.228348044842292</v>
      </c>
      <c r="O153" s="22">
        <v>272689</v>
      </c>
      <c r="P153" s="23">
        <v>9879072</v>
      </c>
      <c r="Q153" s="23">
        <v>9651328</v>
      </c>
      <c r="R153" s="23">
        <v>227208</v>
      </c>
      <c r="S153" s="24"/>
      <c r="T153" s="25">
        <v>39.4497</v>
      </c>
      <c r="U153" s="25">
        <v>45.3262</v>
      </c>
      <c r="V153" s="25">
        <v>45.689500000000002</v>
      </c>
      <c r="W153" s="26"/>
      <c r="X153" s="27"/>
      <c r="Y153" s="27"/>
      <c r="AA153" s="19" t="str">
        <f t="shared" si="27"/>
        <v>·</v>
      </c>
      <c r="AB153" s="20">
        <f t="shared" si="28"/>
        <v>35.949260879610108</v>
      </c>
      <c r="AC153" s="20">
        <f t="shared" si="29"/>
        <v>35.39316950812097</v>
      </c>
      <c r="AD153" s="20">
        <f t="shared" si="30"/>
        <v>0.55415509976566713</v>
      </c>
      <c r="AE153" s="21"/>
      <c r="AF153" s="20">
        <f t="shared" si="31"/>
        <v>35.949260879610108</v>
      </c>
      <c r="AG153" s="22">
        <v>272689</v>
      </c>
      <c r="AH153" s="23">
        <v>9802968</v>
      </c>
      <c r="AI153" s="23">
        <v>9651328</v>
      </c>
      <c r="AJ153" s="23">
        <v>151112</v>
      </c>
      <c r="AK153" s="24"/>
      <c r="AL153" s="25">
        <v>37.670099999999998</v>
      </c>
      <c r="AM153" s="25">
        <v>43.712899999999998</v>
      </c>
      <c r="AN153" s="25">
        <v>44.069099999999999</v>
      </c>
      <c r="AO153" s="26"/>
      <c r="AP153" s="27"/>
      <c r="AQ153" s="27"/>
      <c r="AS153" s="28">
        <f t="shared" si="32"/>
        <v>7.5843929085809281E-3</v>
      </c>
      <c r="AT153" s="28"/>
      <c r="AV153" s="29"/>
      <c r="AW153" s="29"/>
      <c r="AX153" s="29"/>
      <c r="AY153" s="30"/>
      <c r="BA153" s="29"/>
      <c r="BB153" s="29"/>
      <c r="BC153" s="29"/>
      <c r="BD153" s="30"/>
    </row>
    <row r="154" spans="1:56" outlineLevel="1" x14ac:dyDescent="0.15">
      <c r="A154" s="31"/>
      <c r="B154" s="46" t="s">
        <v>303</v>
      </c>
      <c r="C154" s="47" t="s">
        <v>230</v>
      </c>
      <c r="D154" s="46">
        <v>272689</v>
      </c>
      <c r="E154" s="48">
        <v>20</v>
      </c>
      <c r="F154" s="47">
        <v>1</v>
      </c>
      <c r="G154" s="47"/>
      <c r="I154" s="49" t="str">
        <f t="shared" si="22"/>
        <v>·</v>
      </c>
      <c r="J154" s="50">
        <f t="shared" si="23"/>
        <v>37.033895756704524</v>
      </c>
      <c r="K154" s="50">
        <f t="shared" si="24"/>
        <v>35.39316950812097</v>
      </c>
      <c r="L154" s="50">
        <f t="shared" si="25"/>
        <v>1.6387606394097305</v>
      </c>
      <c r="M154" s="51"/>
      <c r="N154" s="50">
        <f t="shared" si="26"/>
        <v>37.033895756704524</v>
      </c>
      <c r="O154" s="52">
        <v>272689</v>
      </c>
      <c r="P154" s="53">
        <v>10098736</v>
      </c>
      <c r="Q154" s="53">
        <v>9651328</v>
      </c>
      <c r="R154" s="53">
        <v>446872</v>
      </c>
      <c r="S154" s="54"/>
      <c r="T154" s="55">
        <v>42.975900000000003</v>
      </c>
      <c r="U154" s="55">
        <v>47.522399999999998</v>
      </c>
      <c r="V154" s="55">
        <v>47.7273</v>
      </c>
      <c r="W154" s="56"/>
      <c r="X154" s="57"/>
      <c r="Y154" s="57"/>
      <c r="AA154" s="49" t="str">
        <f t="shared" si="27"/>
        <v>·</v>
      </c>
      <c r="AB154" s="50">
        <f t="shared" si="28"/>
        <v>36.561064069324395</v>
      </c>
      <c r="AC154" s="50">
        <f t="shared" si="29"/>
        <v>35.39316950812097</v>
      </c>
      <c r="AD154" s="50">
        <f t="shared" si="30"/>
        <v>1.1659582894799569</v>
      </c>
      <c r="AE154" s="51"/>
      <c r="AF154" s="50">
        <f t="shared" si="31"/>
        <v>36.561064069324395</v>
      </c>
      <c r="AG154" s="52">
        <v>272689</v>
      </c>
      <c r="AH154" s="53">
        <v>9969800</v>
      </c>
      <c r="AI154" s="53">
        <v>9651328</v>
      </c>
      <c r="AJ154" s="53">
        <v>317944</v>
      </c>
      <c r="AK154" s="54"/>
      <c r="AL154" s="55">
        <v>41.264400000000002</v>
      </c>
      <c r="AM154" s="55">
        <v>45.880899999999997</v>
      </c>
      <c r="AN154" s="55">
        <v>46.034500000000001</v>
      </c>
      <c r="AO154" s="56"/>
      <c r="AP154" s="57"/>
      <c r="AQ154" s="57"/>
      <c r="AS154" s="58">
        <f t="shared" si="32"/>
        <v>1.2359696399624642E-2</v>
      </c>
      <c r="AT154" s="58"/>
      <c r="AV154" s="59"/>
      <c r="AW154" s="59"/>
      <c r="AX154" s="59"/>
      <c r="AY154" s="60"/>
      <c r="BA154" s="59"/>
      <c r="BB154" s="59"/>
      <c r="BC154" s="59"/>
      <c r="BD154" s="60"/>
    </row>
    <row r="155" spans="1:56" collapsed="1" x14ac:dyDescent="0.15">
      <c r="A155" s="16"/>
      <c r="B155" s="16" t="s">
        <v>306</v>
      </c>
      <c r="C155" s="17" t="s">
        <v>225</v>
      </c>
      <c r="D155" s="16">
        <v>1602990</v>
      </c>
      <c r="E155" s="18">
        <v>20</v>
      </c>
      <c r="F155" s="17">
        <v>1</v>
      </c>
      <c r="G155" s="17"/>
      <c r="I155" s="19" t="str">
        <f t="shared" si="22"/>
        <v>·</v>
      </c>
      <c r="J155" s="20">
        <f t="shared" si="23"/>
        <v>28.70225765600534</v>
      </c>
      <c r="K155" s="20">
        <f t="shared" si="24"/>
        <v>28.597982520165441</v>
      </c>
      <c r="L155" s="20">
        <f t="shared" si="25"/>
        <v>0.10389085396664982</v>
      </c>
      <c r="M155" s="21"/>
      <c r="N155" s="20">
        <f t="shared" si="26"/>
        <v>28.70225765600534</v>
      </c>
      <c r="O155" s="22">
        <v>1602990</v>
      </c>
      <c r="P155" s="23">
        <v>46009432</v>
      </c>
      <c r="Q155" s="23">
        <v>45842280</v>
      </c>
      <c r="R155" s="23">
        <v>166536</v>
      </c>
      <c r="S155" s="24"/>
      <c r="T155" s="25">
        <v>24.360299999999999</v>
      </c>
      <c r="U155" s="25">
        <v>36.582299999999996</v>
      </c>
      <c r="V155" s="25">
        <v>36.771500000000003</v>
      </c>
      <c r="W155" s="26"/>
      <c r="X155" s="27"/>
      <c r="Y155" s="27"/>
      <c r="AA155" s="19" t="str">
        <f t="shared" si="27"/>
        <v>·</v>
      </c>
      <c r="AB155" s="20">
        <f t="shared" si="28"/>
        <v>28.649965377201354</v>
      </c>
      <c r="AC155" s="20">
        <f t="shared" si="29"/>
        <v>28.597982520165441</v>
      </c>
      <c r="AD155" s="20">
        <f t="shared" si="30"/>
        <v>5.1603565836343332E-2</v>
      </c>
      <c r="AE155" s="21"/>
      <c r="AF155" s="20">
        <f t="shared" si="31"/>
        <v>28.649965377201354</v>
      </c>
      <c r="AG155" s="22">
        <v>1602990</v>
      </c>
      <c r="AH155" s="23">
        <v>45925608</v>
      </c>
      <c r="AI155" s="23">
        <v>45842280</v>
      </c>
      <c r="AJ155" s="23">
        <v>82720</v>
      </c>
      <c r="AK155" s="24"/>
      <c r="AL155" s="25">
        <v>21.983699999999999</v>
      </c>
      <c r="AM155" s="25">
        <v>36.938400000000001</v>
      </c>
      <c r="AN155" s="25">
        <v>36.1051</v>
      </c>
      <c r="AO155" s="26"/>
      <c r="AP155" s="27"/>
      <c r="AQ155" s="27"/>
      <c r="AS155" s="28">
        <f t="shared" si="32"/>
        <v>1.8185816482484407E-3</v>
      </c>
      <c r="AT155" s="28">
        <f t="array" ref="AT155">AVERAGE(AI155:AI160/AH155:AH160) - AVERAGE(Q155:Q160/P155:P160)</f>
        <v>9.1780547787262412E-3</v>
      </c>
      <c r="AV155" s="29">
        <f>IF( OR(ISBLANK(R155:R160),ISBLANK(AJ155:AJ160), ISBLANK(T155:T160),ISBLANK(AL155:AL160)), "·", bdRateExtend( R155:R160,T155:T160, AJ155:AJ160,AL155:AL160))</f>
        <v>-5.5666402382001934E-3</v>
      </c>
      <c r="AW155" s="29">
        <f>IF( OR(ISBLANK(R155:R160),ISBLANK(AJ155:AJ160), ISBLANK(U155:U160),ISBLANK(AM155:AM160)), "·", bdRateExtend( R155:R160,U155:U160, AJ155:AJ160,AM155:AM160))</f>
        <v>0.20965646576115038</v>
      </c>
      <c r="AX155" s="29">
        <f>IF( OR(ISBLANK(R155:R160),ISBLANK(AJ155:AJ160), ISBLANK(V155:V160),ISBLANK(AN155:AN160)), "·", bdRateExtend( R155:R160,V155:V160, AJ155:AJ160,AN155:AN160))</f>
        <v>0.23916874186901027</v>
      </c>
      <c r="AY155" s="30"/>
      <c r="BA155" s="29">
        <f>IF( OR(ISBLANK(P155:P160),ISBLANK(AH155:AH160), ISBLANK(T155:T160),ISBLANK(AL155:AL160)), "·", bdRateExtend( P155:P160,T155:T160, AH155:AH160,AL155:AL160))</f>
        <v>-1.6392860283648281E-3</v>
      </c>
      <c r="BB155" s="29">
        <f>IF( OR(ISBLANK(P155:P160),ISBLANK(AH155:AH160), ISBLANK(U155:U160),ISBLANK(AM155:AM160)), "·", bdRateExtend( P155:P160,U155:U160, AH155:AH160,AM155:AM160))</f>
        <v>6.7082712989774418E-3</v>
      </c>
      <c r="BC155" s="29">
        <f>IF( OR(ISBLANK(P155:P160),ISBLANK(AH155:AH160), ISBLANK(V155:V160),ISBLANK(AN155:AN160)), "·", bdRateExtend( P155:P160,V155:V160, AH155:AH160,AN155:AN160))</f>
        <v>5.4891762834179403E-3</v>
      </c>
      <c r="BD155" s="30"/>
    </row>
    <row r="156" spans="1:56" outlineLevel="1" x14ac:dyDescent="0.15">
      <c r="A156" s="31"/>
      <c r="B156" s="31" t="s">
        <v>306</v>
      </c>
      <c r="C156" s="32" t="s">
        <v>226</v>
      </c>
      <c r="D156" s="31">
        <v>1602990</v>
      </c>
      <c r="E156" s="33">
        <v>20</v>
      </c>
      <c r="F156" s="32">
        <v>1</v>
      </c>
      <c r="G156" s="32"/>
      <c r="I156" s="34" t="str">
        <f t="shared" si="22"/>
        <v>·</v>
      </c>
      <c r="J156" s="35">
        <f t="shared" si="23"/>
        <v>28.805933911003812</v>
      </c>
      <c r="K156" s="35">
        <f t="shared" si="24"/>
        <v>28.597982520165441</v>
      </c>
      <c r="L156" s="35">
        <f t="shared" si="25"/>
        <v>0.20756710896512143</v>
      </c>
      <c r="M156" s="36"/>
      <c r="N156" s="35">
        <f t="shared" si="26"/>
        <v>28.805933911003812</v>
      </c>
      <c r="O156" s="37">
        <v>1602990</v>
      </c>
      <c r="P156" s="38">
        <v>46175624</v>
      </c>
      <c r="Q156" s="38">
        <v>45842280</v>
      </c>
      <c r="R156" s="38">
        <v>332728</v>
      </c>
      <c r="S156" s="39"/>
      <c r="T156" s="40">
        <v>26.747699999999998</v>
      </c>
      <c r="U156" s="40">
        <v>38.8001</v>
      </c>
      <c r="V156" s="40">
        <v>37.771299999999997</v>
      </c>
      <c r="W156" s="41"/>
      <c r="X156" s="42"/>
      <c r="Y156" s="42"/>
      <c r="AA156" s="34" t="str">
        <f t="shared" si="27"/>
        <v>·</v>
      </c>
      <c r="AB156" s="35">
        <f t="shared" si="28"/>
        <v>28.715388118453639</v>
      </c>
      <c r="AC156" s="35">
        <f t="shared" si="29"/>
        <v>28.597982520165441</v>
      </c>
      <c r="AD156" s="35">
        <f t="shared" si="30"/>
        <v>0.11702630708862813</v>
      </c>
      <c r="AE156" s="36"/>
      <c r="AF156" s="35">
        <f t="shared" si="31"/>
        <v>28.715388118453639</v>
      </c>
      <c r="AG156" s="37">
        <v>1602990</v>
      </c>
      <c r="AH156" s="38">
        <v>46030480</v>
      </c>
      <c r="AI156" s="38">
        <v>45842280</v>
      </c>
      <c r="AJ156" s="38">
        <v>187592</v>
      </c>
      <c r="AK156" s="39"/>
      <c r="AL156" s="40">
        <v>24.390899999999998</v>
      </c>
      <c r="AM156" s="40">
        <v>37.671500000000002</v>
      </c>
      <c r="AN156" s="40">
        <v>36.7849</v>
      </c>
      <c r="AO156" s="41"/>
      <c r="AP156" s="42"/>
      <c r="AQ156" s="42"/>
      <c r="AS156" s="43">
        <f t="shared" si="32"/>
        <v>3.1304517928544273E-3</v>
      </c>
      <c r="AT156" s="43"/>
      <c r="AV156" s="44"/>
      <c r="AW156" s="44"/>
      <c r="AX156" s="44"/>
      <c r="AY156" s="45"/>
      <c r="BA156" s="44"/>
      <c r="BB156" s="44"/>
      <c r="BC156" s="44"/>
      <c r="BD156" s="45"/>
    </row>
    <row r="157" spans="1:56" outlineLevel="1" x14ac:dyDescent="0.15">
      <c r="A157" s="16"/>
      <c r="B157" s="16" t="s">
        <v>306</v>
      </c>
      <c r="C157" s="17" t="s">
        <v>227</v>
      </c>
      <c r="D157" s="16">
        <v>1602990</v>
      </c>
      <c r="E157" s="18">
        <v>20</v>
      </c>
      <c r="F157" s="17">
        <v>1</v>
      </c>
      <c r="G157" s="17"/>
      <c r="I157" s="19" t="str">
        <f t="shared" si="22"/>
        <v>·</v>
      </c>
      <c r="J157" s="20">
        <f t="shared" si="23"/>
        <v>29.046818757447021</v>
      </c>
      <c r="K157" s="20">
        <f t="shared" si="24"/>
        <v>28.597982520165441</v>
      </c>
      <c r="L157" s="20">
        <f t="shared" si="25"/>
        <v>0.44845195540833066</v>
      </c>
      <c r="M157" s="21"/>
      <c r="N157" s="20">
        <f t="shared" si="26"/>
        <v>29.046818757447021</v>
      </c>
      <c r="O157" s="22">
        <v>1602990</v>
      </c>
      <c r="P157" s="23">
        <v>46561760</v>
      </c>
      <c r="Q157" s="23">
        <v>45842280</v>
      </c>
      <c r="R157" s="23">
        <v>718864</v>
      </c>
      <c r="S157" s="24"/>
      <c r="T157" s="25">
        <v>29.662800000000001</v>
      </c>
      <c r="U157" s="25">
        <v>40.5229</v>
      </c>
      <c r="V157" s="25">
        <v>39.115000000000002</v>
      </c>
      <c r="W157" s="26"/>
      <c r="X157" s="27"/>
      <c r="Y157" s="27"/>
      <c r="AA157" s="19" t="str">
        <f t="shared" si="27"/>
        <v>·</v>
      </c>
      <c r="AB157" s="20">
        <f t="shared" si="28"/>
        <v>28.883024847316577</v>
      </c>
      <c r="AC157" s="20">
        <f t="shared" si="29"/>
        <v>28.597982520165441</v>
      </c>
      <c r="AD157" s="20">
        <f t="shared" si="30"/>
        <v>0.2846630359515655</v>
      </c>
      <c r="AE157" s="21"/>
      <c r="AF157" s="20">
        <f t="shared" si="31"/>
        <v>28.883024847316577</v>
      </c>
      <c r="AG157" s="22">
        <v>1602990</v>
      </c>
      <c r="AH157" s="23">
        <v>46299200</v>
      </c>
      <c r="AI157" s="23">
        <v>45842280</v>
      </c>
      <c r="AJ157" s="23">
        <v>456312</v>
      </c>
      <c r="AK157" s="24"/>
      <c r="AL157" s="25">
        <v>27.5885</v>
      </c>
      <c r="AM157" s="25">
        <v>38.857500000000002</v>
      </c>
      <c r="AN157" s="25">
        <v>37.7971</v>
      </c>
      <c r="AO157" s="26"/>
      <c r="AP157" s="27"/>
      <c r="AQ157" s="27"/>
      <c r="AS157" s="28">
        <f t="shared" si="32"/>
        <v>5.5833120128967462E-3</v>
      </c>
      <c r="AT157" s="28"/>
      <c r="AV157" s="29"/>
      <c r="AW157" s="29"/>
      <c r="AX157" s="29"/>
      <c r="AY157" s="30"/>
      <c r="BA157" s="29"/>
      <c r="BB157" s="29"/>
      <c r="BC157" s="29"/>
      <c r="BD157" s="30"/>
    </row>
    <row r="158" spans="1:56" outlineLevel="1" x14ac:dyDescent="0.15">
      <c r="A158" s="31"/>
      <c r="B158" s="31" t="s">
        <v>306</v>
      </c>
      <c r="C158" s="32" t="s">
        <v>228</v>
      </c>
      <c r="D158" s="31">
        <v>1602990</v>
      </c>
      <c r="E158" s="33">
        <v>20</v>
      </c>
      <c r="F158" s="32">
        <v>1</v>
      </c>
      <c r="G158" s="32"/>
      <c r="I158" s="34" t="str">
        <f t="shared" si="22"/>
        <v>·</v>
      </c>
      <c r="J158" s="35">
        <f t="shared" si="23"/>
        <v>29.520189146532417</v>
      </c>
      <c r="K158" s="35">
        <f t="shared" si="24"/>
        <v>28.597982520165441</v>
      </c>
      <c r="L158" s="35">
        <f t="shared" si="25"/>
        <v>0.92182234449372735</v>
      </c>
      <c r="M158" s="36"/>
      <c r="N158" s="35">
        <f t="shared" si="26"/>
        <v>29.520189146532417</v>
      </c>
      <c r="O158" s="37">
        <v>1602990</v>
      </c>
      <c r="P158" s="38">
        <v>47320568</v>
      </c>
      <c r="Q158" s="38">
        <v>45842280</v>
      </c>
      <c r="R158" s="38">
        <v>1477672</v>
      </c>
      <c r="S158" s="39"/>
      <c r="T158" s="40">
        <v>32.983199999999997</v>
      </c>
      <c r="U158" s="40">
        <v>42.696599999999997</v>
      </c>
      <c r="V158" s="40">
        <v>40.802900000000001</v>
      </c>
      <c r="W158" s="41"/>
      <c r="X158" s="42"/>
      <c r="Y158" s="42"/>
      <c r="AA158" s="34" t="str">
        <f t="shared" si="27"/>
        <v>·</v>
      </c>
      <c r="AB158" s="35">
        <f t="shared" si="28"/>
        <v>29.231184224480501</v>
      </c>
      <c r="AC158" s="35">
        <f t="shared" si="29"/>
        <v>28.597982520165441</v>
      </c>
      <c r="AD158" s="35">
        <f t="shared" si="30"/>
        <v>0.63282241311549048</v>
      </c>
      <c r="AE158" s="36"/>
      <c r="AF158" s="35">
        <f t="shared" si="31"/>
        <v>29.231184224480501</v>
      </c>
      <c r="AG158" s="37">
        <v>1602990</v>
      </c>
      <c r="AH158" s="38">
        <v>46857296</v>
      </c>
      <c r="AI158" s="38">
        <v>45842280</v>
      </c>
      <c r="AJ158" s="38">
        <v>1014408</v>
      </c>
      <c r="AK158" s="39"/>
      <c r="AL158" s="40">
        <v>31.180800000000001</v>
      </c>
      <c r="AM158" s="40">
        <v>40.6267</v>
      </c>
      <c r="AN158" s="40">
        <v>39.200099999999999</v>
      </c>
      <c r="AO158" s="41"/>
      <c r="AP158" s="42"/>
      <c r="AQ158" s="42"/>
      <c r="AS158" s="43">
        <f t="shared" si="32"/>
        <v>9.5780056704380945E-3</v>
      </c>
      <c r="AT158" s="43"/>
      <c r="AV158" s="44"/>
      <c r="AW158" s="44"/>
      <c r="AX158" s="44"/>
      <c r="AY158" s="45"/>
      <c r="BA158" s="44"/>
      <c r="BB158" s="44"/>
      <c r="BC158" s="44"/>
      <c r="BD158" s="45"/>
    </row>
    <row r="159" spans="1:56" outlineLevel="1" x14ac:dyDescent="0.15">
      <c r="A159" s="16"/>
      <c r="B159" s="16" t="s">
        <v>306</v>
      </c>
      <c r="C159" s="17" t="s">
        <v>229</v>
      </c>
      <c r="D159" s="16">
        <v>1602990</v>
      </c>
      <c r="E159" s="18">
        <v>20</v>
      </c>
      <c r="F159" s="17">
        <v>1</v>
      </c>
      <c r="G159" s="17"/>
      <c r="I159" s="19" t="str">
        <f t="shared" si="22"/>
        <v>·</v>
      </c>
      <c r="J159" s="20">
        <f t="shared" si="23"/>
        <v>30.362639816842275</v>
      </c>
      <c r="K159" s="20">
        <f t="shared" si="24"/>
        <v>28.597982520165441</v>
      </c>
      <c r="L159" s="20">
        <f t="shared" si="25"/>
        <v>1.7642730148035859</v>
      </c>
      <c r="M159" s="21"/>
      <c r="N159" s="20">
        <f t="shared" si="26"/>
        <v>30.362639816842275</v>
      </c>
      <c r="O159" s="22">
        <v>1602990</v>
      </c>
      <c r="P159" s="23">
        <v>48671008</v>
      </c>
      <c r="Q159" s="23">
        <v>45842280</v>
      </c>
      <c r="R159" s="23">
        <v>2828112</v>
      </c>
      <c r="S159" s="24"/>
      <c r="T159" s="25">
        <v>37.021500000000003</v>
      </c>
      <c r="U159" s="25">
        <v>45.031999999999996</v>
      </c>
      <c r="V159" s="25">
        <v>42.875799999999998</v>
      </c>
      <c r="W159" s="26"/>
      <c r="X159" s="27"/>
      <c r="Y159" s="27"/>
      <c r="AA159" s="19" t="str">
        <f t="shared" si="27"/>
        <v>·</v>
      </c>
      <c r="AB159" s="20">
        <f t="shared" si="28"/>
        <v>29.916553440757585</v>
      </c>
      <c r="AC159" s="20">
        <f t="shared" si="29"/>
        <v>28.597982520165441</v>
      </c>
      <c r="AD159" s="20">
        <f t="shared" si="30"/>
        <v>1.3181916293925726</v>
      </c>
      <c r="AE159" s="21"/>
      <c r="AF159" s="20">
        <f t="shared" si="31"/>
        <v>29.916553440757585</v>
      </c>
      <c r="AG159" s="22">
        <v>1602990</v>
      </c>
      <c r="AH159" s="23">
        <v>47955936</v>
      </c>
      <c r="AI159" s="23">
        <v>45842280</v>
      </c>
      <c r="AJ159" s="23">
        <v>2113048</v>
      </c>
      <c r="AK159" s="24"/>
      <c r="AL159" s="25">
        <v>35.520099999999999</v>
      </c>
      <c r="AM159" s="25">
        <v>42.9893</v>
      </c>
      <c r="AN159" s="25">
        <v>41.270400000000002</v>
      </c>
      <c r="AO159" s="26"/>
      <c r="AP159" s="27"/>
      <c r="AQ159" s="27"/>
      <c r="AS159" s="28">
        <f t="shared" si="32"/>
        <v>1.4044402565502434E-2</v>
      </c>
      <c r="AT159" s="28"/>
      <c r="AV159" s="29"/>
      <c r="AW159" s="29"/>
      <c r="AX159" s="29"/>
      <c r="AY159" s="30"/>
      <c r="BA159" s="29"/>
      <c r="BB159" s="29"/>
      <c r="BC159" s="29"/>
      <c r="BD159" s="30"/>
    </row>
    <row r="160" spans="1:56" outlineLevel="1" x14ac:dyDescent="0.15">
      <c r="A160" s="31"/>
      <c r="B160" s="46" t="s">
        <v>306</v>
      </c>
      <c r="C160" s="47" t="s">
        <v>230</v>
      </c>
      <c r="D160" s="46">
        <v>1602990</v>
      </c>
      <c r="E160" s="48">
        <v>20</v>
      </c>
      <c r="F160" s="47">
        <v>1</v>
      </c>
      <c r="G160" s="47"/>
      <c r="I160" s="49" t="str">
        <f t="shared" si="22"/>
        <v>·</v>
      </c>
      <c r="J160" s="50">
        <f t="shared" si="23"/>
        <v>31.694455985377328</v>
      </c>
      <c r="K160" s="50">
        <f t="shared" si="24"/>
        <v>28.597982520165441</v>
      </c>
      <c r="L160" s="50">
        <f t="shared" si="25"/>
        <v>3.0960891833386359</v>
      </c>
      <c r="M160" s="51"/>
      <c r="N160" s="50">
        <f t="shared" si="26"/>
        <v>31.694455985377328</v>
      </c>
      <c r="O160" s="52">
        <v>1602990</v>
      </c>
      <c r="P160" s="53">
        <v>50805896</v>
      </c>
      <c r="Q160" s="53">
        <v>45842280</v>
      </c>
      <c r="R160" s="53">
        <v>4963000</v>
      </c>
      <c r="S160" s="54"/>
      <c r="T160" s="55">
        <v>41.665700000000001</v>
      </c>
      <c r="U160" s="55">
        <v>47.374000000000002</v>
      </c>
      <c r="V160" s="55">
        <v>45.481499999999997</v>
      </c>
      <c r="W160" s="56"/>
      <c r="X160" s="57"/>
      <c r="Y160" s="57"/>
      <c r="AA160" s="49" t="str">
        <f t="shared" si="27"/>
        <v>·</v>
      </c>
      <c r="AB160" s="50">
        <f t="shared" si="28"/>
        <v>30.97648269795819</v>
      </c>
      <c r="AC160" s="50">
        <f t="shared" si="29"/>
        <v>28.597982520165441</v>
      </c>
      <c r="AD160" s="50">
        <f t="shared" si="30"/>
        <v>2.3781208865931789</v>
      </c>
      <c r="AE160" s="51"/>
      <c r="AF160" s="50">
        <f t="shared" si="31"/>
        <v>30.97648269795819</v>
      </c>
      <c r="AG160" s="52">
        <v>1602990</v>
      </c>
      <c r="AH160" s="53">
        <v>49654992</v>
      </c>
      <c r="AI160" s="53">
        <v>45842280</v>
      </c>
      <c r="AJ160" s="53">
        <v>3812104</v>
      </c>
      <c r="AK160" s="54"/>
      <c r="AL160" s="55">
        <v>40.024700000000003</v>
      </c>
      <c r="AM160" s="55">
        <v>45.4557</v>
      </c>
      <c r="AN160" s="55">
        <v>43.835000000000001</v>
      </c>
      <c r="AO160" s="56"/>
      <c r="AP160" s="57"/>
      <c r="AQ160" s="57"/>
      <c r="AS160" s="58">
        <f t="shared" si="32"/>
        <v>2.091357498241786E-2</v>
      </c>
      <c r="AT160" s="58"/>
      <c r="AV160" s="59"/>
      <c r="AW160" s="59"/>
      <c r="AX160" s="59"/>
      <c r="AY160" s="60"/>
      <c r="BA160" s="59"/>
      <c r="BB160" s="59"/>
      <c r="BC160" s="59"/>
      <c r="BD160" s="60"/>
    </row>
    <row r="161" spans="1:56" collapsed="1" x14ac:dyDescent="0.15">
      <c r="A161" s="16"/>
      <c r="B161" s="16" t="s">
        <v>309</v>
      </c>
      <c r="C161" s="17" t="s">
        <v>225</v>
      </c>
      <c r="D161" s="16">
        <v>8929532</v>
      </c>
      <c r="E161" s="18">
        <v>20</v>
      </c>
      <c r="F161" s="17">
        <v>1</v>
      </c>
      <c r="G161" s="17"/>
      <c r="I161" s="19" t="str">
        <f t="shared" si="22"/>
        <v>·</v>
      </c>
      <c r="J161" s="20">
        <f t="shared" si="23"/>
        <v>26.950922847916331</v>
      </c>
      <c r="K161" s="20">
        <f t="shared" si="24"/>
        <v>26.894269486911519</v>
      </c>
      <c r="L161" s="20">
        <f t="shared" si="25"/>
        <v>5.65127041372381E-2</v>
      </c>
      <c r="M161" s="21"/>
      <c r="N161" s="20">
        <f t="shared" si="26"/>
        <v>26.950922847916331</v>
      </c>
      <c r="O161" s="22">
        <v>8929532</v>
      </c>
      <c r="P161" s="23">
        <v>240659128</v>
      </c>
      <c r="Q161" s="23">
        <v>240153240</v>
      </c>
      <c r="R161" s="23">
        <v>504632</v>
      </c>
      <c r="S161" s="24"/>
      <c r="T161" s="25">
        <v>25.154699999999998</v>
      </c>
      <c r="U161" s="25">
        <v>37.843800000000002</v>
      </c>
      <c r="V161" s="25">
        <v>40.217799999999997</v>
      </c>
      <c r="W161" s="26"/>
      <c r="X161" s="27"/>
      <c r="Y161" s="27"/>
      <c r="AA161" s="19" t="str">
        <f t="shared" si="27"/>
        <v>·</v>
      </c>
      <c r="AB161" s="20">
        <f t="shared" si="28"/>
        <v>26.91732377463903</v>
      </c>
      <c r="AC161" s="20">
        <f t="shared" si="29"/>
        <v>26.894269486911519</v>
      </c>
      <c r="AD161" s="20">
        <f t="shared" si="30"/>
        <v>2.291452676355267E-2</v>
      </c>
      <c r="AE161" s="21"/>
      <c r="AF161" s="20">
        <f t="shared" si="31"/>
        <v>26.91732377463903</v>
      </c>
      <c r="AG161" s="22">
        <v>8929532</v>
      </c>
      <c r="AH161" s="23">
        <v>240359104</v>
      </c>
      <c r="AI161" s="23">
        <v>240153240</v>
      </c>
      <c r="AJ161" s="23">
        <v>204616</v>
      </c>
      <c r="AK161" s="24"/>
      <c r="AL161" s="25">
        <v>23.872</v>
      </c>
      <c r="AM161" s="25">
        <v>37.472499999999997</v>
      </c>
      <c r="AN161" s="25">
        <v>38.839599999999997</v>
      </c>
      <c r="AO161" s="26"/>
      <c r="AP161" s="27"/>
      <c r="AQ161" s="27"/>
      <c r="AS161" s="28">
        <f t="shared" si="32"/>
        <v>1.2456084105125775E-3</v>
      </c>
      <c r="AT161" s="28">
        <f t="array" ref="AT161">AVERAGE(AI161:AI166/AH161:AH166) - AVERAGE(Q161:Q166/P161:P166)</f>
        <v>8.1548421957396977E-3</v>
      </c>
      <c r="AV161" s="29">
        <f>IF( OR(ISBLANK(R161:R166),ISBLANK(AJ161:AJ166), ISBLANK(T161:T166),ISBLANK(AL161:AL166)), "·", bdRateExtend( R161:R166,T161:T166, AJ161:AJ166,AL161:AL166))</f>
        <v>-8.5853450836449574E-2</v>
      </c>
      <c r="AW161" s="29">
        <f>IF( OR(ISBLANK(R161:R166),ISBLANK(AJ161:AJ166), ISBLANK(U161:U166),ISBLANK(AM161:AM166)), "·", bdRateExtend( R161:R166,U161:U166, AJ161:AJ166,AM161:AM166))</f>
        <v>0.17958775290805407</v>
      </c>
      <c r="AX161" s="29">
        <f>IF( OR(ISBLANK(R161:R166),ISBLANK(AJ161:AJ166), ISBLANK(V161:V166),ISBLANK(AN161:AN166)), "·", bdRateExtend( R161:R166,V161:V166, AJ161:AJ166,AN161:AN166))</f>
        <v>0.34059868036394292</v>
      </c>
      <c r="AY161" s="30"/>
      <c r="BA161" s="29">
        <f>IF( OR(ISBLANK(P161:P166),ISBLANK(AH161:AH166), ISBLANK(T161:T166),ISBLANK(AL161:AL166)), "·", bdRateExtend( P161:P166,T161:T166, AH161:AH166,AL161:AL166))</f>
        <v>-3.3121786143833765E-3</v>
      </c>
      <c r="BB161" s="29">
        <f>IF( OR(ISBLANK(P161:P166),ISBLANK(AH161:AH166), ISBLANK(U161:U166),ISBLANK(AM161:AM166)), "·", bdRateExtend( P161:P166,U161:U166, AH161:AH166,AM161:AM166))</f>
        <v>4.9237488284019637E-3</v>
      </c>
      <c r="BC161" s="29">
        <f>IF( OR(ISBLANK(P161:P166),ISBLANK(AH161:AH166), ISBLANK(V161:V166),ISBLANK(AN161:AN166)), "·", bdRateExtend( P161:P166,V161:V166, AH161:AH166,AN161:AN166))</f>
        <v>6.0834537282716816E-3</v>
      </c>
      <c r="BD161" s="30"/>
    </row>
    <row r="162" spans="1:56" outlineLevel="1" x14ac:dyDescent="0.15">
      <c r="A162" s="31"/>
      <c r="B162" s="31" t="s">
        <v>309</v>
      </c>
      <c r="C162" s="32" t="s">
        <v>226</v>
      </c>
      <c r="D162" s="31">
        <v>8929532</v>
      </c>
      <c r="E162" s="33">
        <v>20</v>
      </c>
      <c r="F162" s="32">
        <v>1</v>
      </c>
      <c r="G162" s="32"/>
      <c r="I162" s="34" t="str">
        <f t="shared" si="22"/>
        <v>·</v>
      </c>
      <c r="J162" s="35">
        <f t="shared" si="23"/>
        <v>27.02345878820973</v>
      </c>
      <c r="K162" s="35">
        <f t="shared" si="24"/>
        <v>26.894269486911519</v>
      </c>
      <c r="L162" s="35">
        <f t="shared" si="25"/>
        <v>0.12904864443063757</v>
      </c>
      <c r="M162" s="36"/>
      <c r="N162" s="35">
        <f t="shared" si="26"/>
        <v>27.02345878820973</v>
      </c>
      <c r="O162" s="37">
        <v>8929532</v>
      </c>
      <c r="P162" s="38">
        <v>241306840</v>
      </c>
      <c r="Q162" s="38">
        <v>240153240</v>
      </c>
      <c r="R162" s="38">
        <v>1152344</v>
      </c>
      <c r="S162" s="39"/>
      <c r="T162" s="40">
        <v>26.700600000000001</v>
      </c>
      <c r="U162" s="40">
        <v>40.068800000000003</v>
      </c>
      <c r="V162" s="40">
        <v>41.3005</v>
      </c>
      <c r="W162" s="41"/>
      <c r="X162" s="42"/>
      <c r="Y162" s="42"/>
      <c r="AA162" s="34" t="str">
        <f t="shared" si="27"/>
        <v>·</v>
      </c>
      <c r="AB162" s="35">
        <f t="shared" si="28"/>
        <v>26.952506805507838</v>
      </c>
      <c r="AC162" s="35">
        <f t="shared" si="29"/>
        <v>26.894269486911519</v>
      </c>
      <c r="AD162" s="35">
        <f t="shared" si="30"/>
        <v>5.809755763235968E-2</v>
      </c>
      <c r="AE162" s="36"/>
      <c r="AF162" s="35">
        <f t="shared" si="31"/>
        <v>26.952506805507838</v>
      </c>
      <c r="AG162" s="37">
        <v>8929532</v>
      </c>
      <c r="AH162" s="38">
        <v>240673272</v>
      </c>
      <c r="AI162" s="38">
        <v>240153240</v>
      </c>
      <c r="AJ162" s="38">
        <v>518784</v>
      </c>
      <c r="AK162" s="39"/>
      <c r="AL162" s="40">
        <v>25.306899999999999</v>
      </c>
      <c r="AM162" s="40">
        <v>38.703899999999997</v>
      </c>
      <c r="AN162" s="40">
        <v>39.984699999999997</v>
      </c>
      <c r="AO162" s="41"/>
      <c r="AP162" s="42"/>
      <c r="AQ162" s="42"/>
      <c r="AS162" s="43">
        <f t="shared" si="32"/>
        <v>2.6198968302866277E-3</v>
      </c>
      <c r="AT162" s="43"/>
      <c r="AV162" s="44"/>
      <c r="AW162" s="44"/>
      <c r="AX162" s="44"/>
      <c r="AY162" s="45"/>
      <c r="BA162" s="44"/>
      <c r="BB162" s="44"/>
      <c r="BC162" s="44"/>
      <c r="BD162" s="45"/>
    </row>
    <row r="163" spans="1:56" outlineLevel="1" x14ac:dyDescent="0.15">
      <c r="A163" s="16"/>
      <c r="B163" s="16" t="s">
        <v>309</v>
      </c>
      <c r="C163" s="17" t="s">
        <v>227</v>
      </c>
      <c r="D163" s="16">
        <v>8929532</v>
      </c>
      <c r="E163" s="18">
        <v>20</v>
      </c>
      <c r="F163" s="17">
        <v>1</v>
      </c>
      <c r="G163" s="17"/>
      <c r="I163" s="19" t="str">
        <f t="shared" si="22"/>
        <v>·</v>
      </c>
      <c r="J163" s="20">
        <f t="shared" si="23"/>
        <v>27.23759050306332</v>
      </c>
      <c r="K163" s="20">
        <f t="shared" si="24"/>
        <v>26.894269486911519</v>
      </c>
      <c r="L163" s="20">
        <f t="shared" si="25"/>
        <v>0.34318035928422674</v>
      </c>
      <c r="M163" s="21"/>
      <c r="N163" s="20">
        <f t="shared" si="26"/>
        <v>27.23759050306332</v>
      </c>
      <c r="O163" s="22">
        <v>8929532</v>
      </c>
      <c r="P163" s="23">
        <v>243218936</v>
      </c>
      <c r="Q163" s="23">
        <v>240153240</v>
      </c>
      <c r="R163" s="23">
        <v>3064440</v>
      </c>
      <c r="S163" s="24"/>
      <c r="T163" s="25">
        <v>29.035599999999999</v>
      </c>
      <c r="U163" s="25">
        <v>41.454900000000002</v>
      </c>
      <c r="V163" s="25">
        <v>42.508899999999997</v>
      </c>
      <c r="W163" s="26"/>
      <c r="X163" s="27"/>
      <c r="Y163" s="27"/>
      <c r="AA163" s="19" t="str">
        <f t="shared" si="27"/>
        <v>·</v>
      </c>
      <c r="AB163" s="20">
        <f t="shared" si="28"/>
        <v>27.088566791630289</v>
      </c>
      <c r="AC163" s="20">
        <f t="shared" si="29"/>
        <v>26.894269486911519</v>
      </c>
      <c r="AD163" s="20">
        <f t="shared" si="30"/>
        <v>0.19415754375481267</v>
      </c>
      <c r="AE163" s="21"/>
      <c r="AF163" s="20">
        <f t="shared" si="31"/>
        <v>27.088566791630289</v>
      </c>
      <c r="AG163" s="22">
        <v>8929532</v>
      </c>
      <c r="AH163" s="23">
        <v>241888224</v>
      </c>
      <c r="AI163" s="23">
        <v>240153240</v>
      </c>
      <c r="AJ163" s="23">
        <v>1733736</v>
      </c>
      <c r="AK163" s="24"/>
      <c r="AL163" s="25">
        <v>27.628299999999999</v>
      </c>
      <c r="AM163" s="25">
        <v>40.1663</v>
      </c>
      <c r="AN163" s="25">
        <v>41.344299999999997</v>
      </c>
      <c r="AO163" s="26"/>
      <c r="AP163" s="27"/>
      <c r="AQ163" s="27"/>
      <c r="AS163" s="28">
        <f t="shared" si="32"/>
        <v>5.4320081566409106E-3</v>
      </c>
      <c r="AT163" s="28"/>
      <c r="AV163" s="29"/>
      <c r="AW163" s="29"/>
      <c r="AX163" s="29"/>
      <c r="AY163" s="30"/>
      <c r="BA163" s="29"/>
      <c r="BB163" s="29"/>
      <c r="BC163" s="29"/>
      <c r="BD163" s="30"/>
    </row>
    <row r="164" spans="1:56" outlineLevel="1" x14ac:dyDescent="0.15">
      <c r="A164" s="31"/>
      <c r="B164" s="31" t="s">
        <v>309</v>
      </c>
      <c r="C164" s="32" t="s">
        <v>228</v>
      </c>
      <c r="D164" s="31">
        <v>8929532</v>
      </c>
      <c r="E164" s="33">
        <v>20</v>
      </c>
      <c r="F164" s="32">
        <v>1</v>
      </c>
      <c r="G164" s="32"/>
      <c r="I164" s="34" t="str">
        <f t="shared" si="22"/>
        <v>·</v>
      </c>
      <c r="J164" s="35">
        <f t="shared" si="23"/>
        <v>27.678790780972619</v>
      </c>
      <c r="K164" s="35">
        <f t="shared" si="24"/>
        <v>26.894269486911519</v>
      </c>
      <c r="L164" s="35">
        <f t="shared" si="25"/>
        <v>0.78438063719352813</v>
      </c>
      <c r="M164" s="36"/>
      <c r="N164" s="35">
        <f t="shared" si="26"/>
        <v>27.678790780972619</v>
      </c>
      <c r="O164" s="37">
        <v>8929532</v>
      </c>
      <c r="P164" s="38">
        <v>247158648</v>
      </c>
      <c r="Q164" s="38">
        <v>240153240</v>
      </c>
      <c r="R164" s="38">
        <v>7004152</v>
      </c>
      <c r="S164" s="39"/>
      <c r="T164" s="40">
        <v>32.510399999999997</v>
      </c>
      <c r="U164" s="40">
        <v>42.894500000000001</v>
      </c>
      <c r="V164" s="40">
        <v>43.731900000000003</v>
      </c>
      <c r="W164" s="41"/>
      <c r="X164" s="42"/>
      <c r="Y164" s="42"/>
      <c r="AA164" s="34" t="str">
        <f t="shared" si="27"/>
        <v>·</v>
      </c>
      <c r="AB164" s="35">
        <f t="shared" si="28"/>
        <v>27.437183494050977</v>
      </c>
      <c r="AC164" s="35">
        <f t="shared" si="29"/>
        <v>26.894269486911519</v>
      </c>
      <c r="AD164" s="35">
        <f t="shared" si="30"/>
        <v>0.54277424617549941</v>
      </c>
      <c r="AE164" s="36"/>
      <c r="AF164" s="35">
        <f t="shared" si="31"/>
        <v>27.437183494050977</v>
      </c>
      <c r="AG164" s="37">
        <v>8929532</v>
      </c>
      <c r="AH164" s="38">
        <v>245001208</v>
      </c>
      <c r="AI164" s="38">
        <v>240153240</v>
      </c>
      <c r="AJ164" s="38">
        <v>4846720</v>
      </c>
      <c r="AK164" s="39"/>
      <c r="AL164" s="40">
        <v>31.202100000000002</v>
      </c>
      <c r="AM164" s="40">
        <v>41.604700000000001</v>
      </c>
      <c r="AN164" s="40">
        <v>42.6006</v>
      </c>
      <c r="AO164" s="41"/>
      <c r="AP164" s="42"/>
      <c r="AQ164" s="42"/>
      <c r="AS164" s="43">
        <f t="shared" si="32"/>
        <v>8.5562435910012669E-3</v>
      </c>
      <c r="AT164" s="43"/>
      <c r="AV164" s="44"/>
      <c r="AW164" s="44"/>
      <c r="AX164" s="44"/>
      <c r="AY164" s="45"/>
      <c r="BA164" s="44"/>
      <c r="BB164" s="44"/>
      <c r="BC164" s="44"/>
      <c r="BD164" s="45"/>
    </row>
    <row r="165" spans="1:56" outlineLevel="1" x14ac:dyDescent="0.15">
      <c r="A165" s="16"/>
      <c r="B165" s="16" t="s">
        <v>309</v>
      </c>
      <c r="C165" s="17" t="s">
        <v>229</v>
      </c>
      <c r="D165" s="16">
        <v>8929532</v>
      </c>
      <c r="E165" s="18">
        <v>20</v>
      </c>
      <c r="F165" s="17">
        <v>1</v>
      </c>
      <c r="G165" s="17"/>
      <c r="I165" s="19" t="str">
        <f t="shared" si="22"/>
        <v>·</v>
      </c>
      <c r="J165" s="20">
        <f t="shared" si="23"/>
        <v>28.440500577185905</v>
      </c>
      <c r="K165" s="20">
        <f t="shared" si="24"/>
        <v>26.894269486911519</v>
      </c>
      <c r="L165" s="20">
        <f t="shared" si="25"/>
        <v>1.5460904334068124</v>
      </c>
      <c r="M165" s="21"/>
      <c r="N165" s="20">
        <f t="shared" si="26"/>
        <v>28.440500577185905</v>
      </c>
      <c r="O165" s="22">
        <v>8929532</v>
      </c>
      <c r="P165" s="23">
        <v>253960360</v>
      </c>
      <c r="Q165" s="23">
        <v>240153240</v>
      </c>
      <c r="R165" s="23">
        <v>13805864</v>
      </c>
      <c r="S165" s="24"/>
      <c r="T165" s="25">
        <v>36.765799999999999</v>
      </c>
      <c r="U165" s="25">
        <v>44.501600000000003</v>
      </c>
      <c r="V165" s="25">
        <v>45.137799999999999</v>
      </c>
      <c r="W165" s="26"/>
      <c r="X165" s="27"/>
      <c r="Y165" s="27"/>
      <c r="AA165" s="19" t="str">
        <f t="shared" si="27"/>
        <v>·</v>
      </c>
      <c r="AB165" s="20">
        <f t="shared" si="28"/>
        <v>28.075590971620908</v>
      </c>
      <c r="AC165" s="20">
        <f t="shared" si="29"/>
        <v>26.894269486911519</v>
      </c>
      <c r="AD165" s="20">
        <f t="shared" si="30"/>
        <v>1.1811817237454325</v>
      </c>
      <c r="AE165" s="21"/>
      <c r="AF165" s="20">
        <f t="shared" si="31"/>
        <v>28.075590971620908</v>
      </c>
      <c r="AG165" s="22">
        <v>8929532</v>
      </c>
      <c r="AH165" s="23">
        <v>250701888</v>
      </c>
      <c r="AI165" s="23">
        <v>240153240</v>
      </c>
      <c r="AJ165" s="23">
        <v>10547400</v>
      </c>
      <c r="AK165" s="24"/>
      <c r="AL165" s="25">
        <v>35.641199999999998</v>
      </c>
      <c r="AM165" s="25">
        <v>43.213900000000002</v>
      </c>
      <c r="AN165" s="25">
        <v>44.018700000000003</v>
      </c>
      <c r="AO165" s="26"/>
      <c r="AP165" s="27"/>
      <c r="AQ165" s="27"/>
      <c r="AS165" s="28">
        <f t="shared" si="32"/>
        <v>1.22907647191145E-2</v>
      </c>
      <c r="AT165" s="28"/>
      <c r="AV165" s="29"/>
      <c r="AW165" s="29"/>
      <c r="AX165" s="29"/>
      <c r="AY165" s="30"/>
      <c r="BA165" s="29"/>
      <c r="BB165" s="29"/>
      <c r="BC165" s="29"/>
      <c r="BD165" s="30"/>
    </row>
    <row r="166" spans="1:56" outlineLevel="1" x14ac:dyDescent="0.15">
      <c r="A166" s="31"/>
      <c r="B166" s="46" t="s">
        <v>309</v>
      </c>
      <c r="C166" s="47" t="s">
        <v>230</v>
      </c>
      <c r="D166" s="46">
        <v>8929532</v>
      </c>
      <c r="E166" s="48">
        <v>20</v>
      </c>
      <c r="F166" s="47">
        <v>1</v>
      </c>
      <c r="G166" s="47"/>
      <c r="I166" s="49" t="str">
        <f t="shared" si="22"/>
        <v>·</v>
      </c>
      <c r="J166" s="50">
        <f t="shared" si="23"/>
        <v>29.621256746714163</v>
      </c>
      <c r="K166" s="50">
        <f t="shared" si="24"/>
        <v>26.894269486911519</v>
      </c>
      <c r="L166" s="50">
        <f t="shared" si="25"/>
        <v>2.72684660293507</v>
      </c>
      <c r="M166" s="51"/>
      <c r="N166" s="50">
        <f t="shared" si="26"/>
        <v>29.621256746714163</v>
      </c>
      <c r="O166" s="52">
        <v>8929532</v>
      </c>
      <c r="P166" s="53">
        <v>264503960</v>
      </c>
      <c r="Q166" s="53">
        <v>240153240</v>
      </c>
      <c r="R166" s="53">
        <v>24349464</v>
      </c>
      <c r="S166" s="54"/>
      <c r="T166" s="55">
        <v>41.681199999999997</v>
      </c>
      <c r="U166" s="55">
        <v>46.542099999999998</v>
      </c>
      <c r="V166" s="55">
        <v>46.919699999999999</v>
      </c>
      <c r="W166" s="56"/>
      <c r="X166" s="57"/>
      <c r="Y166" s="57"/>
      <c r="AA166" s="49" t="str">
        <f t="shared" si="27"/>
        <v>·</v>
      </c>
      <c r="AB166" s="50">
        <f t="shared" si="28"/>
        <v>29.020838270135545</v>
      </c>
      <c r="AC166" s="50">
        <f t="shared" si="29"/>
        <v>26.894269486911519</v>
      </c>
      <c r="AD166" s="50">
        <f t="shared" si="30"/>
        <v>2.1264290222600692</v>
      </c>
      <c r="AE166" s="51"/>
      <c r="AF166" s="50">
        <f t="shared" si="31"/>
        <v>29.020838270135545</v>
      </c>
      <c r="AG166" s="52">
        <v>8929532</v>
      </c>
      <c r="AH166" s="53">
        <v>259142504</v>
      </c>
      <c r="AI166" s="53">
        <v>240153240</v>
      </c>
      <c r="AJ166" s="53">
        <v>18988016</v>
      </c>
      <c r="AK166" s="54"/>
      <c r="AL166" s="55">
        <v>40.286499999999997</v>
      </c>
      <c r="AM166" s="55">
        <v>45.167400000000001</v>
      </c>
      <c r="AN166" s="55">
        <v>45.684800000000003</v>
      </c>
      <c r="AO166" s="56"/>
      <c r="AP166" s="57"/>
      <c r="AQ166" s="57"/>
      <c r="AS166" s="58">
        <f t="shared" si="32"/>
        <v>1.8784531466882082E-2</v>
      </c>
      <c r="AT166" s="58"/>
      <c r="AV166" s="59"/>
      <c r="AW166" s="59"/>
      <c r="AX166" s="59"/>
      <c r="AY166" s="60"/>
      <c r="BA166" s="59"/>
      <c r="BB166" s="59"/>
      <c r="BC166" s="59"/>
      <c r="BD166" s="60"/>
    </row>
    <row r="167" spans="1:56" collapsed="1" x14ac:dyDescent="0.15">
      <c r="A167" s="16"/>
      <c r="B167" s="16" t="s">
        <v>312</v>
      </c>
      <c r="C167" s="17" t="s">
        <v>225</v>
      </c>
      <c r="D167" s="16">
        <v>19702134</v>
      </c>
      <c r="E167" s="18">
        <v>14</v>
      </c>
      <c r="F167" s="17">
        <v>1</v>
      </c>
      <c r="G167" s="17"/>
      <c r="I167" s="19" t="str">
        <f t="shared" si="22"/>
        <v>·</v>
      </c>
      <c r="J167" s="20">
        <f t="shared" si="23"/>
        <v>5.97396079023724</v>
      </c>
      <c r="K167" s="20">
        <f t="shared" si="24"/>
        <v>5.9567277331480941</v>
      </c>
      <c r="L167" s="20">
        <f t="shared" si="25"/>
        <v>1.7113273110415349E-2</v>
      </c>
      <c r="M167" s="21"/>
      <c r="N167" s="20">
        <f t="shared" si="26"/>
        <v>5.97396079023724</v>
      </c>
      <c r="O167" s="22">
        <v>19702134</v>
      </c>
      <c r="P167" s="23">
        <v>117699776</v>
      </c>
      <c r="Q167" s="23">
        <v>117360248</v>
      </c>
      <c r="R167" s="23">
        <v>337168</v>
      </c>
      <c r="S167" s="24"/>
      <c r="T167" s="25">
        <v>29.244499999999999</v>
      </c>
      <c r="U167" s="25">
        <v>40.528599999999997</v>
      </c>
      <c r="V167" s="25">
        <v>43.828200000000002</v>
      </c>
      <c r="W167" s="26"/>
      <c r="X167" s="27"/>
      <c r="Y167" s="27"/>
      <c r="AA167" s="19" t="str">
        <f t="shared" si="27"/>
        <v>·</v>
      </c>
      <c r="AB167" s="20">
        <f t="shared" si="28"/>
        <v>5.962401027218676</v>
      </c>
      <c r="AC167" s="20">
        <f t="shared" si="29"/>
        <v>5.9567277331480941</v>
      </c>
      <c r="AD167" s="20">
        <f t="shared" si="30"/>
        <v>5.5539161392364911E-3</v>
      </c>
      <c r="AE167" s="21"/>
      <c r="AF167" s="20">
        <f t="shared" si="31"/>
        <v>5.962401027218676</v>
      </c>
      <c r="AG167" s="22">
        <v>19702134</v>
      </c>
      <c r="AH167" s="23">
        <v>117472024</v>
      </c>
      <c r="AI167" s="23">
        <v>117360248</v>
      </c>
      <c r="AJ167" s="23">
        <v>109424</v>
      </c>
      <c r="AK167" s="24"/>
      <c r="AL167" s="25">
        <v>28.194299999999998</v>
      </c>
      <c r="AM167" s="25">
        <v>41.468499999999999</v>
      </c>
      <c r="AN167" s="25">
        <v>43.334299999999999</v>
      </c>
      <c r="AO167" s="26"/>
      <c r="AP167" s="27"/>
      <c r="AQ167" s="27"/>
      <c r="AS167" s="28">
        <f t="shared" si="32"/>
        <v>1.9331837243045102E-3</v>
      </c>
      <c r="AT167" s="28">
        <f t="array" ref="AT167">AVERAGE(AI167:AI172/AH167:AH172) - AVERAGE(Q167:Q172/P167:P172)</f>
        <v>2.7199077984513931E-2</v>
      </c>
      <c r="AV167" s="29">
        <f>IF( OR(ISBLANK(R167:R172),ISBLANK(AJ167:AJ172), ISBLANK(T167:T172),ISBLANK(AL167:AL172)), "·", bdRateExtend( R167:R172,T167:T172, AJ167:AJ172,AL167:AL172))</f>
        <v>-6.5190573424187548E-2</v>
      </c>
      <c r="AW167" s="29">
        <f>IF( OR(ISBLANK(R167:R172),ISBLANK(AJ167:AJ172), ISBLANK(U167:U172),ISBLANK(AM167:AM172)), "·", bdRateExtend( R167:R172,U167:U172, AJ167:AJ172,AM167:AM172))</f>
        <v>3.7090051287594017E-2</v>
      </c>
      <c r="AX167" s="29">
        <f>IF( OR(ISBLANK(R167:R172),ISBLANK(AJ167:AJ172), ISBLANK(V167:V172),ISBLANK(AN167:AN172)), "·", bdRateExtend( R167:R172,V167:V172, AJ167:AJ172,AN167:AN172))</f>
        <v>0.1731912295151552</v>
      </c>
      <c r="AY167" s="30"/>
      <c r="BA167" s="29">
        <f>IF( OR(ISBLANK(P167:P172),ISBLANK(AH167:AH172), ISBLANK(T167:T172),ISBLANK(AL167:AL172)), "·", bdRateExtend( P167:P172,T167:T172, AH167:AH172,AL167:AL172))</f>
        <v>-7.297110771512294E-3</v>
      </c>
      <c r="BB167" s="29">
        <f>IF( OR(ISBLANK(P167:P172),ISBLANK(AH167:AH172), ISBLANK(U167:U172),ISBLANK(AM167:AM172)), "·", bdRateExtend( P167:P172,U167:U172, AH167:AH172,AM167:AM172))</f>
        <v>1.3069906785819541E-2</v>
      </c>
      <c r="BC167" s="29">
        <f>IF( OR(ISBLANK(P167:P172),ISBLANK(AH167:AH172), ISBLANK(V167:V172),ISBLANK(AN167:AN172)), "·", bdRateExtend( P167:P172,V167:V172, AH167:AH172,AN167:AN172))</f>
        <v>1.4644569318127409E-2</v>
      </c>
      <c r="BD167" s="30"/>
    </row>
    <row r="168" spans="1:56" outlineLevel="1" x14ac:dyDescent="0.15">
      <c r="A168" s="31"/>
      <c r="B168" s="31" t="s">
        <v>312</v>
      </c>
      <c r="C168" s="32" t="s">
        <v>226</v>
      </c>
      <c r="D168" s="31">
        <v>19702134</v>
      </c>
      <c r="E168" s="33">
        <v>14</v>
      </c>
      <c r="F168" s="32">
        <v>1</v>
      </c>
      <c r="G168" s="32"/>
      <c r="I168" s="34" t="str">
        <f t="shared" si="22"/>
        <v>·</v>
      </c>
      <c r="J168" s="35">
        <f t="shared" si="23"/>
        <v>6.002287467946366</v>
      </c>
      <c r="K168" s="35">
        <f t="shared" si="24"/>
        <v>5.9567277331480941</v>
      </c>
      <c r="L168" s="35">
        <f t="shared" si="25"/>
        <v>4.5439950819540664E-2</v>
      </c>
      <c r="M168" s="36"/>
      <c r="N168" s="35">
        <f t="shared" si="26"/>
        <v>6.002287467946366</v>
      </c>
      <c r="O168" s="37">
        <v>19702134</v>
      </c>
      <c r="P168" s="38">
        <v>118257872</v>
      </c>
      <c r="Q168" s="38">
        <v>117360248</v>
      </c>
      <c r="R168" s="38">
        <v>895264</v>
      </c>
      <c r="S168" s="39"/>
      <c r="T168" s="40">
        <v>30.6236</v>
      </c>
      <c r="U168" s="40">
        <v>42.9803</v>
      </c>
      <c r="V168" s="40">
        <v>44.872500000000002</v>
      </c>
      <c r="W168" s="41"/>
      <c r="X168" s="42"/>
      <c r="Y168" s="42"/>
      <c r="AA168" s="34" t="str">
        <f t="shared" si="27"/>
        <v>·</v>
      </c>
      <c r="AB168" s="35">
        <f t="shared" si="28"/>
        <v>5.9719240565514378</v>
      </c>
      <c r="AC168" s="35">
        <f t="shared" si="29"/>
        <v>5.9567277331480941</v>
      </c>
      <c r="AD168" s="35">
        <f t="shared" si="30"/>
        <v>1.5076945471998109E-2</v>
      </c>
      <c r="AE168" s="36"/>
      <c r="AF168" s="35">
        <f t="shared" si="31"/>
        <v>5.9719240565514378</v>
      </c>
      <c r="AG168" s="37">
        <v>19702134</v>
      </c>
      <c r="AH168" s="38">
        <v>117659648</v>
      </c>
      <c r="AI168" s="38">
        <v>117360248</v>
      </c>
      <c r="AJ168" s="38">
        <v>297048</v>
      </c>
      <c r="AK168" s="39"/>
      <c r="AL168" s="40">
        <v>29.264399999999998</v>
      </c>
      <c r="AM168" s="40">
        <v>42.129300000000001</v>
      </c>
      <c r="AN168" s="40">
        <v>44.0839</v>
      </c>
      <c r="AO168" s="41"/>
      <c r="AP168" s="42"/>
      <c r="AQ168" s="42"/>
      <c r="AS168" s="43">
        <f t="shared" si="32"/>
        <v>5.0457676308949262E-3</v>
      </c>
      <c r="AT168" s="43"/>
      <c r="AV168" s="44"/>
      <c r="AW168" s="44"/>
      <c r="AX168" s="44"/>
      <c r="AY168" s="45"/>
      <c r="BA168" s="44"/>
      <c r="BB168" s="44"/>
      <c r="BC168" s="44"/>
      <c r="BD168" s="45"/>
    </row>
    <row r="169" spans="1:56" outlineLevel="1" x14ac:dyDescent="0.15">
      <c r="A169" s="16"/>
      <c r="B169" s="16" t="s">
        <v>312</v>
      </c>
      <c r="C169" s="17" t="s">
        <v>227</v>
      </c>
      <c r="D169" s="16">
        <v>19702134</v>
      </c>
      <c r="E169" s="18">
        <v>14</v>
      </c>
      <c r="F169" s="17">
        <v>1</v>
      </c>
      <c r="G169" s="17"/>
      <c r="I169" s="19" t="str">
        <f t="shared" si="22"/>
        <v>·</v>
      </c>
      <c r="J169" s="20">
        <f t="shared" si="23"/>
        <v>6.0927532012522096</v>
      </c>
      <c r="K169" s="20">
        <f t="shared" si="24"/>
        <v>5.9567277331480941</v>
      </c>
      <c r="L169" s="20">
        <f t="shared" si="25"/>
        <v>0.13590568412538459</v>
      </c>
      <c r="M169" s="21"/>
      <c r="N169" s="20">
        <f t="shared" si="26"/>
        <v>6.0927532012522096</v>
      </c>
      <c r="O169" s="22">
        <v>19702134</v>
      </c>
      <c r="P169" s="23">
        <v>120040240</v>
      </c>
      <c r="Q169" s="23">
        <v>117360248</v>
      </c>
      <c r="R169" s="23">
        <v>2677632</v>
      </c>
      <c r="S169" s="24"/>
      <c r="T169" s="25">
        <v>32.375500000000002</v>
      </c>
      <c r="U169" s="25">
        <v>43.936500000000002</v>
      </c>
      <c r="V169" s="25">
        <v>45.794499999999999</v>
      </c>
      <c r="W169" s="26"/>
      <c r="X169" s="27"/>
      <c r="Y169" s="27"/>
      <c r="AA169" s="19" t="str">
        <f t="shared" si="27"/>
        <v>·</v>
      </c>
      <c r="AB169" s="20">
        <f t="shared" si="28"/>
        <v>6.0089360878369824</v>
      </c>
      <c r="AC169" s="20">
        <f t="shared" si="29"/>
        <v>5.9567277331480941</v>
      </c>
      <c r="AD169" s="20">
        <f t="shared" si="30"/>
        <v>5.2088976757543114E-2</v>
      </c>
      <c r="AE169" s="21"/>
      <c r="AF169" s="20">
        <f t="shared" si="31"/>
        <v>6.0089360878369824</v>
      </c>
      <c r="AG169" s="22">
        <v>19702134</v>
      </c>
      <c r="AH169" s="23">
        <v>118388864</v>
      </c>
      <c r="AI169" s="23">
        <v>117360248</v>
      </c>
      <c r="AJ169" s="23">
        <v>1026264</v>
      </c>
      <c r="AK169" s="24"/>
      <c r="AL169" s="25">
        <v>30.841200000000001</v>
      </c>
      <c r="AM169" s="25">
        <v>43.008200000000002</v>
      </c>
      <c r="AN169" s="25">
        <v>44.9176</v>
      </c>
      <c r="AO169" s="26"/>
      <c r="AP169" s="27"/>
      <c r="AQ169" s="27"/>
      <c r="AS169" s="28">
        <f t="shared" si="32"/>
        <v>1.3637327769111085E-2</v>
      </c>
      <c r="AT169" s="28"/>
      <c r="AV169" s="29"/>
      <c r="AW169" s="29"/>
      <c r="AX169" s="29"/>
      <c r="AY169" s="30"/>
      <c r="BA169" s="29"/>
      <c r="BB169" s="29"/>
      <c r="BC169" s="29"/>
      <c r="BD169" s="30"/>
    </row>
    <row r="170" spans="1:56" outlineLevel="1" x14ac:dyDescent="0.15">
      <c r="A170" s="31"/>
      <c r="B170" s="31" t="s">
        <v>312</v>
      </c>
      <c r="C170" s="32" t="s">
        <v>228</v>
      </c>
      <c r="D170" s="31">
        <v>19702134</v>
      </c>
      <c r="E170" s="33">
        <v>14</v>
      </c>
      <c r="F170" s="32">
        <v>1</v>
      </c>
      <c r="G170" s="32"/>
      <c r="I170" s="34" t="str">
        <f t="shared" si="22"/>
        <v>·</v>
      </c>
      <c r="J170" s="35">
        <f t="shared" si="23"/>
        <v>6.3313957767214459</v>
      </c>
      <c r="K170" s="35">
        <f t="shared" si="24"/>
        <v>5.9567277331480941</v>
      </c>
      <c r="L170" s="35">
        <f t="shared" si="25"/>
        <v>0.37454825959462057</v>
      </c>
      <c r="M170" s="36"/>
      <c r="N170" s="35">
        <f t="shared" si="26"/>
        <v>6.3313957767214459</v>
      </c>
      <c r="O170" s="37">
        <v>19702134</v>
      </c>
      <c r="P170" s="38">
        <v>124742008</v>
      </c>
      <c r="Q170" s="38">
        <v>117360248</v>
      </c>
      <c r="R170" s="38">
        <v>7379400</v>
      </c>
      <c r="S170" s="39"/>
      <c r="T170" s="40">
        <v>34.5685</v>
      </c>
      <c r="U170" s="40">
        <v>45.063899999999997</v>
      </c>
      <c r="V170" s="40">
        <v>46.799300000000002</v>
      </c>
      <c r="W170" s="41"/>
      <c r="X170" s="42"/>
      <c r="Y170" s="42"/>
      <c r="AA170" s="34" t="str">
        <f t="shared" si="27"/>
        <v>·</v>
      </c>
      <c r="AB170" s="35">
        <f t="shared" si="28"/>
        <v>6.1339389936135849</v>
      </c>
      <c r="AC170" s="35">
        <f t="shared" si="29"/>
        <v>5.9567277331480941</v>
      </c>
      <c r="AD170" s="35">
        <f t="shared" si="30"/>
        <v>0.17709188253414579</v>
      </c>
      <c r="AE170" s="36"/>
      <c r="AF170" s="35">
        <f t="shared" si="31"/>
        <v>6.1339389936135849</v>
      </c>
      <c r="AG170" s="37">
        <v>19702134</v>
      </c>
      <c r="AH170" s="38">
        <v>120851688</v>
      </c>
      <c r="AI170" s="38">
        <v>117360248</v>
      </c>
      <c r="AJ170" s="38">
        <v>3489088</v>
      </c>
      <c r="AK170" s="39"/>
      <c r="AL170" s="40">
        <v>32.924999999999997</v>
      </c>
      <c r="AM170" s="40">
        <v>43.970999999999997</v>
      </c>
      <c r="AN170" s="40">
        <v>45.825699999999998</v>
      </c>
      <c r="AO170" s="41"/>
      <c r="AP170" s="42"/>
      <c r="AQ170" s="42"/>
      <c r="AS170" s="43">
        <f t="shared" si="32"/>
        <v>3.028592851489853E-2</v>
      </c>
      <c r="AT170" s="43"/>
      <c r="AV170" s="44"/>
      <c r="AW170" s="44"/>
      <c r="AX170" s="44"/>
      <c r="AY170" s="45"/>
      <c r="BA170" s="44"/>
      <c r="BB170" s="44"/>
      <c r="BC170" s="44"/>
      <c r="BD170" s="45"/>
    </row>
    <row r="171" spans="1:56" outlineLevel="1" x14ac:dyDescent="0.15">
      <c r="A171" s="16"/>
      <c r="B171" s="16" t="s">
        <v>312</v>
      </c>
      <c r="C171" s="17" t="s">
        <v>229</v>
      </c>
      <c r="D171" s="16">
        <v>19702134</v>
      </c>
      <c r="E171" s="18">
        <v>14</v>
      </c>
      <c r="F171" s="17">
        <v>1</v>
      </c>
      <c r="G171" s="17"/>
      <c r="I171" s="19" t="str">
        <f t="shared" si="22"/>
        <v>·</v>
      </c>
      <c r="J171" s="20">
        <f t="shared" si="23"/>
        <v>6.8881866299356203</v>
      </c>
      <c r="K171" s="20">
        <f t="shared" si="24"/>
        <v>5.9567277331480941</v>
      </c>
      <c r="L171" s="20">
        <f t="shared" si="25"/>
        <v>0.93133911280879522</v>
      </c>
      <c r="M171" s="21"/>
      <c r="N171" s="20">
        <f t="shared" si="26"/>
        <v>6.8881866299356203</v>
      </c>
      <c r="O171" s="22">
        <v>19702134</v>
      </c>
      <c r="P171" s="23">
        <v>135711976</v>
      </c>
      <c r="Q171" s="23">
        <v>117360248</v>
      </c>
      <c r="R171" s="23">
        <v>18349368</v>
      </c>
      <c r="S171" s="24"/>
      <c r="T171" s="25">
        <v>37.604900000000001</v>
      </c>
      <c r="U171" s="25">
        <v>46.422199999999997</v>
      </c>
      <c r="V171" s="25">
        <v>47.916800000000002</v>
      </c>
      <c r="W171" s="26"/>
      <c r="X171" s="27"/>
      <c r="Y171" s="27"/>
      <c r="AA171" s="19" t="str">
        <f t="shared" si="27"/>
        <v>·</v>
      </c>
      <c r="AB171" s="20">
        <f t="shared" si="28"/>
        <v>6.5277245601923122</v>
      </c>
      <c r="AC171" s="20">
        <f t="shared" si="29"/>
        <v>5.9567277331480941</v>
      </c>
      <c r="AD171" s="20">
        <f t="shared" si="30"/>
        <v>0.57087744911287275</v>
      </c>
      <c r="AE171" s="21"/>
      <c r="AF171" s="20">
        <f t="shared" si="31"/>
        <v>6.5277245601923122</v>
      </c>
      <c r="AG171" s="22">
        <v>19702134</v>
      </c>
      <c r="AH171" s="23">
        <v>128610104</v>
      </c>
      <c r="AI171" s="23">
        <v>117360248</v>
      </c>
      <c r="AJ171" s="23">
        <v>11247504</v>
      </c>
      <c r="AK171" s="24"/>
      <c r="AL171" s="25">
        <v>36.075600000000001</v>
      </c>
      <c r="AM171" s="25">
        <v>45.174700000000001</v>
      </c>
      <c r="AN171" s="25">
        <v>46.864199999999997</v>
      </c>
      <c r="AO171" s="26"/>
      <c r="AP171" s="27"/>
      <c r="AQ171" s="27"/>
      <c r="AS171" s="28">
        <f t="shared" si="32"/>
        <v>4.7752992869892874E-2</v>
      </c>
      <c r="AT171" s="28"/>
      <c r="AV171" s="29"/>
      <c r="AW171" s="29"/>
      <c r="AX171" s="29"/>
      <c r="AY171" s="30"/>
      <c r="BA171" s="29"/>
      <c r="BB171" s="29"/>
      <c r="BC171" s="29"/>
      <c r="BD171" s="30"/>
    </row>
    <row r="172" spans="1:56" outlineLevel="1" x14ac:dyDescent="0.15">
      <c r="A172" s="31"/>
      <c r="B172" s="46" t="s">
        <v>312</v>
      </c>
      <c r="C172" s="47" t="s">
        <v>230</v>
      </c>
      <c r="D172" s="46">
        <v>19702134</v>
      </c>
      <c r="E172" s="48">
        <v>14</v>
      </c>
      <c r="F172" s="47">
        <v>1</v>
      </c>
      <c r="G172" s="47"/>
      <c r="I172" s="49" t="str">
        <f t="shared" si="22"/>
        <v>·</v>
      </c>
      <c r="J172" s="50">
        <f t="shared" si="23"/>
        <v>7.9126722008895074</v>
      </c>
      <c r="K172" s="50">
        <f t="shared" si="24"/>
        <v>5.9567277331480941</v>
      </c>
      <c r="L172" s="50">
        <f t="shared" si="25"/>
        <v>1.9558246837626827</v>
      </c>
      <c r="M172" s="51"/>
      <c r="N172" s="50">
        <f t="shared" si="26"/>
        <v>7.9126722008895074</v>
      </c>
      <c r="O172" s="52">
        <v>19702134</v>
      </c>
      <c r="P172" s="53">
        <v>155896528</v>
      </c>
      <c r="Q172" s="53">
        <v>117360248</v>
      </c>
      <c r="R172" s="53">
        <v>38533920</v>
      </c>
      <c r="S172" s="54"/>
      <c r="T172" s="55">
        <v>41.8005</v>
      </c>
      <c r="U172" s="55">
        <v>48.044400000000003</v>
      </c>
      <c r="V172" s="55">
        <v>49.216200000000001</v>
      </c>
      <c r="W172" s="56"/>
      <c r="X172" s="57"/>
      <c r="Y172" s="57"/>
      <c r="AA172" s="49" t="str">
        <f t="shared" si="27"/>
        <v>·</v>
      </c>
      <c r="AB172" s="50">
        <f t="shared" si="28"/>
        <v>7.2878732831682091</v>
      </c>
      <c r="AC172" s="50">
        <f t="shared" si="29"/>
        <v>5.9567277331480941</v>
      </c>
      <c r="AD172" s="50">
        <f t="shared" si="30"/>
        <v>1.3310261720887697</v>
      </c>
      <c r="AE172" s="51"/>
      <c r="AF172" s="50">
        <f t="shared" si="31"/>
        <v>7.2878732831682091</v>
      </c>
      <c r="AG172" s="52">
        <v>19702134</v>
      </c>
      <c r="AH172" s="53">
        <v>143586656</v>
      </c>
      <c r="AI172" s="53">
        <v>117360248</v>
      </c>
      <c r="AJ172" s="53">
        <v>26224056</v>
      </c>
      <c r="AK172" s="54"/>
      <c r="AL172" s="55">
        <v>40.095999999999997</v>
      </c>
      <c r="AM172" s="55">
        <v>46.597499999999997</v>
      </c>
      <c r="AN172" s="55">
        <v>47.992199999999997</v>
      </c>
      <c r="AO172" s="56"/>
      <c r="AP172" s="57"/>
      <c r="AQ172" s="57"/>
      <c r="AS172" s="58">
        <f t="shared" si="32"/>
        <v>6.4539267397980549E-2</v>
      </c>
      <c r="AT172" s="58"/>
      <c r="AV172" s="59"/>
      <c r="AW172" s="59"/>
      <c r="AX172" s="59"/>
      <c r="AY172" s="60"/>
      <c r="BA172" s="59"/>
      <c r="BB172" s="59"/>
      <c r="BC172" s="59"/>
      <c r="BD172" s="60"/>
    </row>
    <row r="173" spans="1:56" collapsed="1" x14ac:dyDescent="0.15">
      <c r="A173" s="16"/>
      <c r="B173" s="16" t="s">
        <v>315</v>
      </c>
      <c r="C173" s="17" t="s">
        <v>225</v>
      </c>
      <c r="D173" s="16">
        <v>19714629</v>
      </c>
      <c r="E173" s="18">
        <v>20</v>
      </c>
      <c r="F173" s="17">
        <v>1</v>
      </c>
      <c r="G173" s="17"/>
      <c r="I173" s="19" t="str">
        <f t="shared" si="22"/>
        <v>·</v>
      </c>
      <c r="J173" s="20">
        <f t="shared" si="23"/>
        <v>22.400421128898749</v>
      </c>
      <c r="K173" s="20">
        <f t="shared" si="24"/>
        <v>22.383093894386754</v>
      </c>
      <c r="L173" s="20">
        <f t="shared" si="25"/>
        <v>1.7206714871479449E-2</v>
      </c>
      <c r="M173" s="21"/>
      <c r="N173" s="20">
        <f t="shared" si="26"/>
        <v>22.400421128898749</v>
      </c>
      <c r="O173" s="22">
        <v>19714629</v>
      </c>
      <c r="P173" s="23">
        <v>441615992</v>
      </c>
      <c r="Q173" s="23">
        <v>441274392</v>
      </c>
      <c r="R173" s="23">
        <v>339224</v>
      </c>
      <c r="S173" s="24"/>
      <c r="T173" s="25">
        <v>29.246200000000002</v>
      </c>
      <c r="U173" s="25">
        <v>40.466500000000003</v>
      </c>
      <c r="V173" s="25">
        <v>43.881</v>
      </c>
      <c r="W173" s="26"/>
      <c r="X173" s="27"/>
      <c r="Y173" s="27"/>
      <c r="AA173" s="19" t="str">
        <f t="shared" si="27"/>
        <v>·</v>
      </c>
      <c r="AB173" s="20">
        <f t="shared" si="28"/>
        <v>22.388755071170753</v>
      </c>
      <c r="AC173" s="20">
        <f t="shared" si="29"/>
        <v>22.383093894386754</v>
      </c>
      <c r="AD173" s="20">
        <f t="shared" si="30"/>
        <v>5.5410629335200783E-3</v>
      </c>
      <c r="AE173" s="21"/>
      <c r="AF173" s="20">
        <f t="shared" si="31"/>
        <v>22.388755071170753</v>
      </c>
      <c r="AG173" s="22">
        <v>19714629</v>
      </c>
      <c r="AH173" s="23">
        <v>441386000</v>
      </c>
      <c r="AI173" s="23">
        <v>441274392</v>
      </c>
      <c r="AJ173" s="23">
        <v>109240</v>
      </c>
      <c r="AK173" s="24"/>
      <c r="AL173" s="25">
        <v>28.192599999999999</v>
      </c>
      <c r="AM173" s="25">
        <v>41.477600000000002</v>
      </c>
      <c r="AN173" s="25">
        <v>43.3264</v>
      </c>
      <c r="AO173" s="26"/>
      <c r="AP173" s="27"/>
      <c r="AQ173" s="27"/>
      <c r="AS173" s="28">
        <f t="shared" si="32"/>
        <v>5.2066466984523885E-4</v>
      </c>
      <c r="AT173" s="28">
        <f t="array" ref="AT173">AVERAGE(AI173:AI178/AH173:AH178) - AVERAGE(Q173:Q178/P173:P178)</f>
        <v>8.7780937759180944E-3</v>
      </c>
      <c r="AV173" s="29">
        <f>IF( OR(ISBLANK(R173:R178),ISBLANK(AJ173:AJ178), ISBLANK(T173:T178),ISBLANK(AL173:AL178)), "·", bdRateExtend( R173:R178,T173:T178, AJ173:AJ178,AL173:AL178))</f>
        <v>-4.9310854256045755E-2</v>
      </c>
      <c r="AW173" s="29">
        <f>IF( OR(ISBLANK(R173:R178),ISBLANK(AJ173:AJ178), ISBLANK(U173:U178),ISBLANK(AM173:AM178)), "·", bdRateExtend( R173:R178,U173:U178, AJ173:AJ178,AM173:AM178))</f>
        <v>4.2058227069621479E-2</v>
      </c>
      <c r="AX173" s="29">
        <f>IF( OR(ISBLANK(R173:R178),ISBLANK(AJ173:AJ178), ISBLANK(V173:V178),ISBLANK(AN173:AN178)), "·", bdRateExtend( R173:R178,V173:V178, AJ173:AJ178,AN173:AN178))</f>
        <v>0.20784692303953234</v>
      </c>
      <c r="AY173" s="30"/>
      <c r="BA173" s="29">
        <f>IF( OR(ISBLANK(P173:P178),ISBLANK(AH173:AH178), ISBLANK(T173:T178),ISBLANK(AL173:AL178)), "·", bdRateExtend( P173:P178,T173:T178, AH173:AH178,AL173:AL178))</f>
        <v>-1.6998365205285193E-3</v>
      </c>
      <c r="BB173" s="29">
        <f>IF( OR(ISBLANK(P173:P178),ISBLANK(AH173:AH178), ISBLANK(U173:U178),ISBLANK(AM173:AM178)), "·", bdRateExtend( P173:P178,U173:U178, AH173:AH178,AM173:AM178))</f>
        <v>3.9262495094991579E-3</v>
      </c>
      <c r="BC173" s="29">
        <f>IF( OR(ISBLANK(P173:P178),ISBLANK(AH173:AH178), ISBLANK(V173:V178),ISBLANK(AN173:AN178)), "·", bdRateExtend( P173:P178,V173:V178, AH173:AH178,AN173:AN178))</f>
        <v>4.4231828778313886E-3</v>
      </c>
      <c r="BD173" s="30"/>
    </row>
    <row r="174" spans="1:56" outlineLevel="1" x14ac:dyDescent="0.15">
      <c r="A174" s="31"/>
      <c r="B174" s="31" t="s">
        <v>315</v>
      </c>
      <c r="C174" s="32" t="s">
        <v>226</v>
      </c>
      <c r="D174" s="31">
        <v>19714629</v>
      </c>
      <c r="E174" s="33">
        <v>20</v>
      </c>
      <c r="F174" s="32">
        <v>1</v>
      </c>
      <c r="G174" s="32"/>
      <c r="I174" s="34" t="str">
        <f t="shared" si="22"/>
        <v>·</v>
      </c>
      <c r="J174" s="35">
        <f t="shared" si="23"/>
        <v>22.428849155619414</v>
      </c>
      <c r="K174" s="35">
        <f t="shared" si="24"/>
        <v>22.383093894386754</v>
      </c>
      <c r="L174" s="35">
        <f t="shared" si="25"/>
        <v>4.5634741592144597E-2</v>
      </c>
      <c r="M174" s="36"/>
      <c r="N174" s="35">
        <f t="shared" si="26"/>
        <v>22.428849155619414</v>
      </c>
      <c r="O174" s="37">
        <v>19714629</v>
      </c>
      <c r="P174" s="38">
        <v>442176440</v>
      </c>
      <c r="Q174" s="38">
        <v>441274392</v>
      </c>
      <c r="R174" s="38">
        <v>899672</v>
      </c>
      <c r="S174" s="39"/>
      <c r="T174" s="40">
        <v>30.637699999999999</v>
      </c>
      <c r="U174" s="40">
        <v>42.991799999999998</v>
      </c>
      <c r="V174" s="40">
        <v>44.9116</v>
      </c>
      <c r="W174" s="41"/>
      <c r="X174" s="42"/>
      <c r="Y174" s="42"/>
      <c r="AA174" s="34" t="str">
        <f t="shared" si="27"/>
        <v>·</v>
      </c>
      <c r="AB174" s="35">
        <f t="shared" si="28"/>
        <v>22.398260702750228</v>
      </c>
      <c r="AC174" s="35">
        <f t="shared" si="29"/>
        <v>22.383093894386754</v>
      </c>
      <c r="AD174" s="35">
        <f t="shared" si="30"/>
        <v>1.5046694512993371E-2</v>
      </c>
      <c r="AE174" s="36"/>
      <c r="AF174" s="35">
        <f t="shared" si="31"/>
        <v>22.398260702750228</v>
      </c>
      <c r="AG174" s="37">
        <v>19714629</v>
      </c>
      <c r="AH174" s="38">
        <v>441573400</v>
      </c>
      <c r="AI174" s="38">
        <v>441274392</v>
      </c>
      <c r="AJ174" s="38">
        <v>296640</v>
      </c>
      <c r="AK174" s="39"/>
      <c r="AL174" s="40">
        <v>29.260200000000001</v>
      </c>
      <c r="AM174" s="40">
        <v>42.1325</v>
      </c>
      <c r="AN174" s="40">
        <v>44.075200000000002</v>
      </c>
      <c r="AO174" s="41"/>
      <c r="AP174" s="42"/>
      <c r="AQ174" s="42"/>
      <c r="AS174" s="43">
        <f t="shared" si="32"/>
        <v>1.3628759961639147E-3</v>
      </c>
      <c r="AT174" s="43"/>
      <c r="AV174" s="44"/>
      <c r="AW174" s="44"/>
      <c r="AX174" s="44"/>
      <c r="AY174" s="45"/>
      <c r="BA174" s="44"/>
      <c r="BB174" s="44"/>
      <c r="BC174" s="44"/>
      <c r="BD174" s="45"/>
    </row>
    <row r="175" spans="1:56" outlineLevel="1" x14ac:dyDescent="0.15">
      <c r="A175" s="16"/>
      <c r="B175" s="16" t="s">
        <v>315</v>
      </c>
      <c r="C175" s="17" t="s">
        <v>227</v>
      </c>
      <c r="D175" s="16">
        <v>19714629</v>
      </c>
      <c r="E175" s="18">
        <v>20</v>
      </c>
      <c r="F175" s="17">
        <v>1</v>
      </c>
      <c r="G175" s="17"/>
      <c r="I175" s="19" t="str">
        <f t="shared" si="22"/>
        <v>·</v>
      </c>
      <c r="J175" s="20">
        <f t="shared" si="23"/>
        <v>22.519754239351904</v>
      </c>
      <c r="K175" s="20">
        <f t="shared" si="24"/>
        <v>22.383093894386754</v>
      </c>
      <c r="L175" s="20">
        <f t="shared" si="25"/>
        <v>0.13653982532463582</v>
      </c>
      <c r="M175" s="21"/>
      <c r="N175" s="20">
        <f t="shared" si="26"/>
        <v>22.519754239351904</v>
      </c>
      <c r="O175" s="22">
        <v>19714629</v>
      </c>
      <c r="P175" s="23">
        <v>443968600</v>
      </c>
      <c r="Q175" s="23">
        <v>441274392</v>
      </c>
      <c r="R175" s="23">
        <v>2691832</v>
      </c>
      <c r="S175" s="24"/>
      <c r="T175" s="25">
        <v>32.410600000000002</v>
      </c>
      <c r="U175" s="25">
        <v>43.948999999999998</v>
      </c>
      <c r="V175" s="25">
        <v>45.8127</v>
      </c>
      <c r="W175" s="26"/>
      <c r="X175" s="27"/>
      <c r="Y175" s="27"/>
      <c r="AA175" s="19" t="str">
        <f t="shared" si="27"/>
        <v>·</v>
      </c>
      <c r="AB175" s="20">
        <f t="shared" si="28"/>
        <v>22.435384404139686</v>
      </c>
      <c r="AC175" s="20">
        <f t="shared" si="29"/>
        <v>22.383093894386754</v>
      </c>
      <c r="AD175" s="20">
        <f t="shared" si="30"/>
        <v>5.217039590245396E-2</v>
      </c>
      <c r="AE175" s="21"/>
      <c r="AF175" s="20">
        <f t="shared" si="31"/>
        <v>22.435384404139686</v>
      </c>
      <c r="AG175" s="22">
        <v>19714629</v>
      </c>
      <c r="AH175" s="23">
        <v>442305280</v>
      </c>
      <c r="AI175" s="23">
        <v>441274392</v>
      </c>
      <c r="AJ175" s="23">
        <v>1028520</v>
      </c>
      <c r="AK175" s="24"/>
      <c r="AL175" s="25">
        <v>30.8477</v>
      </c>
      <c r="AM175" s="25">
        <v>43.0137</v>
      </c>
      <c r="AN175" s="25">
        <v>44.921799999999998</v>
      </c>
      <c r="AO175" s="26"/>
      <c r="AP175" s="27"/>
      <c r="AQ175" s="27"/>
      <c r="AS175" s="28">
        <f t="shared" si="32"/>
        <v>3.7377491863984647E-3</v>
      </c>
      <c r="AT175" s="28"/>
      <c r="AV175" s="29"/>
      <c r="AW175" s="29"/>
      <c r="AX175" s="29"/>
      <c r="AY175" s="30"/>
      <c r="BA175" s="29"/>
      <c r="BB175" s="29"/>
      <c r="BC175" s="29"/>
      <c r="BD175" s="30"/>
    </row>
    <row r="176" spans="1:56" outlineLevel="1" x14ac:dyDescent="0.15">
      <c r="A176" s="31"/>
      <c r="B176" s="31" t="s">
        <v>315</v>
      </c>
      <c r="C176" s="32" t="s">
        <v>228</v>
      </c>
      <c r="D176" s="31">
        <v>19714629</v>
      </c>
      <c r="E176" s="33">
        <v>20</v>
      </c>
      <c r="F176" s="32">
        <v>1</v>
      </c>
      <c r="G176" s="32"/>
      <c r="I176" s="34" t="str">
        <f t="shared" si="22"/>
        <v>·</v>
      </c>
      <c r="J176" s="35">
        <f t="shared" si="23"/>
        <v>22.757326450322754</v>
      </c>
      <c r="K176" s="35">
        <f t="shared" si="24"/>
        <v>22.383093894386754</v>
      </c>
      <c r="L176" s="35">
        <f t="shared" si="25"/>
        <v>0.37411203629548395</v>
      </c>
      <c r="M176" s="36"/>
      <c r="N176" s="35">
        <f t="shared" si="26"/>
        <v>22.757326450322754</v>
      </c>
      <c r="O176" s="37">
        <v>19714629</v>
      </c>
      <c r="P176" s="38">
        <v>448652248</v>
      </c>
      <c r="Q176" s="38">
        <v>441274392</v>
      </c>
      <c r="R176" s="38">
        <v>7375480</v>
      </c>
      <c r="S176" s="39"/>
      <c r="T176" s="40">
        <v>34.632199999999997</v>
      </c>
      <c r="U176" s="40">
        <v>45.075600000000001</v>
      </c>
      <c r="V176" s="40">
        <v>46.805599999999998</v>
      </c>
      <c r="W176" s="41"/>
      <c r="X176" s="42"/>
      <c r="Y176" s="42"/>
      <c r="AA176" s="34" t="str">
        <f t="shared" si="27"/>
        <v>·</v>
      </c>
      <c r="AB176" s="35">
        <f t="shared" si="28"/>
        <v>22.560319446031674</v>
      </c>
      <c r="AC176" s="35">
        <f t="shared" si="29"/>
        <v>22.383093894386754</v>
      </c>
      <c r="AD176" s="35">
        <f t="shared" si="30"/>
        <v>0.17710543779444188</v>
      </c>
      <c r="AE176" s="36"/>
      <c r="AF176" s="35">
        <f t="shared" si="31"/>
        <v>22.560319446031674</v>
      </c>
      <c r="AG176" s="37">
        <v>19714629</v>
      </c>
      <c r="AH176" s="38">
        <v>444768328</v>
      </c>
      <c r="AI176" s="38">
        <v>441274392</v>
      </c>
      <c r="AJ176" s="38">
        <v>3491568</v>
      </c>
      <c r="AK176" s="39"/>
      <c r="AL176" s="40">
        <v>32.926200000000001</v>
      </c>
      <c r="AM176" s="40">
        <v>43.974400000000003</v>
      </c>
      <c r="AN176" s="40">
        <v>45.831899999999997</v>
      </c>
      <c r="AO176" s="41"/>
      <c r="AP176" s="42"/>
      <c r="AQ176" s="42"/>
      <c r="AS176" s="43">
        <f t="shared" si="32"/>
        <v>8.5888555638526931E-3</v>
      </c>
      <c r="AT176" s="43"/>
      <c r="AV176" s="44"/>
      <c r="AW176" s="44"/>
      <c r="AX176" s="44"/>
      <c r="AY176" s="45"/>
      <c r="BA176" s="44"/>
      <c r="BB176" s="44"/>
      <c r="BC176" s="44"/>
      <c r="BD176" s="45"/>
    </row>
    <row r="177" spans="1:56" outlineLevel="1" x14ac:dyDescent="0.15">
      <c r="A177" s="16"/>
      <c r="B177" s="16" t="s">
        <v>315</v>
      </c>
      <c r="C177" s="17" t="s">
        <v>229</v>
      </c>
      <c r="D177" s="16">
        <v>19714629</v>
      </c>
      <c r="E177" s="18">
        <v>20</v>
      </c>
      <c r="F177" s="17">
        <v>1</v>
      </c>
      <c r="G177" s="17"/>
      <c r="I177" s="19" t="str">
        <f t="shared" si="22"/>
        <v>·</v>
      </c>
      <c r="J177" s="20">
        <f t="shared" si="23"/>
        <v>23.308345087295329</v>
      </c>
      <c r="K177" s="20">
        <f t="shared" si="24"/>
        <v>22.383093894386754</v>
      </c>
      <c r="L177" s="20">
        <f t="shared" si="25"/>
        <v>0.92513067326805898</v>
      </c>
      <c r="M177" s="21"/>
      <c r="N177" s="20">
        <f t="shared" si="26"/>
        <v>23.308345087295329</v>
      </c>
      <c r="O177" s="22">
        <v>19714629</v>
      </c>
      <c r="P177" s="23">
        <v>459515376</v>
      </c>
      <c r="Q177" s="23">
        <v>441274392</v>
      </c>
      <c r="R177" s="23">
        <v>18238608</v>
      </c>
      <c r="S177" s="24"/>
      <c r="T177" s="25">
        <v>37.672600000000003</v>
      </c>
      <c r="U177" s="25">
        <v>46.443199999999997</v>
      </c>
      <c r="V177" s="25">
        <v>47.936399999999999</v>
      </c>
      <c r="W177" s="26"/>
      <c r="X177" s="27"/>
      <c r="Y177" s="27"/>
      <c r="AA177" s="19" t="str">
        <f t="shared" si="27"/>
        <v>·</v>
      </c>
      <c r="AB177" s="20">
        <f t="shared" si="28"/>
        <v>22.954068879510743</v>
      </c>
      <c r="AC177" s="20">
        <f t="shared" si="29"/>
        <v>22.383093894386754</v>
      </c>
      <c r="AD177" s="20">
        <f t="shared" si="30"/>
        <v>0.57085487127350965</v>
      </c>
      <c r="AE177" s="21"/>
      <c r="AF177" s="20">
        <f t="shared" si="31"/>
        <v>22.954068879510743</v>
      </c>
      <c r="AG177" s="22">
        <v>19714629</v>
      </c>
      <c r="AH177" s="23">
        <v>452530952</v>
      </c>
      <c r="AI177" s="23">
        <v>441274392</v>
      </c>
      <c r="AJ177" s="23">
        <v>11254192</v>
      </c>
      <c r="AK177" s="24"/>
      <c r="AL177" s="25">
        <v>36.076700000000002</v>
      </c>
      <c r="AM177" s="25">
        <v>45.174700000000001</v>
      </c>
      <c r="AN177" s="25">
        <v>46.864800000000002</v>
      </c>
      <c r="AO177" s="26"/>
      <c r="AP177" s="27"/>
      <c r="AQ177" s="27"/>
      <c r="AS177" s="28">
        <f t="shared" si="32"/>
        <v>1.482145992100603E-2</v>
      </c>
      <c r="AT177" s="28"/>
      <c r="AV177" s="29"/>
      <c r="AW177" s="29"/>
      <c r="AX177" s="29"/>
      <c r="AY177" s="30"/>
      <c r="BA177" s="29"/>
      <c r="BB177" s="29"/>
      <c r="BC177" s="29"/>
      <c r="BD177" s="30"/>
    </row>
    <row r="178" spans="1:56" outlineLevel="1" x14ac:dyDescent="0.15">
      <c r="A178" s="31"/>
      <c r="B178" s="46" t="s">
        <v>315</v>
      </c>
      <c r="C178" s="47" t="s">
        <v>230</v>
      </c>
      <c r="D178" s="46">
        <v>19714629</v>
      </c>
      <c r="E178" s="48">
        <v>20</v>
      </c>
      <c r="F178" s="47">
        <v>1</v>
      </c>
      <c r="G178" s="47"/>
      <c r="I178" s="49" t="str">
        <f t="shared" si="22"/>
        <v>·</v>
      </c>
      <c r="J178" s="50">
        <f t="shared" si="23"/>
        <v>24.323446309844329</v>
      </c>
      <c r="K178" s="50">
        <f t="shared" si="24"/>
        <v>22.383093894386754</v>
      </c>
      <c r="L178" s="50">
        <f t="shared" si="25"/>
        <v>1.9402318958170606</v>
      </c>
      <c r="M178" s="51"/>
      <c r="N178" s="50">
        <f t="shared" si="26"/>
        <v>24.323446309844329</v>
      </c>
      <c r="O178" s="52">
        <v>19714629</v>
      </c>
      <c r="P178" s="53">
        <v>479527720</v>
      </c>
      <c r="Q178" s="53">
        <v>441274392</v>
      </c>
      <c r="R178" s="53">
        <v>38250952</v>
      </c>
      <c r="S178" s="54"/>
      <c r="T178" s="55">
        <v>41.846499999999999</v>
      </c>
      <c r="U178" s="55">
        <v>48.089599999999997</v>
      </c>
      <c r="V178" s="55">
        <v>49.244300000000003</v>
      </c>
      <c r="W178" s="56"/>
      <c r="X178" s="57"/>
      <c r="Y178" s="57"/>
      <c r="AA178" s="49" t="str">
        <f t="shared" si="27"/>
        <v>·</v>
      </c>
      <c r="AB178" s="50">
        <f t="shared" si="28"/>
        <v>23.714320162961219</v>
      </c>
      <c r="AC178" s="50">
        <f t="shared" si="29"/>
        <v>22.383093894386754</v>
      </c>
      <c r="AD178" s="50">
        <f t="shared" si="30"/>
        <v>1.3311061547239869</v>
      </c>
      <c r="AE178" s="51"/>
      <c r="AF178" s="50">
        <f t="shared" si="31"/>
        <v>23.714320162961219</v>
      </c>
      <c r="AG178" s="52">
        <v>19714629</v>
      </c>
      <c r="AH178" s="53">
        <v>467519024</v>
      </c>
      <c r="AI178" s="53">
        <v>441274392</v>
      </c>
      <c r="AJ178" s="53">
        <v>26242264</v>
      </c>
      <c r="AK178" s="54"/>
      <c r="AL178" s="55">
        <v>40.098199999999999</v>
      </c>
      <c r="AM178" s="55">
        <v>46.598100000000002</v>
      </c>
      <c r="AN178" s="55">
        <v>47.994900000000001</v>
      </c>
      <c r="AO178" s="56"/>
      <c r="AP178" s="57"/>
      <c r="AQ178" s="57"/>
      <c r="AS178" s="58">
        <f t="shared" si="32"/>
        <v>2.3636957318243224E-2</v>
      </c>
      <c r="AT178" s="58"/>
      <c r="AV178" s="59"/>
      <c r="AW178" s="59"/>
      <c r="AX178" s="59"/>
      <c r="AY178" s="60"/>
      <c r="BA178" s="59"/>
      <c r="BB178" s="59"/>
      <c r="BC178" s="59"/>
      <c r="BD178" s="60"/>
    </row>
    <row r="179" spans="1:56" collapsed="1" x14ac:dyDescent="0.15">
      <c r="A179" s="16"/>
      <c r="B179" s="16" t="s">
        <v>318</v>
      </c>
      <c r="C179" s="17" t="s">
        <v>225</v>
      </c>
      <c r="D179" s="16">
        <v>3630907</v>
      </c>
      <c r="E179" s="18">
        <v>20</v>
      </c>
      <c r="F179" s="17">
        <v>1</v>
      </c>
      <c r="G179" s="17"/>
      <c r="I179" s="19" t="str">
        <f t="shared" si="22"/>
        <v>·</v>
      </c>
      <c r="J179" s="20">
        <f t="shared" si="23"/>
        <v>29.99371341650998</v>
      </c>
      <c r="K179" s="20">
        <f t="shared" si="24"/>
        <v>29.969428575284358</v>
      </c>
      <c r="L179" s="20">
        <f t="shared" si="25"/>
        <v>2.404908745941441E-2</v>
      </c>
      <c r="M179" s="21"/>
      <c r="N179" s="20">
        <f t="shared" si="26"/>
        <v>29.99371341650998</v>
      </c>
      <c r="O179" s="22">
        <v>3630907</v>
      </c>
      <c r="P179" s="23">
        <v>108904384</v>
      </c>
      <c r="Q179" s="23">
        <v>108816208</v>
      </c>
      <c r="R179" s="23">
        <v>87320</v>
      </c>
      <c r="S179" s="24"/>
      <c r="T179" s="25">
        <v>28.5931</v>
      </c>
      <c r="U179" s="25">
        <v>40.660200000000003</v>
      </c>
      <c r="V179" s="25">
        <v>45.941499999999998</v>
      </c>
      <c r="W179" s="26"/>
      <c r="X179" s="27"/>
      <c r="Y179" s="27"/>
      <c r="AA179" s="19" t="str">
        <f t="shared" si="27"/>
        <v>·</v>
      </c>
      <c r="AB179" s="20">
        <f t="shared" si="28"/>
        <v>29.979136342517172</v>
      </c>
      <c r="AC179" s="20">
        <f t="shared" si="29"/>
        <v>29.969428575284358</v>
      </c>
      <c r="AD179" s="20">
        <f t="shared" si="30"/>
        <v>9.4742167728338947E-3</v>
      </c>
      <c r="AE179" s="21"/>
      <c r="AF179" s="20">
        <f t="shared" si="31"/>
        <v>29.979136342517172</v>
      </c>
      <c r="AG179" s="22">
        <v>3630907</v>
      </c>
      <c r="AH179" s="23">
        <v>108851456</v>
      </c>
      <c r="AI179" s="23">
        <v>108816208</v>
      </c>
      <c r="AJ179" s="23">
        <v>34400</v>
      </c>
      <c r="AK179" s="24"/>
      <c r="AL179" s="25">
        <v>27.217400000000001</v>
      </c>
      <c r="AM179" s="25">
        <v>41.730600000000003</v>
      </c>
      <c r="AN179" s="25">
        <v>45.677</v>
      </c>
      <c r="AO179" s="26"/>
      <c r="AP179" s="27"/>
      <c r="AQ179" s="27"/>
      <c r="AS179" s="28">
        <f t="shared" si="32"/>
        <v>4.8584693331032991E-4</v>
      </c>
      <c r="AT179" s="28">
        <f t="array" ref="AT179">AVERAGE(AI179:AI184/AH179:AH184) - AVERAGE(Q179:Q184/P179:P184)</f>
        <v>5.4940892903450056E-3</v>
      </c>
      <c r="AV179" s="29">
        <f>IF( OR(ISBLANK(R179:R184),ISBLANK(AJ179:AJ184), ISBLANK(T179:T184),ISBLANK(AL179:AL184)), "·", bdRateExtend( R179:R184,T179:T184, AJ179:AJ184,AL179:AL184))</f>
        <v>-2.4782461455161942E-2</v>
      </c>
      <c r="AW179" s="29">
        <f>IF( OR(ISBLANK(R179:R184),ISBLANK(AJ179:AJ184), ISBLANK(U179:U184),ISBLANK(AM179:AM184)), "·", bdRateExtend( R179:R184,U179:U184, AJ179:AJ184,AM179:AM184))</f>
        <v>0.13417860109493285</v>
      </c>
      <c r="AX179" s="29">
        <f>IF( OR(ISBLANK(R179:R184),ISBLANK(AJ179:AJ184), ISBLANK(V179:V184),ISBLANK(AN179:AN184)), "·", bdRateExtend( R179:R184,V179:V184, AJ179:AJ184,AN179:AN184))</f>
        <v>0.52432083405442431</v>
      </c>
      <c r="AY179" s="30"/>
      <c r="BA179" s="29">
        <f>IF( OR(ISBLANK(P179:P184),ISBLANK(AH179:AH184), ISBLANK(T179:T184),ISBLANK(AL179:AL184)), "·", bdRateExtend( P179:P184,T179:T184, AH179:AH184,AL179:AL184))</f>
        <v>-7.5833434876948491E-4</v>
      </c>
      <c r="BB179" s="29">
        <f>IF( OR(ISBLANK(P179:P184),ISBLANK(AH179:AH184), ISBLANK(U179:U184),ISBLANK(AM179:AM184)), "·", bdRateExtend( P179:P184,U179:U184, AH179:AH184,AM179:AM184))</f>
        <v>3.3784917427497341E-3</v>
      </c>
      <c r="BC179" s="29">
        <f>IF( OR(ISBLANK(P179:P184),ISBLANK(AH179:AH184), ISBLANK(V179:V184),ISBLANK(AN179:AN184)), "·", bdRateExtend( P179:P184,V179:V184, AH179:AH184,AN179:AN184))</f>
        <v>4.228699980480588E-3</v>
      </c>
      <c r="BD179" s="30"/>
    </row>
    <row r="180" spans="1:56" outlineLevel="1" x14ac:dyDescent="0.15">
      <c r="A180" s="31"/>
      <c r="B180" s="31" t="s">
        <v>318</v>
      </c>
      <c r="C180" s="32" t="s">
        <v>226</v>
      </c>
      <c r="D180" s="31">
        <v>3630907</v>
      </c>
      <c r="E180" s="33">
        <v>20</v>
      </c>
      <c r="F180" s="32">
        <v>1</v>
      </c>
      <c r="G180" s="32"/>
      <c r="I180" s="34" t="str">
        <f t="shared" si="22"/>
        <v>·</v>
      </c>
      <c r="J180" s="35">
        <f t="shared" si="23"/>
        <v>30.026265062696456</v>
      </c>
      <c r="K180" s="35">
        <f t="shared" si="24"/>
        <v>29.969428575284358</v>
      </c>
      <c r="L180" s="35">
        <f t="shared" si="25"/>
        <v>5.6600733645890682E-2</v>
      </c>
      <c r="M180" s="36"/>
      <c r="N180" s="35">
        <f t="shared" si="26"/>
        <v>30.026265062696456</v>
      </c>
      <c r="O180" s="37">
        <v>3630907</v>
      </c>
      <c r="P180" s="38">
        <v>109022576</v>
      </c>
      <c r="Q180" s="38">
        <v>108816208</v>
      </c>
      <c r="R180" s="38">
        <v>205512</v>
      </c>
      <c r="S180" s="39"/>
      <c r="T180" s="40">
        <v>29.9512</v>
      </c>
      <c r="U180" s="40">
        <v>43.662300000000002</v>
      </c>
      <c r="V180" s="40">
        <v>46.811999999999998</v>
      </c>
      <c r="W180" s="41"/>
      <c r="X180" s="42"/>
      <c r="Y180" s="42"/>
      <c r="AA180" s="34" t="str">
        <f t="shared" si="27"/>
        <v>·</v>
      </c>
      <c r="AB180" s="35">
        <f t="shared" si="28"/>
        <v>29.991970601285022</v>
      </c>
      <c r="AC180" s="35">
        <f t="shared" si="29"/>
        <v>29.969428575284358</v>
      </c>
      <c r="AD180" s="35">
        <f t="shared" si="30"/>
        <v>2.2308475540684464E-2</v>
      </c>
      <c r="AE180" s="36"/>
      <c r="AF180" s="35">
        <f t="shared" si="31"/>
        <v>29.991970601285022</v>
      </c>
      <c r="AG180" s="37">
        <v>3630907</v>
      </c>
      <c r="AH180" s="38">
        <v>108898056</v>
      </c>
      <c r="AI180" s="38">
        <v>108816208</v>
      </c>
      <c r="AJ180" s="38">
        <v>81000</v>
      </c>
      <c r="AK180" s="39"/>
      <c r="AL180" s="40">
        <v>28.510100000000001</v>
      </c>
      <c r="AM180" s="40">
        <v>42.568399999999997</v>
      </c>
      <c r="AN180" s="40">
        <v>45.783999999999999</v>
      </c>
      <c r="AO180" s="41"/>
      <c r="AP180" s="42"/>
      <c r="AQ180" s="42"/>
      <c r="AS180" s="43">
        <f t="shared" si="32"/>
        <v>1.1412903187608681E-3</v>
      </c>
      <c r="AT180" s="43"/>
      <c r="AV180" s="44"/>
      <c r="AW180" s="44"/>
      <c r="AX180" s="44"/>
      <c r="AY180" s="45"/>
      <c r="BA180" s="44"/>
      <c r="BB180" s="44"/>
      <c r="BC180" s="44"/>
      <c r="BD180" s="45"/>
    </row>
    <row r="181" spans="1:56" outlineLevel="1" x14ac:dyDescent="0.15">
      <c r="A181" s="16"/>
      <c r="B181" s="16" t="s">
        <v>318</v>
      </c>
      <c r="C181" s="17" t="s">
        <v>227</v>
      </c>
      <c r="D181" s="16">
        <v>3630907</v>
      </c>
      <c r="E181" s="18">
        <v>20</v>
      </c>
      <c r="F181" s="17">
        <v>1</v>
      </c>
      <c r="G181" s="17"/>
      <c r="I181" s="19" t="str">
        <f t="shared" si="22"/>
        <v>·</v>
      </c>
      <c r="J181" s="20">
        <f t="shared" si="23"/>
        <v>30.134191814882616</v>
      </c>
      <c r="K181" s="20">
        <f t="shared" si="24"/>
        <v>29.969428575284358</v>
      </c>
      <c r="L181" s="20">
        <f t="shared" si="25"/>
        <v>0.16452748583205243</v>
      </c>
      <c r="M181" s="21"/>
      <c r="N181" s="20">
        <f t="shared" si="26"/>
        <v>30.134191814882616</v>
      </c>
      <c r="O181" s="22">
        <v>3630907</v>
      </c>
      <c r="P181" s="23">
        <v>109414448</v>
      </c>
      <c r="Q181" s="23">
        <v>108816208</v>
      </c>
      <c r="R181" s="23">
        <v>597384</v>
      </c>
      <c r="S181" s="24"/>
      <c r="T181" s="25">
        <v>31.906600000000001</v>
      </c>
      <c r="U181" s="25">
        <v>44.691000000000003</v>
      </c>
      <c r="V181" s="25">
        <v>47.583399999999997</v>
      </c>
      <c r="W181" s="26"/>
      <c r="X181" s="27"/>
      <c r="Y181" s="27"/>
      <c r="AA181" s="19" t="str">
        <f t="shared" si="27"/>
        <v>·</v>
      </c>
      <c r="AB181" s="20">
        <f t="shared" si="28"/>
        <v>30.04529722187872</v>
      </c>
      <c r="AC181" s="20">
        <f t="shared" si="29"/>
        <v>29.969428575284358</v>
      </c>
      <c r="AD181" s="20">
        <f t="shared" si="30"/>
        <v>7.5635096134381852E-2</v>
      </c>
      <c r="AE181" s="21"/>
      <c r="AF181" s="20">
        <f t="shared" si="31"/>
        <v>30.04529722187872</v>
      </c>
      <c r="AG181" s="22">
        <v>3630907</v>
      </c>
      <c r="AH181" s="23">
        <v>109091680</v>
      </c>
      <c r="AI181" s="23">
        <v>108816208</v>
      </c>
      <c r="AJ181" s="23">
        <v>274624</v>
      </c>
      <c r="AK181" s="24"/>
      <c r="AL181" s="25">
        <v>30.305</v>
      </c>
      <c r="AM181" s="25">
        <v>43.609400000000001</v>
      </c>
      <c r="AN181" s="25">
        <v>46.7806</v>
      </c>
      <c r="AO181" s="26"/>
      <c r="AP181" s="27"/>
      <c r="AQ181" s="27"/>
      <c r="AS181" s="28">
        <f t="shared" si="32"/>
        <v>2.9425086979070203E-3</v>
      </c>
      <c r="AT181" s="28"/>
      <c r="AV181" s="29"/>
      <c r="AW181" s="29"/>
      <c r="AX181" s="29"/>
      <c r="AY181" s="30"/>
      <c r="BA181" s="29"/>
      <c r="BB181" s="29"/>
      <c r="BC181" s="29"/>
      <c r="BD181" s="30"/>
    </row>
    <row r="182" spans="1:56" outlineLevel="1" x14ac:dyDescent="0.15">
      <c r="A182" s="31"/>
      <c r="B182" s="31" t="s">
        <v>318</v>
      </c>
      <c r="C182" s="32" t="s">
        <v>228</v>
      </c>
      <c r="D182" s="31">
        <v>3630907</v>
      </c>
      <c r="E182" s="33">
        <v>20</v>
      </c>
      <c r="F182" s="32">
        <v>1</v>
      </c>
      <c r="G182" s="32"/>
      <c r="I182" s="34" t="str">
        <f t="shared" si="22"/>
        <v>·</v>
      </c>
      <c r="J182" s="35">
        <f t="shared" si="23"/>
        <v>30.386289706676596</v>
      </c>
      <c r="K182" s="35">
        <f t="shared" si="24"/>
        <v>29.969428575284358</v>
      </c>
      <c r="L182" s="35">
        <f t="shared" si="25"/>
        <v>0.41662537762603119</v>
      </c>
      <c r="M182" s="36"/>
      <c r="N182" s="35">
        <f t="shared" si="26"/>
        <v>30.386289706676596</v>
      </c>
      <c r="O182" s="37">
        <v>3630907</v>
      </c>
      <c r="P182" s="38">
        <v>110329792</v>
      </c>
      <c r="Q182" s="38">
        <v>108816208</v>
      </c>
      <c r="R182" s="38">
        <v>1512728</v>
      </c>
      <c r="S182" s="39"/>
      <c r="T182" s="40">
        <v>34.609699999999997</v>
      </c>
      <c r="U182" s="40">
        <v>45.709299999999999</v>
      </c>
      <c r="V182" s="40">
        <v>48.244300000000003</v>
      </c>
      <c r="W182" s="41"/>
      <c r="X182" s="42"/>
      <c r="Y182" s="42"/>
      <c r="AA182" s="34" t="str">
        <f t="shared" si="27"/>
        <v>·</v>
      </c>
      <c r="AB182" s="35">
        <f t="shared" si="28"/>
        <v>30.208465267769181</v>
      </c>
      <c r="AC182" s="35">
        <f t="shared" si="29"/>
        <v>29.969428575284358</v>
      </c>
      <c r="AD182" s="35">
        <f t="shared" si="30"/>
        <v>0.23880314202484393</v>
      </c>
      <c r="AE182" s="36"/>
      <c r="AF182" s="35">
        <f t="shared" si="31"/>
        <v>30.208465267769181</v>
      </c>
      <c r="AG182" s="37">
        <v>3630907</v>
      </c>
      <c r="AH182" s="38">
        <v>109684128</v>
      </c>
      <c r="AI182" s="38">
        <v>108816208</v>
      </c>
      <c r="AJ182" s="38">
        <v>867072</v>
      </c>
      <c r="AK182" s="39"/>
      <c r="AL182" s="40">
        <v>32.973599999999998</v>
      </c>
      <c r="AM182" s="40">
        <v>44.646599999999999</v>
      </c>
      <c r="AN182" s="40">
        <v>47.509799999999998</v>
      </c>
      <c r="AO182" s="41"/>
      <c r="AP182" s="42"/>
      <c r="AQ182" s="42"/>
      <c r="AS182" s="43">
        <f t="shared" si="32"/>
        <v>5.8058200871591303E-3</v>
      </c>
      <c r="AT182" s="43"/>
      <c r="AV182" s="44"/>
      <c r="AW182" s="44"/>
      <c r="AX182" s="44"/>
      <c r="AY182" s="45"/>
      <c r="BA182" s="44"/>
      <c r="BB182" s="44"/>
      <c r="BC182" s="44"/>
      <c r="BD182" s="45"/>
    </row>
    <row r="183" spans="1:56" outlineLevel="1" x14ac:dyDescent="0.15">
      <c r="A183" s="16"/>
      <c r="B183" s="16" t="s">
        <v>318</v>
      </c>
      <c r="C183" s="17" t="s">
        <v>229</v>
      </c>
      <c r="D183" s="16">
        <v>3630907</v>
      </c>
      <c r="E183" s="18">
        <v>20</v>
      </c>
      <c r="F183" s="17">
        <v>1</v>
      </c>
      <c r="G183" s="17"/>
      <c r="I183" s="19" t="str">
        <f t="shared" si="22"/>
        <v>·</v>
      </c>
      <c r="J183" s="20">
        <f t="shared" si="23"/>
        <v>30.87414797459698</v>
      </c>
      <c r="K183" s="20">
        <f t="shared" si="24"/>
        <v>29.969428575284358</v>
      </c>
      <c r="L183" s="20">
        <f t="shared" si="25"/>
        <v>0.9044836455464158</v>
      </c>
      <c r="M183" s="21"/>
      <c r="N183" s="20">
        <f t="shared" si="26"/>
        <v>30.87414797459698</v>
      </c>
      <c r="O183" s="22">
        <v>3630907</v>
      </c>
      <c r="P183" s="23">
        <v>112101160</v>
      </c>
      <c r="Q183" s="23">
        <v>108816208</v>
      </c>
      <c r="R183" s="23">
        <v>3284096</v>
      </c>
      <c r="S183" s="24"/>
      <c r="T183" s="25">
        <v>38.079099999999997</v>
      </c>
      <c r="U183" s="25">
        <v>46.774999999999999</v>
      </c>
      <c r="V183" s="25">
        <v>48.864800000000002</v>
      </c>
      <c r="W183" s="26"/>
      <c r="X183" s="27"/>
      <c r="Y183" s="27"/>
      <c r="AA183" s="19" t="str">
        <f t="shared" si="27"/>
        <v>·</v>
      </c>
      <c r="AB183" s="20">
        <f t="shared" si="28"/>
        <v>30.610220531674319</v>
      </c>
      <c r="AC183" s="20">
        <f t="shared" si="29"/>
        <v>29.969428575284358</v>
      </c>
      <c r="AD183" s="20">
        <f t="shared" si="30"/>
        <v>0.64055840592997837</v>
      </c>
      <c r="AE183" s="21"/>
      <c r="AF183" s="20">
        <f t="shared" si="31"/>
        <v>30.610220531674319</v>
      </c>
      <c r="AG183" s="22">
        <v>3630907</v>
      </c>
      <c r="AH183" s="23">
        <v>111142864</v>
      </c>
      <c r="AI183" s="23">
        <v>108816208</v>
      </c>
      <c r="AJ183" s="23">
        <v>2325808</v>
      </c>
      <c r="AK183" s="24"/>
      <c r="AL183" s="25">
        <v>36.596699999999998</v>
      </c>
      <c r="AM183" s="25">
        <v>45.709499999999998</v>
      </c>
      <c r="AN183" s="25">
        <v>48.204500000000003</v>
      </c>
      <c r="AO183" s="26"/>
      <c r="AP183" s="27"/>
      <c r="AQ183" s="27"/>
      <c r="AS183" s="28">
        <f t="shared" si="32"/>
        <v>8.3695396789672527E-3</v>
      </c>
      <c r="AT183" s="28"/>
      <c r="AV183" s="29"/>
      <c r="AW183" s="29"/>
      <c r="AX183" s="29"/>
      <c r="AY183" s="30"/>
      <c r="BA183" s="29"/>
      <c r="BB183" s="29"/>
      <c r="BC183" s="29"/>
      <c r="BD183" s="30"/>
    </row>
    <row r="184" spans="1:56" outlineLevel="1" x14ac:dyDescent="0.15">
      <c r="A184" s="31"/>
      <c r="B184" s="46" t="s">
        <v>318</v>
      </c>
      <c r="C184" s="47" t="s">
        <v>230</v>
      </c>
      <c r="D184" s="46">
        <v>3630907</v>
      </c>
      <c r="E184" s="48">
        <v>20</v>
      </c>
      <c r="F184" s="47">
        <v>1</v>
      </c>
      <c r="G184" s="47"/>
      <c r="I184" s="49" t="str">
        <f t="shared" si="22"/>
        <v>·</v>
      </c>
      <c r="J184" s="50">
        <f t="shared" si="23"/>
        <v>31.756345177664976</v>
      </c>
      <c r="K184" s="50">
        <f t="shared" si="24"/>
        <v>29.969428575284358</v>
      </c>
      <c r="L184" s="50">
        <f t="shared" si="25"/>
        <v>1.7866808486144097</v>
      </c>
      <c r="M184" s="51"/>
      <c r="N184" s="50">
        <f t="shared" si="26"/>
        <v>31.756345177664976</v>
      </c>
      <c r="O184" s="52">
        <v>3630907</v>
      </c>
      <c r="P184" s="53">
        <v>115304336</v>
      </c>
      <c r="Q184" s="53">
        <v>108816208</v>
      </c>
      <c r="R184" s="53">
        <v>6487272</v>
      </c>
      <c r="S184" s="54"/>
      <c r="T184" s="55">
        <v>42.126899999999999</v>
      </c>
      <c r="U184" s="55">
        <v>48.1571</v>
      </c>
      <c r="V184" s="55">
        <v>49.698999999999998</v>
      </c>
      <c r="W184" s="56"/>
      <c r="X184" s="57"/>
      <c r="Y184" s="57"/>
      <c r="AA184" s="49" t="str">
        <f t="shared" si="27"/>
        <v>·</v>
      </c>
      <c r="AB184" s="50">
        <f t="shared" si="28"/>
        <v>31.284963233704417</v>
      </c>
      <c r="AC184" s="50">
        <f t="shared" si="29"/>
        <v>29.969428575284358</v>
      </c>
      <c r="AD184" s="50">
        <f t="shared" si="30"/>
        <v>1.3153011079600772</v>
      </c>
      <c r="AE184" s="51"/>
      <c r="AF184" s="50">
        <f t="shared" si="31"/>
        <v>31.284963233704417</v>
      </c>
      <c r="AG184" s="52">
        <v>3630907</v>
      </c>
      <c r="AH184" s="53">
        <v>113592792</v>
      </c>
      <c r="AI184" s="53">
        <v>108816208</v>
      </c>
      <c r="AJ184" s="53">
        <v>4775736</v>
      </c>
      <c r="AK184" s="54"/>
      <c r="AL184" s="55">
        <v>40.545999999999999</v>
      </c>
      <c r="AM184" s="55">
        <v>46.811599999999999</v>
      </c>
      <c r="AN184" s="55">
        <v>48.836399999999998</v>
      </c>
      <c r="AO184" s="56"/>
      <c r="AP184" s="57"/>
      <c r="AQ184" s="57"/>
      <c r="AS184" s="58">
        <f t="shared" si="32"/>
        <v>1.4219530025964988E-2</v>
      </c>
      <c r="AT184" s="58"/>
      <c r="AV184" s="59"/>
      <c r="AW184" s="59"/>
      <c r="AX184" s="59"/>
      <c r="AY184" s="60"/>
      <c r="BA184" s="59"/>
      <c r="BB184" s="59"/>
      <c r="BC184" s="59"/>
      <c r="BD184" s="60"/>
    </row>
    <row r="185" spans="1:56" collapsed="1" x14ac:dyDescent="0.15">
      <c r="A185" s="16"/>
      <c r="B185" s="16" t="s">
        <v>321</v>
      </c>
      <c r="C185" s="17" t="s">
        <v>225</v>
      </c>
      <c r="D185" s="16">
        <v>14025709</v>
      </c>
      <c r="E185" s="18">
        <v>20</v>
      </c>
      <c r="F185" s="17">
        <v>1</v>
      </c>
      <c r="G185" s="17"/>
      <c r="I185" s="19" t="str">
        <f t="shared" si="22"/>
        <v>·</v>
      </c>
      <c r="J185" s="20">
        <f t="shared" si="23"/>
        <v>26.545320168841375</v>
      </c>
      <c r="K185" s="20">
        <f t="shared" si="24"/>
        <v>26.505209825756403</v>
      </c>
      <c r="L185" s="20">
        <f t="shared" si="25"/>
        <v>3.999227418735124E-2</v>
      </c>
      <c r="M185" s="21"/>
      <c r="N185" s="20">
        <f t="shared" si="26"/>
        <v>26.545320168841375</v>
      </c>
      <c r="O185" s="22">
        <v>14025709</v>
      </c>
      <c r="P185" s="23">
        <v>372316936</v>
      </c>
      <c r="Q185" s="23">
        <v>371754360</v>
      </c>
      <c r="R185" s="23">
        <v>560920</v>
      </c>
      <c r="S185" s="24"/>
      <c r="T185" s="25">
        <v>26.116599999999998</v>
      </c>
      <c r="U185" s="25">
        <v>37.8414</v>
      </c>
      <c r="V185" s="25">
        <v>43.267699999999998</v>
      </c>
      <c r="W185" s="26"/>
      <c r="X185" s="27"/>
      <c r="Y185" s="27"/>
      <c r="AA185" s="19" t="str">
        <f t="shared" si="27"/>
        <v>·</v>
      </c>
      <c r="AB185" s="20">
        <f t="shared" si="28"/>
        <v>26.518363955790043</v>
      </c>
      <c r="AC185" s="20">
        <f t="shared" si="29"/>
        <v>26.505209825756403</v>
      </c>
      <c r="AD185" s="20">
        <f t="shared" si="30"/>
        <v>1.3036631517166084E-2</v>
      </c>
      <c r="AE185" s="21"/>
      <c r="AF185" s="20">
        <f t="shared" si="31"/>
        <v>26.518363955790043</v>
      </c>
      <c r="AG185" s="22">
        <v>14025709</v>
      </c>
      <c r="AH185" s="23">
        <v>371938856</v>
      </c>
      <c r="AI185" s="23">
        <v>371754360</v>
      </c>
      <c r="AJ185" s="23">
        <v>182848</v>
      </c>
      <c r="AK185" s="24"/>
      <c r="AL185" s="25">
        <v>24.821000000000002</v>
      </c>
      <c r="AM185" s="25">
        <v>37.936300000000003</v>
      </c>
      <c r="AN185" s="25">
        <v>42.297800000000002</v>
      </c>
      <c r="AO185" s="26"/>
      <c r="AP185" s="27"/>
      <c r="AQ185" s="27"/>
      <c r="AS185" s="28">
        <f t="shared" si="32"/>
        <v>1.0149752031586301E-3</v>
      </c>
      <c r="AT185" s="28">
        <f t="array" ref="AT185">AVERAGE(AI185:AI190/AH185:AH190) - AVERAGE(Q185:Q190/P185:P190)</f>
        <v>8.40132461620402E-3</v>
      </c>
      <c r="AV185" s="29">
        <f>IF( OR(ISBLANK(R185:R190),ISBLANK(AJ185:AJ190), ISBLANK(T185:T190),ISBLANK(AL185:AL190)), "·", bdRateExtend( R185:R190,T185:T190, AJ185:AJ190,AL185:AL190))</f>
        <v>-7.6132233478561795E-2</v>
      </c>
      <c r="AW185" s="29">
        <f>IF( OR(ISBLANK(R185:R190),ISBLANK(AJ185:AJ190), ISBLANK(U185:U190),ISBLANK(AM185:AM190)), "·", bdRateExtend( R185:R190,U185:U190, AJ185:AJ190,AM185:AM190))</f>
        <v>0.13886981563427558</v>
      </c>
      <c r="AX185" s="29">
        <f>IF( OR(ISBLANK(R185:R190),ISBLANK(AJ185:AJ190), ISBLANK(V185:V190),ISBLANK(AN185:AN190)), "·", bdRateExtend( R185:R190,V185:V190, AJ185:AJ190,AN185:AN190))</f>
        <v>0.38039473096766185</v>
      </c>
      <c r="AY185" s="30"/>
      <c r="BA185" s="29">
        <f>IF( OR(ISBLANK(P185:P190),ISBLANK(AH185:AH190), ISBLANK(T185:T190),ISBLANK(AL185:AL190)), "·", bdRateExtend( P185:P190,T185:T190, AH185:AH190,AL185:AL190))</f>
        <v>-2.266870913857133E-3</v>
      </c>
      <c r="BB185" s="29">
        <f>IF( OR(ISBLANK(P185:P190),ISBLANK(AH185:AH190), ISBLANK(U185:U190),ISBLANK(AM185:AM190)), "·", bdRateExtend( P185:P190,U185:U190, AH185:AH190,AM185:AM190))</f>
        <v>4.5752676291834771E-3</v>
      </c>
      <c r="BC185" s="29">
        <f>IF( OR(ISBLANK(P185:P190),ISBLANK(AH185:AH190), ISBLANK(V185:V190),ISBLANK(AN185:AN190)), "·", bdRateExtend( P185:P190,V185:V190, AH185:AH190,AN185:AN190))</f>
        <v>6.5751586648508109E-3</v>
      </c>
      <c r="BD185" s="30"/>
    </row>
    <row r="186" spans="1:56" outlineLevel="1" x14ac:dyDescent="0.15">
      <c r="A186" s="31"/>
      <c r="B186" s="31" t="s">
        <v>321</v>
      </c>
      <c r="C186" s="32" t="s">
        <v>226</v>
      </c>
      <c r="D186" s="31">
        <v>14025709</v>
      </c>
      <c r="E186" s="33">
        <v>20</v>
      </c>
      <c r="F186" s="32">
        <v>1</v>
      </c>
      <c r="G186" s="32"/>
      <c r="I186" s="34" t="str">
        <f t="shared" si="22"/>
        <v>·</v>
      </c>
      <c r="J186" s="35">
        <f t="shared" si="23"/>
        <v>26.607476884056272</v>
      </c>
      <c r="K186" s="35">
        <f t="shared" si="24"/>
        <v>26.505209825756403</v>
      </c>
      <c r="L186" s="35">
        <f t="shared" si="25"/>
        <v>0.10214898940224697</v>
      </c>
      <c r="M186" s="36"/>
      <c r="N186" s="35">
        <f t="shared" si="26"/>
        <v>26.607476884056272</v>
      </c>
      <c r="O186" s="37">
        <v>14025709</v>
      </c>
      <c r="P186" s="38">
        <v>373188728</v>
      </c>
      <c r="Q186" s="38">
        <v>371754360</v>
      </c>
      <c r="R186" s="38">
        <v>1432712</v>
      </c>
      <c r="S186" s="39"/>
      <c r="T186" s="40">
        <v>27.6465</v>
      </c>
      <c r="U186" s="40">
        <v>40.1126</v>
      </c>
      <c r="V186" s="40">
        <v>44.399900000000002</v>
      </c>
      <c r="W186" s="41"/>
      <c r="X186" s="42"/>
      <c r="Y186" s="42"/>
      <c r="AA186" s="34" t="str">
        <f t="shared" si="27"/>
        <v>·</v>
      </c>
      <c r="AB186" s="35">
        <f t="shared" si="28"/>
        <v>26.542542412650938</v>
      </c>
      <c r="AC186" s="35">
        <f t="shared" si="29"/>
        <v>26.505209825756403</v>
      </c>
      <c r="AD186" s="35">
        <f t="shared" si="30"/>
        <v>3.7215088378063456E-2</v>
      </c>
      <c r="AE186" s="36"/>
      <c r="AF186" s="35">
        <f t="shared" si="31"/>
        <v>26.542542412650938</v>
      </c>
      <c r="AG186" s="37">
        <v>14025709</v>
      </c>
      <c r="AH186" s="38">
        <v>372277976</v>
      </c>
      <c r="AI186" s="38">
        <v>371754360</v>
      </c>
      <c r="AJ186" s="38">
        <v>521968</v>
      </c>
      <c r="AK186" s="39"/>
      <c r="AL186" s="40">
        <v>26.136900000000001</v>
      </c>
      <c r="AM186" s="40">
        <v>38.8215</v>
      </c>
      <c r="AN186" s="40">
        <v>43.161999999999999</v>
      </c>
      <c r="AO186" s="41"/>
      <c r="AP186" s="42"/>
      <c r="AQ186" s="42"/>
      <c r="AS186" s="43">
        <f t="shared" si="32"/>
        <v>2.4370270104233649E-3</v>
      </c>
      <c r="AT186" s="43"/>
      <c r="AV186" s="44"/>
      <c r="AW186" s="44"/>
      <c r="AX186" s="44"/>
      <c r="AY186" s="45"/>
      <c r="BA186" s="44"/>
      <c r="BB186" s="44"/>
      <c r="BC186" s="44"/>
      <c r="BD186" s="45"/>
    </row>
    <row r="187" spans="1:56" outlineLevel="1" x14ac:dyDescent="0.15">
      <c r="A187" s="16"/>
      <c r="B187" s="16" t="s">
        <v>321</v>
      </c>
      <c r="C187" s="17" t="s">
        <v>227</v>
      </c>
      <c r="D187" s="16">
        <v>14025709</v>
      </c>
      <c r="E187" s="18">
        <v>20</v>
      </c>
      <c r="F187" s="17">
        <v>1</v>
      </c>
      <c r="G187" s="17"/>
      <c r="I187" s="19" t="str">
        <f t="shared" si="22"/>
        <v>·</v>
      </c>
      <c r="J187" s="20">
        <f t="shared" si="23"/>
        <v>26.80508600313895</v>
      </c>
      <c r="K187" s="20">
        <f t="shared" si="24"/>
        <v>26.505209825756403</v>
      </c>
      <c r="L187" s="20">
        <f t="shared" si="25"/>
        <v>0.29975810848492579</v>
      </c>
      <c r="M187" s="21"/>
      <c r="N187" s="20">
        <f t="shared" si="26"/>
        <v>26.80508600313895</v>
      </c>
      <c r="O187" s="22">
        <v>14025709</v>
      </c>
      <c r="P187" s="23">
        <v>375960336</v>
      </c>
      <c r="Q187" s="23">
        <v>371754360</v>
      </c>
      <c r="R187" s="23">
        <v>4204320</v>
      </c>
      <c r="S187" s="24"/>
      <c r="T187" s="25">
        <v>30.015699999999999</v>
      </c>
      <c r="U187" s="25">
        <v>41.707099999999997</v>
      </c>
      <c r="V187" s="25">
        <v>45.762099999999997</v>
      </c>
      <c r="W187" s="26"/>
      <c r="X187" s="27"/>
      <c r="Y187" s="27"/>
      <c r="AA187" s="19" t="str">
        <f t="shared" si="27"/>
        <v>·</v>
      </c>
      <c r="AB187" s="20">
        <f t="shared" si="28"/>
        <v>26.651636362910423</v>
      </c>
      <c r="AC187" s="20">
        <f t="shared" si="29"/>
        <v>26.505209825756403</v>
      </c>
      <c r="AD187" s="20">
        <f t="shared" si="30"/>
        <v>0.14630903863754766</v>
      </c>
      <c r="AE187" s="21"/>
      <c r="AF187" s="20">
        <f t="shared" si="31"/>
        <v>26.651636362910423</v>
      </c>
      <c r="AG187" s="22">
        <v>14025709</v>
      </c>
      <c r="AH187" s="23">
        <v>373808096</v>
      </c>
      <c r="AI187" s="23">
        <v>371754360</v>
      </c>
      <c r="AJ187" s="23">
        <v>2052088</v>
      </c>
      <c r="AK187" s="24"/>
      <c r="AL187" s="25">
        <v>28.37</v>
      </c>
      <c r="AM187" s="25">
        <v>40.143900000000002</v>
      </c>
      <c r="AN187" s="25">
        <v>44.413400000000003</v>
      </c>
      <c r="AO187" s="26"/>
      <c r="AP187" s="27"/>
      <c r="AQ187" s="27"/>
      <c r="AS187" s="28">
        <f t="shared" si="32"/>
        <v>5.693194709336602E-3</v>
      </c>
      <c r="AT187" s="28"/>
      <c r="AV187" s="29"/>
      <c r="AW187" s="29"/>
      <c r="AX187" s="29"/>
      <c r="AY187" s="30"/>
      <c r="BA187" s="29"/>
      <c r="BB187" s="29"/>
      <c r="BC187" s="29"/>
      <c r="BD187" s="30"/>
    </row>
    <row r="188" spans="1:56" outlineLevel="1" x14ac:dyDescent="0.15">
      <c r="A188" s="31"/>
      <c r="B188" s="31" t="s">
        <v>321</v>
      </c>
      <c r="C188" s="32" t="s">
        <v>228</v>
      </c>
      <c r="D188" s="31">
        <v>14025709</v>
      </c>
      <c r="E188" s="33">
        <v>20</v>
      </c>
      <c r="F188" s="32">
        <v>1</v>
      </c>
      <c r="G188" s="32"/>
      <c r="I188" s="34" t="str">
        <f t="shared" si="22"/>
        <v>·</v>
      </c>
      <c r="J188" s="35">
        <f t="shared" si="23"/>
        <v>27.214527835990324</v>
      </c>
      <c r="K188" s="35">
        <f t="shared" si="24"/>
        <v>26.505209825756403</v>
      </c>
      <c r="L188" s="35">
        <f t="shared" si="25"/>
        <v>0.70919994133629893</v>
      </c>
      <c r="M188" s="36"/>
      <c r="N188" s="35">
        <f t="shared" si="26"/>
        <v>27.214527835990324</v>
      </c>
      <c r="O188" s="37">
        <v>14025709</v>
      </c>
      <c r="P188" s="38">
        <v>381703048</v>
      </c>
      <c r="Q188" s="38">
        <v>371754360</v>
      </c>
      <c r="R188" s="38">
        <v>9947032</v>
      </c>
      <c r="S188" s="39"/>
      <c r="T188" s="40">
        <v>33.531599999999997</v>
      </c>
      <c r="U188" s="40">
        <v>43.542400000000001</v>
      </c>
      <c r="V188" s="40">
        <v>47.2074</v>
      </c>
      <c r="W188" s="41"/>
      <c r="X188" s="42"/>
      <c r="Y188" s="42"/>
      <c r="AA188" s="34" t="str">
        <f t="shared" si="27"/>
        <v>·</v>
      </c>
      <c r="AB188" s="35">
        <f t="shared" si="28"/>
        <v>26.945881737600573</v>
      </c>
      <c r="AC188" s="35">
        <f t="shared" si="29"/>
        <v>26.505209825756403</v>
      </c>
      <c r="AD188" s="35">
        <f t="shared" si="30"/>
        <v>0.44055441332769701</v>
      </c>
      <c r="AE188" s="36"/>
      <c r="AF188" s="35">
        <f t="shared" si="31"/>
        <v>26.945881737600573</v>
      </c>
      <c r="AG188" s="37">
        <v>14025709</v>
      </c>
      <c r="AH188" s="38">
        <v>377935096</v>
      </c>
      <c r="AI188" s="38">
        <v>371754360</v>
      </c>
      <c r="AJ188" s="38">
        <v>6179088</v>
      </c>
      <c r="AK188" s="39"/>
      <c r="AL188" s="40">
        <v>31.795000000000002</v>
      </c>
      <c r="AM188" s="40">
        <v>41.734999999999999</v>
      </c>
      <c r="AN188" s="40">
        <v>45.738599999999998</v>
      </c>
      <c r="AO188" s="41"/>
      <c r="AP188" s="42"/>
      <c r="AQ188" s="42"/>
      <c r="AS188" s="43">
        <f t="shared" si="32"/>
        <v>9.7099854915297934E-3</v>
      </c>
      <c r="AT188" s="43"/>
      <c r="AV188" s="44"/>
      <c r="AW188" s="44"/>
      <c r="AX188" s="44"/>
      <c r="AY188" s="45"/>
      <c r="BA188" s="44"/>
      <c r="BB188" s="44"/>
      <c r="BC188" s="44"/>
      <c r="BD188" s="45"/>
    </row>
    <row r="189" spans="1:56" outlineLevel="1" x14ac:dyDescent="0.15">
      <c r="A189" s="16"/>
      <c r="B189" s="16" t="s">
        <v>321</v>
      </c>
      <c r="C189" s="17" t="s">
        <v>229</v>
      </c>
      <c r="D189" s="16">
        <v>14025709</v>
      </c>
      <c r="E189" s="18">
        <v>20</v>
      </c>
      <c r="F189" s="17">
        <v>1</v>
      </c>
      <c r="G189" s="17"/>
      <c r="I189" s="19" t="str">
        <f t="shared" si="22"/>
        <v>·</v>
      </c>
      <c r="J189" s="20">
        <f t="shared" si="23"/>
        <v>27.896542841434968</v>
      </c>
      <c r="K189" s="20">
        <f t="shared" si="24"/>
        <v>26.505209825756403</v>
      </c>
      <c r="L189" s="20">
        <f t="shared" si="25"/>
        <v>1.3912149467809434</v>
      </c>
      <c r="M189" s="21"/>
      <c r="N189" s="20">
        <f t="shared" si="26"/>
        <v>27.896542841434968</v>
      </c>
      <c r="O189" s="22">
        <v>14025709</v>
      </c>
      <c r="P189" s="23">
        <v>391268792</v>
      </c>
      <c r="Q189" s="23">
        <v>371754360</v>
      </c>
      <c r="R189" s="23">
        <v>19512776</v>
      </c>
      <c r="S189" s="24"/>
      <c r="T189" s="25">
        <v>37.828600000000002</v>
      </c>
      <c r="U189" s="25">
        <v>45.580800000000004</v>
      </c>
      <c r="V189" s="25">
        <v>48.718000000000004</v>
      </c>
      <c r="W189" s="26"/>
      <c r="X189" s="27"/>
      <c r="Y189" s="27"/>
      <c r="AA189" s="19" t="str">
        <f t="shared" si="27"/>
        <v>·</v>
      </c>
      <c r="AB189" s="20">
        <f t="shared" si="28"/>
        <v>27.515780343082834</v>
      </c>
      <c r="AC189" s="20">
        <f t="shared" si="29"/>
        <v>26.505209825756403</v>
      </c>
      <c r="AD189" s="20">
        <f t="shared" si="30"/>
        <v>1.0104530188099583</v>
      </c>
      <c r="AE189" s="21"/>
      <c r="AF189" s="20">
        <f t="shared" si="31"/>
        <v>27.515780343082834</v>
      </c>
      <c r="AG189" s="22">
        <v>14025709</v>
      </c>
      <c r="AH189" s="23">
        <v>385928328</v>
      </c>
      <c r="AI189" s="23">
        <v>371754360</v>
      </c>
      <c r="AJ189" s="23">
        <v>14172320</v>
      </c>
      <c r="AK189" s="24"/>
      <c r="AL189" s="25">
        <v>36.161099999999998</v>
      </c>
      <c r="AM189" s="25">
        <v>43.823399999999999</v>
      </c>
      <c r="AN189" s="25">
        <v>47.255899999999997</v>
      </c>
      <c r="AO189" s="26"/>
      <c r="AP189" s="27"/>
      <c r="AQ189" s="27"/>
      <c r="AS189" s="28">
        <f t="shared" si="32"/>
        <v>1.3147803208874098E-2</v>
      </c>
      <c r="AT189" s="28"/>
      <c r="AV189" s="29"/>
      <c r="AW189" s="29"/>
      <c r="AX189" s="29"/>
      <c r="AY189" s="30"/>
      <c r="BA189" s="29"/>
      <c r="BB189" s="29"/>
      <c r="BC189" s="29"/>
      <c r="BD189" s="30"/>
    </row>
    <row r="190" spans="1:56" outlineLevel="1" x14ac:dyDescent="0.15">
      <c r="A190" s="31"/>
      <c r="B190" s="46" t="s">
        <v>321</v>
      </c>
      <c r="C190" s="47" t="s">
        <v>230</v>
      </c>
      <c r="D190" s="46">
        <v>14025709</v>
      </c>
      <c r="E190" s="48">
        <v>20</v>
      </c>
      <c r="F190" s="47">
        <v>1</v>
      </c>
      <c r="G190" s="47"/>
      <c r="I190" s="49" t="str">
        <f t="shared" si="22"/>
        <v>·</v>
      </c>
      <c r="J190" s="50">
        <f t="shared" si="23"/>
        <v>28.885336206533303</v>
      </c>
      <c r="K190" s="50">
        <f t="shared" si="24"/>
        <v>26.505209825756403</v>
      </c>
      <c r="L190" s="50">
        <f t="shared" si="25"/>
        <v>2.3800083118792781</v>
      </c>
      <c r="M190" s="51"/>
      <c r="N190" s="50">
        <f t="shared" si="26"/>
        <v>28.885336206533303</v>
      </c>
      <c r="O190" s="52">
        <v>14025709</v>
      </c>
      <c r="P190" s="53">
        <v>405137320</v>
      </c>
      <c r="Q190" s="53">
        <v>371754360</v>
      </c>
      <c r="R190" s="53">
        <v>33381304</v>
      </c>
      <c r="S190" s="54"/>
      <c r="T190" s="55">
        <v>42.381300000000003</v>
      </c>
      <c r="U190" s="55">
        <v>47.856099999999998</v>
      </c>
      <c r="V190" s="55">
        <v>50.198599999999999</v>
      </c>
      <c r="W190" s="56"/>
      <c r="X190" s="57"/>
      <c r="Y190" s="57"/>
      <c r="AA190" s="49" t="str">
        <f t="shared" si="27"/>
        <v>·</v>
      </c>
      <c r="AB190" s="50">
        <f t="shared" si="28"/>
        <v>28.317355222470393</v>
      </c>
      <c r="AC190" s="50">
        <f t="shared" si="29"/>
        <v>26.505209825756403</v>
      </c>
      <c r="AD190" s="50">
        <f t="shared" si="30"/>
        <v>1.8120278981975171</v>
      </c>
      <c r="AE190" s="51"/>
      <c r="AF190" s="50">
        <f t="shared" si="31"/>
        <v>28.317355222470393</v>
      </c>
      <c r="AG190" s="52">
        <v>14025709</v>
      </c>
      <c r="AH190" s="53">
        <v>397170984</v>
      </c>
      <c r="AI190" s="53">
        <v>371754360</v>
      </c>
      <c r="AJ190" s="53">
        <v>25414976</v>
      </c>
      <c r="AK190" s="54"/>
      <c r="AL190" s="55">
        <v>40.555199999999999</v>
      </c>
      <c r="AM190" s="55">
        <v>46.119399999999999</v>
      </c>
      <c r="AN190" s="55">
        <v>48.7515</v>
      </c>
      <c r="AO190" s="56"/>
      <c r="AP190" s="57"/>
      <c r="AQ190" s="57"/>
      <c r="AS190" s="58">
        <f t="shared" si="32"/>
        <v>1.8404962073901965E-2</v>
      </c>
      <c r="AT190" s="58"/>
      <c r="AV190" s="59"/>
      <c r="AW190" s="59"/>
      <c r="AX190" s="59"/>
      <c r="AY190" s="60"/>
      <c r="BA190" s="59"/>
      <c r="BB190" s="59"/>
      <c r="BC190" s="59"/>
      <c r="BD190" s="60"/>
    </row>
    <row r="191" spans="1:56" collapsed="1" x14ac:dyDescent="0.15">
      <c r="A191" s="16"/>
      <c r="B191" s="16" t="s">
        <v>324</v>
      </c>
      <c r="C191" s="17" t="s">
        <v>225</v>
      </c>
      <c r="D191" s="16">
        <v>5001077</v>
      </c>
      <c r="E191" s="18">
        <v>20</v>
      </c>
      <c r="F191" s="17">
        <v>1</v>
      </c>
      <c r="G191" s="17"/>
      <c r="I191" s="19" t="str">
        <f t="shared" si="22"/>
        <v>·</v>
      </c>
      <c r="J191" s="20">
        <f t="shared" si="23"/>
        <v>27.098612558854821</v>
      </c>
      <c r="K191" s="20">
        <f t="shared" si="24"/>
        <v>27.063079412694506</v>
      </c>
      <c r="L191" s="20">
        <f t="shared" si="25"/>
        <v>3.5329989920171195E-2</v>
      </c>
      <c r="M191" s="21"/>
      <c r="N191" s="20">
        <f t="shared" si="26"/>
        <v>27.098612558854821</v>
      </c>
      <c r="O191" s="22">
        <v>5001077</v>
      </c>
      <c r="P191" s="23">
        <v>135522248</v>
      </c>
      <c r="Q191" s="23">
        <v>135344544</v>
      </c>
      <c r="R191" s="23">
        <v>176688</v>
      </c>
      <c r="S191" s="24"/>
      <c r="T191" s="25">
        <v>27.212700000000002</v>
      </c>
      <c r="U191" s="25">
        <v>37.694899999999997</v>
      </c>
      <c r="V191" s="25">
        <v>40.943600000000004</v>
      </c>
      <c r="W191" s="26"/>
      <c r="X191" s="27"/>
      <c r="Y191" s="27"/>
      <c r="AA191" s="19" t="str">
        <f t="shared" si="27"/>
        <v>·</v>
      </c>
      <c r="AB191" s="20">
        <f t="shared" si="28"/>
        <v>27.076823652185318</v>
      </c>
      <c r="AC191" s="20">
        <f t="shared" si="29"/>
        <v>27.063079412694506</v>
      </c>
      <c r="AD191" s="20">
        <f t="shared" si="30"/>
        <v>1.3542682906102025E-2</v>
      </c>
      <c r="AE191" s="21"/>
      <c r="AF191" s="20">
        <f t="shared" si="31"/>
        <v>27.076823652185318</v>
      </c>
      <c r="AG191" s="22">
        <v>5001077</v>
      </c>
      <c r="AH191" s="23">
        <v>135413280</v>
      </c>
      <c r="AI191" s="23">
        <v>135344544</v>
      </c>
      <c r="AJ191" s="23">
        <v>67728</v>
      </c>
      <c r="AK191" s="24"/>
      <c r="AL191" s="25">
        <v>25.979099999999999</v>
      </c>
      <c r="AM191" s="25">
        <v>38.07</v>
      </c>
      <c r="AN191" s="25">
        <v>40.543700000000001</v>
      </c>
      <c r="AO191" s="26"/>
      <c r="AP191" s="27"/>
      <c r="AQ191" s="27"/>
      <c r="AS191" s="28">
        <f t="shared" si="32"/>
        <v>8.036517197302917E-4</v>
      </c>
      <c r="AT191" s="28">
        <f t="array" ref="AT191">AVERAGE(AI191:AI196/AH191:AH196) - AVERAGE(Q191:Q196/P191:P196)</f>
        <v>7.2666157935147302E-3</v>
      </c>
      <c r="AV191" s="29">
        <f>IF( OR(ISBLANK(R191:R196),ISBLANK(AJ191:AJ196), ISBLANK(T191:T196),ISBLANK(AL191:AL196)), "·", bdRateExtend( R191:R196,T191:T196, AJ191:AJ196,AL191:AL196))</f>
        <v>-0.10079142780312988</v>
      </c>
      <c r="AW191" s="29">
        <f>IF( OR(ISBLANK(R191:R196),ISBLANK(AJ191:AJ196), ISBLANK(U191:U196),ISBLANK(AM191:AM196)), "·", bdRateExtend( R191:R196,U191:U196, AJ191:AJ196,AM191:AM196))</f>
        <v>2.9789559960584633E-2</v>
      </c>
      <c r="AX191" s="29">
        <f>IF( OR(ISBLANK(R191:R196),ISBLANK(AJ191:AJ196), ISBLANK(V191:V196),ISBLANK(AN191:AN196)), "·", bdRateExtend( R191:R196,V191:V196, AJ191:AJ196,AN191:AN196))</f>
        <v>8.7709608969536168E-2</v>
      </c>
      <c r="AY191" s="30"/>
      <c r="BA191" s="29">
        <f>IF( OR(ISBLANK(P191:P196),ISBLANK(AH191:AH196), ISBLANK(T191:T196),ISBLANK(AL191:AL196)), "·", bdRateExtend( P191:P196,T191:T196, AH191:AH196,AL191:AL196))</f>
        <v>-2.6766569750625857E-3</v>
      </c>
      <c r="BB191" s="29">
        <f>IF( OR(ISBLANK(P191:P196),ISBLANK(AH191:AH196), ISBLANK(U191:U196),ISBLANK(AM191:AM196)), "·", bdRateExtend( P191:P196,U191:U196, AH191:AH196,AM191:AM196))</f>
        <v>2.1280489942934189E-3</v>
      </c>
      <c r="BC191" s="29">
        <f>IF( OR(ISBLANK(P191:P196),ISBLANK(AH191:AH196), ISBLANK(V191:V196),ISBLANK(AN191:AN196)), "·", bdRateExtend( P191:P196,V191:V196, AH191:AH196,AN191:AN196))</f>
        <v>1.9168824977680021E-3</v>
      </c>
      <c r="BD191" s="30"/>
    </row>
    <row r="192" spans="1:56" outlineLevel="1" x14ac:dyDescent="0.15">
      <c r="A192" s="31"/>
      <c r="B192" s="31" t="s">
        <v>324</v>
      </c>
      <c r="C192" s="32" t="s">
        <v>226</v>
      </c>
      <c r="D192" s="31">
        <v>5001077</v>
      </c>
      <c r="E192" s="33">
        <v>20</v>
      </c>
      <c r="F192" s="32">
        <v>1</v>
      </c>
      <c r="G192" s="32"/>
      <c r="I192" s="34" t="str">
        <f t="shared" si="22"/>
        <v>·</v>
      </c>
      <c r="J192" s="35">
        <f t="shared" si="23"/>
        <v>27.147189295425765</v>
      </c>
      <c r="K192" s="35">
        <f t="shared" si="24"/>
        <v>27.063079412694506</v>
      </c>
      <c r="L192" s="35">
        <f t="shared" si="25"/>
        <v>8.3906726491113817E-2</v>
      </c>
      <c r="M192" s="36"/>
      <c r="N192" s="35">
        <f t="shared" si="26"/>
        <v>27.147189295425765</v>
      </c>
      <c r="O192" s="37">
        <v>5001077</v>
      </c>
      <c r="P192" s="38">
        <v>135765184</v>
      </c>
      <c r="Q192" s="38">
        <v>135344544</v>
      </c>
      <c r="R192" s="38">
        <v>419624</v>
      </c>
      <c r="S192" s="39"/>
      <c r="T192" s="40">
        <v>28.820900000000002</v>
      </c>
      <c r="U192" s="40">
        <v>39.948799999999999</v>
      </c>
      <c r="V192" s="40">
        <v>41.579700000000003</v>
      </c>
      <c r="W192" s="41"/>
      <c r="X192" s="42"/>
      <c r="Y192" s="42"/>
      <c r="AA192" s="34" t="str">
        <f t="shared" si="27"/>
        <v>·</v>
      </c>
      <c r="AB192" s="35">
        <f t="shared" si="28"/>
        <v>27.098347016052742</v>
      </c>
      <c r="AC192" s="35">
        <f t="shared" si="29"/>
        <v>27.063079412694506</v>
      </c>
      <c r="AD192" s="35">
        <f t="shared" si="30"/>
        <v>3.5066046773524984E-2</v>
      </c>
      <c r="AE192" s="36"/>
      <c r="AF192" s="35">
        <f t="shared" si="31"/>
        <v>27.098347016052742</v>
      </c>
      <c r="AG192" s="37">
        <v>5001077</v>
      </c>
      <c r="AH192" s="38">
        <v>135520920</v>
      </c>
      <c r="AI192" s="38">
        <v>135344544</v>
      </c>
      <c r="AJ192" s="38">
        <v>175368</v>
      </c>
      <c r="AK192" s="39"/>
      <c r="AL192" s="40">
        <v>27.390699999999999</v>
      </c>
      <c r="AM192" s="40">
        <v>38.983699999999999</v>
      </c>
      <c r="AN192" s="40">
        <v>41.075099999999999</v>
      </c>
      <c r="AO192" s="41"/>
      <c r="AP192" s="42"/>
      <c r="AQ192" s="42"/>
      <c r="AS192" s="43">
        <f t="shared" si="32"/>
        <v>1.7968236869481125E-3</v>
      </c>
      <c r="AT192" s="43"/>
      <c r="AV192" s="44"/>
      <c r="AW192" s="44"/>
      <c r="AX192" s="44"/>
      <c r="AY192" s="45"/>
      <c r="BA192" s="44"/>
      <c r="BB192" s="44"/>
      <c r="BC192" s="44"/>
      <c r="BD192" s="45"/>
    </row>
    <row r="193" spans="1:56" outlineLevel="1" x14ac:dyDescent="0.15">
      <c r="A193" s="16"/>
      <c r="B193" s="16" t="s">
        <v>324</v>
      </c>
      <c r="C193" s="17" t="s">
        <v>227</v>
      </c>
      <c r="D193" s="16">
        <v>5001077</v>
      </c>
      <c r="E193" s="18">
        <v>20</v>
      </c>
      <c r="F193" s="17">
        <v>1</v>
      </c>
      <c r="G193" s="17"/>
      <c r="I193" s="19" t="str">
        <f t="shared" si="22"/>
        <v>·</v>
      </c>
      <c r="J193" s="20">
        <f t="shared" si="23"/>
        <v>27.28632572543874</v>
      </c>
      <c r="K193" s="20">
        <f t="shared" si="24"/>
        <v>27.063079412694506</v>
      </c>
      <c r="L193" s="20">
        <f t="shared" si="25"/>
        <v>0.22304315650408901</v>
      </c>
      <c r="M193" s="21"/>
      <c r="N193" s="20">
        <f t="shared" si="26"/>
        <v>27.28632572543874</v>
      </c>
      <c r="O193" s="22">
        <v>5001077</v>
      </c>
      <c r="P193" s="23">
        <v>136461016</v>
      </c>
      <c r="Q193" s="23">
        <v>135344544</v>
      </c>
      <c r="R193" s="23">
        <v>1115456</v>
      </c>
      <c r="S193" s="24"/>
      <c r="T193" s="25">
        <v>30.949400000000001</v>
      </c>
      <c r="U193" s="25">
        <v>41.1646</v>
      </c>
      <c r="V193" s="25">
        <v>42.366999999999997</v>
      </c>
      <c r="W193" s="26"/>
      <c r="X193" s="27"/>
      <c r="Y193" s="27"/>
      <c r="AA193" s="19" t="str">
        <f t="shared" si="27"/>
        <v>·</v>
      </c>
      <c r="AB193" s="20">
        <f t="shared" si="28"/>
        <v>27.178857674057006</v>
      </c>
      <c r="AC193" s="20">
        <f t="shared" si="29"/>
        <v>27.063079412694506</v>
      </c>
      <c r="AD193" s="20">
        <f t="shared" si="30"/>
        <v>0.11557670477779086</v>
      </c>
      <c r="AE193" s="21"/>
      <c r="AF193" s="20">
        <f t="shared" si="31"/>
        <v>27.178857674057006</v>
      </c>
      <c r="AG193" s="22">
        <v>5001077</v>
      </c>
      <c r="AH193" s="23">
        <v>135923560</v>
      </c>
      <c r="AI193" s="23">
        <v>135344544</v>
      </c>
      <c r="AJ193" s="23">
        <v>578008</v>
      </c>
      <c r="AK193" s="24"/>
      <c r="AL193" s="25">
        <v>29.539100000000001</v>
      </c>
      <c r="AM193" s="25">
        <v>40.120399999999997</v>
      </c>
      <c r="AN193" s="25">
        <v>41.776000000000003</v>
      </c>
      <c r="AO193" s="26"/>
      <c r="AP193" s="27"/>
      <c r="AQ193" s="27"/>
      <c r="AS193" s="28">
        <f t="shared" si="32"/>
        <v>3.9217538147269249E-3</v>
      </c>
      <c r="AT193" s="28"/>
      <c r="AV193" s="29"/>
      <c r="AW193" s="29"/>
      <c r="AX193" s="29"/>
      <c r="AY193" s="30"/>
      <c r="BA193" s="29"/>
      <c r="BB193" s="29"/>
      <c r="BC193" s="29"/>
      <c r="BD193" s="30"/>
    </row>
    <row r="194" spans="1:56" outlineLevel="1" x14ac:dyDescent="0.15">
      <c r="A194" s="31"/>
      <c r="B194" s="31" t="s">
        <v>324</v>
      </c>
      <c r="C194" s="32" t="s">
        <v>228</v>
      </c>
      <c r="D194" s="31">
        <v>5001077</v>
      </c>
      <c r="E194" s="33">
        <v>20</v>
      </c>
      <c r="F194" s="32">
        <v>1</v>
      </c>
      <c r="G194" s="32"/>
      <c r="I194" s="34" t="str">
        <f t="shared" si="22"/>
        <v>·</v>
      </c>
      <c r="J194" s="35">
        <f t="shared" si="23"/>
        <v>27.605559362513315</v>
      </c>
      <c r="K194" s="35">
        <f t="shared" si="24"/>
        <v>27.063079412694506</v>
      </c>
      <c r="L194" s="35">
        <f t="shared" si="25"/>
        <v>0.54227679357866321</v>
      </c>
      <c r="M194" s="36"/>
      <c r="N194" s="35">
        <f t="shared" si="26"/>
        <v>27.605559362513315</v>
      </c>
      <c r="O194" s="37">
        <v>5001077</v>
      </c>
      <c r="P194" s="38">
        <v>138057528</v>
      </c>
      <c r="Q194" s="38">
        <v>135344544</v>
      </c>
      <c r="R194" s="38">
        <v>2711968</v>
      </c>
      <c r="S194" s="39"/>
      <c r="T194" s="40">
        <v>33.981699999999996</v>
      </c>
      <c r="U194" s="40">
        <v>42.548099999999998</v>
      </c>
      <c r="V194" s="40">
        <v>43.432000000000002</v>
      </c>
      <c r="W194" s="41"/>
      <c r="X194" s="42"/>
      <c r="Y194" s="42"/>
      <c r="AA194" s="34" t="str">
        <f t="shared" si="27"/>
        <v>·</v>
      </c>
      <c r="AB194" s="35">
        <f t="shared" si="28"/>
        <v>27.403302128721474</v>
      </c>
      <c r="AC194" s="35">
        <f t="shared" si="29"/>
        <v>27.063079412694506</v>
      </c>
      <c r="AD194" s="35">
        <f t="shared" si="30"/>
        <v>0.34002115944225614</v>
      </c>
      <c r="AE194" s="36"/>
      <c r="AF194" s="35">
        <f t="shared" si="31"/>
        <v>27.403302128721474</v>
      </c>
      <c r="AG194" s="37">
        <v>5001077</v>
      </c>
      <c r="AH194" s="38">
        <v>137046024</v>
      </c>
      <c r="AI194" s="38">
        <v>135344544</v>
      </c>
      <c r="AJ194" s="38">
        <v>1700472</v>
      </c>
      <c r="AK194" s="39"/>
      <c r="AL194" s="40">
        <v>32.606099999999998</v>
      </c>
      <c r="AM194" s="40">
        <v>41.3536</v>
      </c>
      <c r="AN194" s="40">
        <v>42.585500000000003</v>
      </c>
      <c r="AO194" s="41"/>
      <c r="AP194" s="42"/>
      <c r="AQ194" s="42"/>
      <c r="AS194" s="43">
        <f t="shared" si="32"/>
        <v>7.2357211998053117E-3</v>
      </c>
      <c r="AT194" s="43"/>
      <c r="AV194" s="44"/>
      <c r="AW194" s="44"/>
      <c r="AX194" s="44"/>
      <c r="AY194" s="45"/>
      <c r="BA194" s="44"/>
      <c r="BB194" s="44"/>
      <c r="BC194" s="44"/>
      <c r="BD194" s="45"/>
    </row>
    <row r="195" spans="1:56" outlineLevel="1" x14ac:dyDescent="0.15">
      <c r="A195" s="16"/>
      <c r="B195" s="16" t="s">
        <v>324</v>
      </c>
      <c r="C195" s="17" t="s">
        <v>229</v>
      </c>
      <c r="D195" s="16">
        <v>5001077</v>
      </c>
      <c r="E195" s="18">
        <v>20</v>
      </c>
      <c r="F195" s="17">
        <v>1</v>
      </c>
      <c r="G195" s="17"/>
      <c r="I195" s="19" t="str">
        <f t="shared" si="22"/>
        <v>·</v>
      </c>
      <c r="J195" s="20">
        <f t="shared" si="23"/>
        <v>28.206684280206044</v>
      </c>
      <c r="K195" s="20">
        <f t="shared" si="24"/>
        <v>27.063079412694506</v>
      </c>
      <c r="L195" s="20">
        <f t="shared" si="25"/>
        <v>1.1434017112713921</v>
      </c>
      <c r="M195" s="21"/>
      <c r="N195" s="20">
        <f t="shared" si="26"/>
        <v>28.206684280206044</v>
      </c>
      <c r="O195" s="22">
        <v>5001077</v>
      </c>
      <c r="P195" s="23">
        <v>141063800</v>
      </c>
      <c r="Q195" s="23">
        <v>135344544</v>
      </c>
      <c r="R195" s="23">
        <v>5718240</v>
      </c>
      <c r="S195" s="24"/>
      <c r="T195" s="25">
        <v>37.929400000000001</v>
      </c>
      <c r="U195" s="25">
        <v>44.342700000000001</v>
      </c>
      <c r="V195" s="25">
        <v>44.956699999999998</v>
      </c>
      <c r="W195" s="26"/>
      <c r="X195" s="27"/>
      <c r="Y195" s="27"/>
      <c r="AA195" s="19" t="str">
        <f t="shared" si="27"/>
        <v>·</v>
      </c>
      <c r="AB195" s="20">
        <f t="shared" si="28"/>
        <v>27.878751716880185</v>
      </c>
      <c r="AC195" s="20">
        <f t="shared" si="29"/>
        <v>27.063079412694506</v>
      </c>
      <c r="AD195" s="20">
        <f t="shared" si="30"/>
        <v>0.81547074760096672</v>
      </c>
      <c r="AE195" s="21"/>
      <c r="AF195" s="20">
        <f t="shared" si="31"/>
        <v>27.878751716880185</v>
      </c>
      <c r="AG195" s="22">
        <v>5001077</v>
      </c>
      <c r="AH195" s="23">
        <v>139423784</v>
      </c>
      <c r="AI195" s="23">
        <v>135344544</v>
      </c>
      <c r="AJ195" s="23">
        <v>4078232</v>
      </c>
      <c r="AK195" s="24"/>
      <c r="AL195" s="25">
        <v>36.702599999999997</v>
      </c>
      <c r="AM195" s="25">
        <v>43.108199999999997</v>
      </c>
      <c r="AN195" s="25">
        <v>43.948599999999999</v>
      </c>
      <c r="AO195" s="26"/>
      <c r="AP195" s="27"/>
      <c r="AQ195" s="27"/>
      <c r="AS195" s="28">
        <f t="shared" si="32"/>
        <v>1.1285905099261528E-2</v>
      </c>
      <c r="AT195" s="28"/>
      <c r="AV195" s="29"/>
      <c r="AW195" s="29"/>
      <c r="AX195" s="29"/>
      <c r="AY195" s="30"/>
      <c r="BA195" s="29"/>
      <c r="BB195" s="29"/>
      <c r="BC195" s="29"/>
      <c r="BD195" s="30"/>
    </row>
    <row r="196" spans="1:56" outlineLevel="1" x14ac:dyDescent="0.15">
      <c r="A196" s="31"/>
      <c r="B196" s="46" t="s">
        <v>324</v>
      </c>
      <c r="C196" s="47" t="s">
        <v>230</v>
      </c>
      <c r="D196" s="46">
        <v>5001077</v>
      </c>
      <c r="E196" s="48">
        <v>20</v>
      </c>
      <c r="F196" s="47">
        <v>1</v>
      </c>
      <c r="G196" s="47"/>
      <c r="I196" s="49" t="str">
        <f t="shared" si="22"/>
        <v>·</v>
      </c>
      <c r="J196" s="50">
        <f t="shared" si="23"/>
        <v>29.224597821629221</v>
      </c>
      <c r="K196" s="50">
        <f t="shared" si="24"/>
        <v>27.063079412694506</v>
      </c>
      <c r="L196" s="50">
        <f t="shared" si="25"/>
        <v>2.1613152526945698</v>
      </c>
      <c r="M196" s="51"/>
      <c r="N196" s="50">
        <f t="shared" si="26"/>
        <v>29.224597821629221</v>
      </c>
      <c r="O196" s="52">
        <v>5001077</v>
      </c>
      <c r="P196" s="53">
        <v>146154464</v>
      </c>
      <c r="Q196" s="53">
        <v>135344544</v>
      </c>
      <c r="R196" s="53">
        <v>10808904</v>
      </c>
      <c r="S196" s="54"/>
      <c r="T196" s="55">
        <v>42.325299999999999</v>
      </c>
      <c r="U196" s="55">
        <v>46.555799999999998</v>
      </c>
      <c r="V196" s="55">
        <v>46.9773</v>
      </c>
      <c r="W196" s="56"/>
      <c r="X196" s="57"/>
      <c r="Y196" s="57"/>
      <c r="AA196" s="49" t="str">
        <f t="shared" si="27"/>
        <v>·</v>
      </c>
      <c r="AB196" s="50">
        <f t="shared" si="28"/>
        <v>28.6505022818085</v>
      </c>
      <c r="AC196" s="50">
        <f t="shared" si="29"/>
        <v>27.063079412694506</v>
      </c>
      <c r="AD196" s="50">
        <f t="shared" si="30"/>
        <v>1.5872213125292811</v>
      </c>
      <c r="AE196" s="51"/>
      <c r="AF196" s="50">
        <f t="shared" si="31"/>
        <v>28.6505022818085</v>
      </c>
      <c r="AG196" s="52">
        <v>5001077</v>
      </c>
      <c r="AH196" s="53">
        <v>143283368</v>
      </c>
      <c r="AI196" s="53">
        <v>135344544</v>
      </c>
      <c r="AJ196" s="53">
        <v>7937816</v>
      </c>
      <c r="AK196" s="54"/>
      <c r="AL196" s="55">
        <v>40.880299999999998</v>
      </c>
      <c r="AM196" s="55">
        <v>45.216299999999997</v>
      </c>
      <c r="AN196" s="55">
        <v>45.827399999999997</v>
      </c>
      <c r="AO196" s="56"/>
      <c r="AP196" s="57"/>
      <c r="AQ196" s="57"/>
      <c r="AS196" s="58">
        <f t="shared" si="32"/>
        <v>1.8555839240616545E-2</v>
      </c>
      <c r="AT196" s="58"/>
      <c r="AV196" s="59"/>
      <c r="AW196" s="59"/>
      <c r="AX196" s="59"/>
      <c r="AY196" s="60"/>
      <c r="BA196" s="59"/>
      <c r="BB196" s="59"/>
      <c r="BC196" s="59"/>
      <c r="BD196" s="60"/>
    </row>
    <row r="197" spans="1:56" collapsed="1" x14ac:dyDescent="0.15">
      <c r="A197" s="16"/>
      <c r="B197" s="16" t="s">
        <v>327</v>
      </c>
      <c r="C197" s="17" t="s">
        <v>225</v>
      </c>
      <c r="D197" s="16">
        <v>71948094</v>
      </c>
      <c r="E197" s="18">
        <v>14</v>
      </c>
      <c r="F197" s="17">
        <v>1</v>
      </c>
      <c r="G197" s="17"/>
      <c r="I197" s="19" t="str">
        <f t="shared" ref="I197:I260" si="33">IF(OR(ISBLANK(P197),ISBLANK(G197)),"·",P197*G197/F197/1000000)</f>
        <v>·</v>
      </c>
      <c r="J197" s="20">
        <f t="shared" ref="J197:J260" si="34">IF(ISBLANK(P197),"·",P197/D197)</f>
        <v>4.0518840707580104</v>
      </c>
      <c r="K197" s="20">
        <f t="shared" ref="K197:K260" si="35">IF(Q197="","·",Q197/D197)</f>
        <v>4.0031617237838155</v>
      </c>
      <c r="L197" s="20">
        <f t="shared" ref="L197:L260" si="36">IF(ISBLANK(R197),"·",R197/D197)</f>
        <v>4.8622830786872545E-2</v>
      </c>
      <c r="M197" s="21"/>
      <c r="N197" s="20">
        <f t="shared" ref="N197:N260" si="37">IF(ISBLANK(P197),"·",P197/O197)</f>
        <v>4.0518840707580104</v>
      </c>
      <c r="O197" s="22">
        <v>71948094</v>
      </c>
      <c r="P197" s="23">
        <v>291525336</v>
      </c>
      <c r="Q197" s="23">
        <v>288019856</v>
      </c>
      <c r="R197" s="23">
        <v>3498320</v>
      </c>
      <c r="S197" s="24"/>
      <c r="T197" s="25">
        <v>25.220500000000001</v>
      </c>
      <c r="U197" s="25">
        <v>37.720799999999997</v>
      </c>
      <c r="V197" s="25">
        <v>38.934600000000003</v>
      </c>
      <c r="W197" s="26"/>
      <c r="X197" s="27"/>
      <c r="Y197" s="27"/>
      <c r="AA197" s="19" t="str">
        <f t="shared" ref="AA197:AA260" si="38">IF(OR(ISBLANK(AH197),ISBLANK(G197)),"·",AH197*G197/F197/1000000)</f>
        <v>·</v>
      </c>
      <c r="AB197" s="20">
        <f t="shared" ref="AB197:AB260" si="39">IF(ISBLANK(AH197),"·",AH197/D197)</f>
        <v>4.0190853144768504</v>
      </c>
      <c r="AC197" s="20">
        <f t="shared" ref="AC197:AC260" si="40">IF(AI197="","·",AI197/D197)</f>
        <v>4.0031617237838155</v>
      </c>
      <c r="AD197" s="20">
        <f t="shared" ref="AD197:AD260" si="41">IF(ISBLANK(AJ197),"·",AJ197/D197)</f>
        <v>1.582418569698316E-2</v>
      </c>
      <c r="AE197" s="21"/>
      <c r="AF197" s="20">
        <f t="shared" ref="AF197:AF260" si="42">IF(ISBLANK(AH197),"·",AH197/AG197)</f>
        <v>4.0190853144768504</v>
      </c>
      <c r="AG197" s="22">
        <v>71948094</v>
      </c>
      <c r="AH197" s="23">
        <v>289165528</v>
      </c>
      <c r="AI197" s="23">
        <v>288019856</v>
      </c>
      <c r="AJ197" s="23">
        <v>1138520</v>
      </c>
      <c r="AK197" s="24"/>
      <c r="AL197" s="25">
        <v>23.852</v>
      </c>
      <c r="AM197" s="25">
        <v>37.514099999999999</v>
      </c>
      <c r="AN197" s="25">
        <v>37.822499999999998</v>
      </c>
      <c r="AO197" s="26"/>
      <c r="AP197" s="27"/>
      <c r="AQ197" s="27"/>
      <c r="AS197" s="28">
        <f t="shared" ref="AS197:AS260" si="43">(AI197/AH197) - (Q197/P197)</f>
        <v>8.0626215471453211E-3</v>
      </c>
      <c r="AT197" s="28">
        <f t="array" ref="AT197">AVERAGE(AI197:AI202/AH197:AH202) - AVERAGE(Q197:Q202/P197:P202)</f>
        <v>4.420553724404086E-2</v>
      </c>
      <c r="AV197" s="29">
        <f>IF( OR(ISBLANK(R197:R202),ISBLANK(AJ197:AJ202), ISBLANK(T197:T202),ISBLANK(AL197:AL202)), "·", bdRateExtend( R197:R202,T197:T202, AJ197:AJ202,AL197:AL202))</f>
        <v>-0.11717052002985018</v>
      </c>
      <c r="AW197" s="29">
        <f>IF( OR(ISBLANK(R197:R202),ISBLANK(AJ197:AJ202), ISBLANK(U197:U202),ISBLANK(AM197:AM202)), "·", bdRateExtend( R197:R202,U197:U202, AJ197:AJ202,AM197:AM202))</f>
        <v>0.10721576396429344</v>
      </c>
      <c r="AX197" s="29">
        <f>IF( OR(ISBLANK(R197:R202),ISBLANK(AJ197:AJ202), ISBLANK(V197:V202),ISBLANK(AN197:AN202)), "·", bdRateExtend( R197:R202,V197:V202, AJ197:AJ202,AN197:AN202))</f>
        <v>0.28474559941539668</v>
      </c>
      <c r="AY197" s="30"/>
      <c r="BA197" s="29">
        <f>IF( OR(ISBLANK(P197:P202),ISBLANK(AH197:AH202), ISBLANK(T197:T202),ISBLANK(AL197:AL202)), "·", bdRateExtend( P197:P202,T197:T202, AH197:AH202,AL197:AL202))</f>
        <v>-2.5270566368108649E-2</v>
      </c>
      <c r="BB197" s="29">
        <f>IF( OR(ISBLANK(P197:P202),ISBLANK(AH197:AH202), ISBLANK(U197:U202),ISBLANK(AM197:AM202)), "·", bdRateExtend( P197:P202,U197:U202, AH197:AH202,AM197:AM202))</f>
        <v>2.1765051063074248E-2</v>
      </c>
      <c r="BC197" s="29">
        <f>IF( OR(ISBLANK(P197:P202),ISBLANK(AH197:AH202), ISBLANK(V197:V202),ISBLANK(AN197:AN202)), "·", bdRateExtend( P197:P202,V197:V202, AH197:AH202,AN197:AN202))</f>
        <v>3.5615540473707075E-2</v>
      </c>
      <c r="BD197" s="30"/>
    </row>
    <row r="198" spans="1:56" outlineLevel="1" x14ac:dyDescent="0.15">
      <c r="A198" s="31"/>
      <c r="B198" s="31" t="s">
        <v>327</v>
      </c>
      <c r="C198" s="32" t="s">
        <v>226</v>
      </c>
      <c r="D198" s="31">
        <v>71948094</v>
      </c>
      <c r="E198" s="33">
        <v>14</v>
      </c>
      <c r="F198" s="32">
        <v>1</v>
      </c>
      <c r="G198" s="32"/>
      <c r="I198" s="34" t="str">
        <f t="shared" si="33"/>
        <v>·</v>
      </c>
      <c r="J198" s="35">
        <f t="shared" si="34"/>
        <v>4.1244502738321325</v>
      </c>
      <c r="K198" s="35">
        <f t="shared" si="35"/>
        <v>4.0031617237838155</v>
      </c>
      <c r="L198" s="35">
        <f t="shared" si="36"/>
        <v>0.12118903386099429</v>
      </c>
      <c r="M198" s="36"/>
      <c r="N198" s="35">
        <f t="shared" si="37"/>
        <v>4.1244502738321325</v>
      </c>
      <c r="O198" s="37">
        <v>71948094</v>
      </c>
      <c r="P198" s="38">
        <v>296746336</v>
      </c>
      <c r="Q198" s="38">
        <v>288019856</v>
      </c>
      <c r="R198" s="38">
        <v>8719320</v>
      </c>
      <c r="S198" s="39"/>
      <c r="T198" s="40">
        <v>26.768599999999999</v>
      </c>
      <c r="U198" s="40">
        <v>39.447000000000003</v>
      </c>
      <c r="V198" s="40">
        <v>40.231099999999998</v>
      </c>
      <c r="W198" s="41"/>
      <c r="X198" s="42"/>
      <c r="Y198" s="42"/>
      <c r="AA198" s="34" t="str">
        <f t="shared" si="38"/>
        <v>·</v>
      </c>
      <c r="AB198" s="35">
        <f t="shared" si="39"/>
        <v>4.0508990272904244</v>
      </c>
      <c r="AC198" s="35">
        <f t="shared" si="40"/>
        <v>4.0031617237838155</v>
      </c>
      <c r="AD198" s="35">
        <f t="shared" si="41"/>
        <v>4.7637898510556789E-2</v>
      </c>
      <c r="AE198" s="36"/>
      <c r="AF198" s="35">
        <f t="shared" si="42"/>
        <v>4.0508990272904244</v>
      </c>
      <c r="AG198" s="37">
        <v>71948094</v>
      </c>
      <c r="AH198" s="38">
        <v>291454464</v>
      </c>
      <c r="AI198" s="38">
        <v>288019856</v>
      </c>
      <c r="AJ198" s="38">
        <v>3427456</v>
      </c>
      <c r="AK198" s="39"/>
      <c r="AL198" s="40">
        <v>25.297799999999999</v>
      </c>
      <c r="AM198" s="40">
        <v>38.338299999999997</v>
      </c>
      <c r="AN198" s="40">
        <v>38.856299999999997</v>
      </c>
      <c r="AO198" s="41"/>
      <c r="AP198" s="42"/>
      <c r="AQ198" s="42"/>
      <c r="AS198" s="43">
        <f t="shared" si="43"/>
        <v>1.7622831267561923E-2</v>
      </c>
      <c r="AT198" s="43"/>
      <c r="AV198" s="44"/>
      <c r="AW198" s="44"/>
      <c r="AX198" s="44"/>
      <c r="AY198" s="45"/>
      <c r="BA198" s="44"/>
      <c r="BB198" s="44"/>
      <c r="BC198" s="44"/>
      <c r="BD198" s="45"/>
    </row>
    <row r="199" spans="1:56" outlineLevel="1" x14ac:dyDescent="0.15">
      <c r="A199" s="16"/>
      <c r="B199" s="16" t="s">
        <v>327</v>
      </c>
      <c r="C199" s="17" t="s">
        <v>227</v>
      </c>
      <c r="D199" s="16">
        <v>71948094</v>
      </c>
      <c r="E199" s="18">
        <v>14</v>
      </c>
      <c r="F199" s="17">
        <v>1</v>
      </c>
      <c r="G199" s="17"/>
      <c r="I199" s="19" t="str">
        <f t="shared" si="33"/>
        <v>·</v>
      </c>
      <c r="J199" s="20">
        <f t="shared" si="34"/>
        <v>4.3360846223389879</v>
      </c>
      <c r="K199" s="20">
        <f t="shared" si="35"/>
        <v>4.0031617237838155</v>
      </c>
      <c r="L199" s="20">
        <f t="shared" si="36"/>
        <v>0.33282338236784981</v>
      </c>
      <c r="M199" s="21"/>
      <c r="N199" s="20">
        <f t="shared" si="37"/>
        <v>4.3360846223389879</v>
      </c>
      <c r="O199" s="22">
        <v>71948094</v>
      </c>
      <c r="P199" s="23">
        <v>311973024</v>
      </c>
      <c r="Q199" s="23">
        <v>288019856</v>
      </c>
      <c r="R199" s="23">
        <v>23946008</v>
      </c>
      <c r="S199" s="24"/>
      <c r="T199" s="25">
        <v>28.947500000000002</v>
      </c>
      <c r="U199" s="25">
        <v>40.892600000000002</v>
      </c>
      <c r="V199" s="25">
        <v>41.8429</v>
      </c>
      <c r="W199" s="26"/>
      <c r="X199" s="27"/>
      <c r="Y199" s="27"/>
      <c r="AA199" s="19" t="str">
        <f t="shared" si="38"/>
        <v>·</v>
      </c>
      <c r="AB199" s="20">
        <f t="shared" si="39"/>
        <v>4.1661880299428082</v>
      </c>
      <c r="AC199" s="20">
        <f t="shared" si="40"/>
        <v>4.0031617237838155</v>
      </c>
      <c r="AD199" s="20">
        <f t="shared" si="41"/>
        <v>0.16292690116294117</v>
      </c>
      <c r="AE199" s="21"/>
      <c r="AF199" s="20">
        <f t="shared" si="42"/>
        <v>4.1661880299428082</v>
      </c>
      <c r="AG199" s="22">
        <v>71948094</v>
      </c>
      <c r="AH199" s="23">
        <v>299749288</v>
      </c>
      <c r="AI199" s="23">
        <v>288019856</v>
      </c>
      <c r="AJ199" s="23">
        <v>11722280</v>
      </c>
      <c r="AK199" s="24"/>
      <c r="AL199" s="25">
        <v>27.504200000000001</v>
      </c>
      <c r="AM199" s="25">
        <v>39.574399999999997</v>
      </c>
      <c r="AN199" s="25">
        <v>40.316000000000003</v>
      </c>
      <c r="AO199" s="26"/>
      <c r="AP199" s="27"/>
      <c r="AQ199" s="27"/>
      <c r="AS199" s="28">
        <f t="shared" si="43"/>
        <v>3.7648804298184069E-2</v>
      </c>
      <c r="AT199" s="28"/>
      <c r="AV199" s="29"/>
      <c r="AW199" s="29"/>
      <c r="AX199" s="29"/>
      <c r="AY199" s="30"/>
      <c r="BA199" s="29"/>
      <c r="BB199" s="29"/>
      <c r="BC199" s="29"/>
      <c r="BD199" s="30"/>
    </row>
    <row r="200" spans="1:56" outlineLevel="1" x14ac:dyDescent="0.15">
      <c r="A200" s="31"/>
      <c r="B200" s="31" t="s">
        <v>327</v>
      </c>
      <c r="C200" s="32" t="s">
        <v>228</v>
      </c>
      <c r="D200" s="31">
        <v>71948094</v>
      </c>
      <c r="E200" s="33">
        <v>14</v>
      </c>
      <c r="F200" s="32">
        <v>1</v>
      </c>
      <c r="G200" s="32"/>
      <c r="I200" s="34" t="str">
        <f t="shared" si="33"/>
        <v>·</v>
      </c>
      <c r="J200" s="35">
        <f t="shared" si="34"/>
        <v>4.8196559036018387</v>
      </c>
      <c r="K200" s="35">
        <f t="shared" si="35"/>
        <v>4.0031617237838155</v>
      </c>
      <c r="L200" s="35">
        <f t="shared" si="36"/>
        <v>0.81639466363070023</v>
      </c>
      <c r="M200" s="36"/>
      <c r="N200" s="35">
        <f t="shared" si="37"/>
        <v>4.8196559036018387</v>
      </c>
      <c r="O200" s="37">
        <v>71948094</v>
      </c>
      <c r="P200" s="38">
        <v>346765056</v>
      </c>
      <c r="Q200" s="38">
        <v>288019856</v>
      </c>
      <c r="R200" s="38">
        <v>58738040</v>
      </c>
      <c r="S200" s="39"/>
      <c r="T200" s="40">
        <v>31.877800000000001</v>
      </c>
      <c r="U200" s="40">
        <v>42.614899999999999</v>
      </c>
      <c r="V200" s="40">
        <v>43.615400000000001</v>
      </c>
      <c r="W200" s="41"/>
      <c r="X200" s="42"/>
      <c r="Y200" s="42"/>
      <c r="AA200" s="34" t="str">
        <f t="shared" si="38"/>
        <v>·</v>
      </c>
      <c r="AB200" s="35">
        <f t="shared" si="39"/>
        <v>4.4845921283196191</v>
      </c>
      <c r="AC200" s="35">
        <f t="shared" si="40"/>
        <v>4.0031617237838155</v>
      </c>
      <c r="AD200" s="35">
        <f t="shared" si="41"/>
        <v>0.48133099953975156</v>
      </c>
      <c r="AE200" s="36"/>
      <c r="AF200" s="35">
        <f t="shared" si="42"/>
        <v>4.4845921283196191</v>
      </c>
      <c r="AG200" s="37">
        <v>71948094</v>
      </c>
      <c r="AH200" s="38">
        <v>322657856</v>
      </c>
      <c r="AI200" s="38">
        <v>288019856</v>
      </c>
      <c r="AJ200" s="38">
        <v>34630848</v>
      </c>
      <c r="AK200" s="39"/>
      <c r="AL200" s="40">
        <v>30.417100000000001</v>
      </c>
      <c r="AM200" s="40">
        <v>41.107100000000003</v>
      </c>
      <c r="AN200" s="40">
        <v>41.935499999999998</v>
      </c>
      <c r="AO200" s="41"/>
      <c r="AP200" s="42"/>
      <c r="AQ200" s="42"/>
      <c r="AS200" s="43">
        <f t="shared" si="43"/>
        <v>6.2057121860233266E-2</v>
      </c>
      <c r="AT200" s="43"/>
      <c r="AV200" s="44"/>
      <c r="AW200" s="44"/>
      <c r="AX200" s="44"/>
      <c r="AY200" s="45"/>
      <c r="BA200" s="44"/>
      <c r="BB200" s="44"/>
      <c r="BC200" s="44"/>
      <c r="BD200" s="45"/>
    </row>
    <row r="201" spans="1:56" outlineLevel="1" x14ac:dyDescent="0.15">
      <c r="A201" s="16"/>
      <c r="B201" s="16" t="s">
        <v>327</v>
      </c>
      <c r="C201" s="17" t="s">
        <v>229</v>
      </c>
      <c r="D201" s="16">
        <v>71948094</v>
      </c>
      <c r="E201" s="18">
        <v>14</v>
      </c>
      <c r="F201" s="17">
        <v>1</v>
      </c>
      <c r="G201" s="17"/>
      <c r="I201" s="19" t="str">
        <f t="shared" si="33"/>
        <v>·</v>
      </c>
      <c r="J201" s="20">
        <f t="shared" si="34"/>
        <v>5.7545462149421223</v>
      </c>
      <c r="K201" s="20">
        <f t="shared" si="35"/>
        <v>4.0031617237838155</v>
      </c>
      <c r="L201" s="20">
        <f t="shared" si="36"/>
        <v>1.751284974970984</v>
      </c>
      <c r="M201" s="21"/>
      <c r="N201" s="20">
        <f t="shared" si="37"/>
        <v>5.7545462149421223</v>
      </c>
      <c r="O201" s="22">
        <v>71948094</v>
      </c>
      <c r="P201" s="23">
        <v>414028632</v>
      </c>
      <c r="Q201" s="23">
        <v>288019856</v>
      </c>
      <c r="R201" s="23">
        <v>126001616</v>
      </c>
      <c r="S201" s="24"/>
      <c r="T201" s="25">
        <v>36.005800000000001</v>
      </c>
      <c r="U201" s="25">
        <v>44.638199999999998</v>
      </c>
      <c r="V201" s="25">
        <v>45.563400000000001</v>
      </c>
      <c r="W201" s="26"/>
      <c r="X201" s="27"/>
      <c r="Y201" s="27"/>
      <c r="AA201" s="19" t="str">
        <f t="shared" si="38"/>
        <v>·</v>
      </c>
      <c r="AB201" s="20">
        <f t="shared" si="39"/>
        <v>5.2311064140211974</v>
      </c>
      <c r="AC201" s="20">
        <f t="shared" si="40"/>
        <v>4.0031617237838155</v>
      </c>
      <c r="AD201" s="20">
        <f t="shared" si="41"/>
        <v>1.2278452852413297</v>
      </c>
      <c r="AE201" s="21"/>
      <c r="AF201" s="20">
        <f t="shared" si="42"/>
        <v>5.2311064140211974</v>
      </c>
      <c r="AG201" s="22">
        <v>71948094</v>
      </c>
      <c r="AH201" s="23">
        <v>376368136</v>
      </c>
      <c r="AI201" s="23">
        <v>288019856</v>
      </c>
      <c r="AJ201" s="23">
        <v>88341128</v>
      </c>
      <c r="AK201" s="24"/>
      <c r="AL201" s="25">
        <v>34.660200000000003</v>
      </c>
      <c r="AM201" s="25">
        <v>43.116300000000003</v>
      </c>
      <c r="AN201" s="25">
        <v>43.8795</v>
      </c>
      <c r="AO201" s="26"/>
      <c r="AP201" s="27"/>
      <c r="AQ201" s="27"/>
      <c r="AS201" s="28">
        <f t="shared" si="43"/>
        <v>6.9608975296903242E-2</v>
      </c>
      <c r="AT201" s="28"/>
      <c r="AV201" s="29"/>
      <c r="AW201" s="29"/>
      <c r="AX201" s="29"/>
      <c r="AY201" s="30"/>
      <c r="BA201" s="29"/>
      <c r="BB201" s="29"/>
      <c r="BC201" s="29"/>
      <c r="BD201" s="30"/>
    </row>
    <row r="202" spans="1:56" outlineLevel="1" x14ac:dyDescent="0.15">
      <c r="A202" s="31"/>
      <c r="B202" s="46" t="s">
        <v>327</v>
      </c>
      <c r="C202" s="47" t="s">
        <v>230</v>
      </c>
      <c r="D202" s="46">
        <v>71948094</v>
      </c>
      <c r="E202" s="48">
        <v>14</v>
      </c>
      <c r="F202" s="47">
        <v>1</v>
      </c>
      <c r="G202" s="47"/>
      <c r="I202" s="49" t="str">
        <f t="shared" si="33"/>
        <v>·</v>
      </c>
      <c r="J202" s="50">
        <f t="shared" si="34"/>
        <v>7.1125573389060177</v>
      </c>
      <c r="K202" s="50">
        <f t="shared" si="35"/>
        <v>4.0031617237838155</v>
      </c>
      <c r="L202" s="50">
        <f t="shared" si="36"/>
        <v>3.1092960989348795</v>
      </c>
      <c r="M202" s="51"/>
      <c r="N202" s="50">
        <f t="shared" si="37"/>
        <v>7.1125573389060177</v>
      </c>
      <c r="O202" s="52">
        <v>71948094</v>
      </c>
      <c r="P202" s="53">
        <v>511734944</v>
      </c>
      <c r="Q202" s="53">
        <v>288019856</v>
      </c>
      <c r="R202" s="53">
        <v>223707928</v>
      </c>
      <c r="S202" s="54"/>
      <c r="T202" s="55">
        <v>41.2592</v>
      </c>
      <c r="U202" s="55">
        <v>47.058300000000003</v>
      </c>
      <c r="V202" s="55">
        <v>47.682899999999997</v>
      </c>
      <c r="W202" s="56"/>
      <c r="X202" s="57"/>
      <c r="Y202" s="57"/>
      <c r="AA202" s="49" t="str">
        <f t="shared" si="38"/>
        <v>·</v>
      </c>
      <c r="AB202" s="50">
        <f t="shared" si="39"/>
        <v>6.3234805914386003</v>
      </c>
      <c r="AC202" s="50">
        <f t="shared" si="40"/>
        <v>4.0031617237838155</v>
      </c>
      <c r="AD202" s="50">
        <f t="shared" si="41"/>
        <v>2.3202194626587329</v>
      </c>
      <c r="AE202" s="51"/>
      <c r="AF202" s="50">
        <f t="shared" si="42"/>
        <v>6.3234805914386003</v>
      </c>
      <c r="AG202" s="52">
        <v>71948094</v>
      </c>
      <c r="AH202" s="53">
        <v>454962376</v>
      </c>
      <c r="AI202" s="53">
        <v>288019856</v>
      </c>
      <c r="AJ202" s="53">
        <v>166935368</v>
      </c>
      <c r="AK202" s="54"/>
      <c r="AL202" s="55">
        <v>39.546700000000001</v>
      </c>
      <c r="AM202" s="55">
        <v>45.430300000000003</v>
      </c>
      <c r="AN202" s="55">
        <v>46</v>
      </c>
      <c r="AO202" s="56"/>
      <c r="AP202" s="57"/>
      <c r="AQ202" s="57"/>
      <c r="AS202" s="58">
        <f t="shared" si="43"/>
        <v>7.0232869194216896E-2</v>
      </c>
      <c r="AT202" s="58"/>
      <c r="AV202" s="59"/>
      <c r="AW202" s="59"/>
      <c r="AX202" s="59"/>
      <c r="AY202" s="60"/>
      <c r="BA202" s="59"/>
      <c r="BB202" s="59"/>
      <c r="BC202" s="59"/>
      <c r="BD202" s="60"/>
    </row>
    <row r="203" spans="1:56" collapsed="1" x14ac:dyDescent="0.15">
      <c r="A203" s="16"/>
      <c r="B203" s="16" t="s">
        <v>330</v>
      </c>
      <c r="C203" s="17" t="s">
        <v>225</v>
      </c>
      <c r="D203" s="16">
        <v>72145549</v>
      </c>
      <c r="E203" s="18">
        <v>20</v>
      </c>
      <c r="F203" s="17">
        <v>1</v>
      </c>
      <c r="G203" s="17"/>
      <c r="I203" s="19" t="str">
        <f t="shared" si="33"/>
        <v>·</v>
      </c>
      <c r="J203" s="20">
        <f t="shared" si="34"/>
        <v>20.839101577839543</v>
      </c>
      <c r="K203" s="20">
        <f t="shared" si="35"/>
        <v>20.789421451349689</v>
      </c>
      <c r="L203" s="20">
        <f t="shared" si="36"/>
        <v>4.958066089427083E-2</v>
      </c>
      <c r="M203" s="21"/>
      <c r="N203" s="20">
        <f t="shared" si="37"/>
        <v>20.839101577839543</v>
      </c>
      <c r="O203" s="22">
        <v>72145549</v>
      </c>
      <c r="P203" s="23">
        <v>1503448424</v>
      </c>
      <c r="Q203" s="23">
        <v>1499864224</v>
      </c>
      <c r="R203" s="23">
        <v>3577024</v>
      </c>
      <c r="S203" s="24"/>
      <c r="T203" s="25">
        <v>25.2974</v>
      </c>
      <c r="U203" s="25">
        <v>37.693600000000004</v>
      </c>
      <c r="V203" s="25">
        <v>38.930700000000002</v>
      </c>
      <c r="W203" s="26"/>
      <c r="X203" s="27"/>
      <c r="Y203" s="27"/>
      <c r="AA203" s="19" t="str">
        <f t="shared" si="38"/>
        <v>·</v>
      </c>
      <c r="AB203" s="20">
        <f t="shared" si="39"/>
        <v>20.805360896207194</v>
      </c>
      <c r="AC203" s="20">
        <f t="shared" si="40"/>
        <v>20.789421451349689</v>
      </c>
      <c r="AD203" s="20">
        <f t="shared" si="41"/>
        <v>1.5840090148873911E-2</v>
      </c>
      <c r="AE203" s="21"/>
      <c r="AF203" s="20">
        <f t="shared" si="42"/>
        <v>20.805360896207194</v>
      </c>
      <c r="AG203" s="22">
        <v>72145549</v>
      </c>
      <c r="AH203" s="23">
        <v>1501014184</v>
      </c>
      <c r="AI203" s="23">
        <v>1499864224</v>
      </c>
      <c r="AJ203" s="23">
        <v>1142792</v>
      </c>
      <c r="AK203" s="24"/>
      <c r="AL203" s="25">
        <v>23.8415</v>
      </c>
      <c r="AM203" s="25">
        <v>37.475499999999997</v>
      </c>
      <c r="AN203" s="25">
        <v>37.8279</v>
      </c>
      <c r="AO203" s="26"/>
      <c r="AP203" s="27"/>
      <c r="AQ203" s="27"/>
      <c r="AS203" s="28">
        <f t="shared" si="43"/>
        <v>1.617863996087765E-3</v>
      </c>
      <c r="AT203" s="28">
        <f t="array" ref="AT203">AVERAGE(AI203:AI208/AH203:AH208) - AVERAGE(Q203:Q208/P203:P208)</f>
        <v>1.2622887094308033E-2</v>
      </c>
      <c r="AV203" s="29">
        <f>IF( OR(ISBLANK(R203:R208),ISBLANK(AJ203:AJ208), ISBLANK(T203:T208),ISBLANK(AL203:AL208)), "·", bdRateExtend( R203:R208,T203:T208, AJ203:AJ208,AL203:AL208))</f>
        <v>-6.4383471407119419E-2</v>
      </c>
      <c r="AW203" s="29">
        <f>IF( OR(ISBLANK(R203:R208),ISBLANK(AJ203:AJ208), ISBLANK(U203:U208),ISBLANK(AM203:AM208)), "·", bdRateExtend( R203:R208,U203:U208, AJ203:AJ208,AM203:AM208))</f>
        <v>0.14926009279030783</v>
      </c>
      <c r="AX203" s="29">
        <f>IF( OR(ISBLANK(R203:R208),ISBLANK(AJ203:AJ208), ISBLANK(V203:V208),ISBLANK(AN203:AN208)), "·", bdRateExtend( R203:R208,V203:V208, AJ203:AJ208,AN203:AN208))</f>
        <v>0.31570216261382589</v>
      </c>
      <c r="AY203" s="30"/>
      <c r="BA203" s="29">
        <f>IF( OR(ISBLANK(P203:P208),ISBLANK(AH203:AH208), ISBLANK(T203:T208),ISBLANK(AL203:AL208)), "·", bdRateExtend( P203:P208,T203:T208, AH203:AH208,AL203:AL208))</f>
        <v>-3.9183216118263697E-3</v>
      </c>
      <c r="BB203" s="29">
        <f>IF( OR(ISBLANK(P203:P208),ISBLANK(AH203:AH208), ISBLANK(U203:U208),ISBLANK(AM203:AM208)), "·", bdRateExtend( P203:P208,U203:U208, AH203:AH208,AM203:AM208))</f>
        <v>7.0365000357250906E-3</v>
      </c>
      <c r="BC203" s="29">
        <f>IF( OR(ISBLANK(P203:P208),ISBLANK(AH203:AH208), ISBLANK(V203:V208),ISBLANK(AN203:AN208)), "·", bdRateExtend( P203:P208,V203:V208, AH203:AH208,AN203:AN208))</f>
        <v>9.72484616980962E-3</v>
      </c>
      <c r="BD203" s="30"/>
    </row>
    <row r="204" spans="1:56" outlineLevel="1" x14ac:dyDescent="0.15">
      <c r="A204" s="31"/>
      <c r="B204" s="31" t="s">
        <v>330</v>
      </c>
      <c r="C204" s="32" t="s">
        <v>226</v>
      </c>
      <c r="D204" s="31">
        <v>72145549</v>
      </c>
      <c r="E204" s="33">
        <v>20</v>
      </c>
      <c r="F204" s="32">
        <v>1</v>
      </c>
      <c r="G204" s="32"/>
      <c r="I204" s="34" t="str">
        <f t="shared" si="33"/>
        <v>·</v>
      </c>
      <c r="J204" s="35">
        <f t="shared" si="34"/>
        <v>20.914153747724615</v>
      </c>
      <c r="K204" s="35">
        <f t="shared" si="35"/>
        <v>20.789421451349689</v>
      </c>
      <c r="L204" s="35">
        <f t="shared" si="36"/>
        <v>0.1246328307793458</v>
      </c>
      <c r="M204" s="36"/>
      <c r="N204" s="35">
        <f t="shared" si="37"/>
        <v>20.914153747724615</v>
      </c>
      <c r="O204" s="37">
        <v>72145549</v>
      </c>
      <c r="P204" s="38">
        <v>1508863104</v>
      </c>
      <c r="Q204" s="38">
        <v>1499864224</v>
      </c>
      <c r="R204" s="38">
        <v>8991704</v>
      </c>
      <c r="S204" s="39"/>
      <c r="T204" s="40">
        <v>26.909400000000002</v>
      </c>
      <c r="U204" s="40">
        <v>39.445799999999998</v>
      </c>
      <c r="V204" s="40">
        <v>40.244900000000001</v>
      </c>
      <c r="W204" s="41"/>
      <c r="X204" s="42"/>
      <c r="Y204" s="42"/>
      <c r="AA204" s="34" t="str">
        <f t="shared" si="38"/>
        <v>·</v>
      </c>
      <c r="AB204" s="35">
        <f t="shared" si="39"/>
        <v>20.837320178962113</v>
      </c>
      <c r="AC204" s="35">
        <f t="shared" si="40"/>
        <v>20.789421451349689</v>
      </c>
      <c r="AD204" s="35">
        <f t="shared" si="41"/>
        <v>4.7799372903794803E-2</v>
      </c>
      <c r="AE204" s="36"/>
      <c r="AF204" s="35">
        <f t="shared" si="42"/>
        <v>20.837320178962113</v>
      </c>
      <c r="AG204" s="37">
        <v>72145549</v>
      </c>
      <c r="AH204" s="38">
        <v>1503319904</v>
      </c>
      <c r="AI204" s="38">
        <v>1499864224</v>
      </c>
      <c r="AJ204" s="38">
        <v>3448512</v>
      </c>
      <c r="AK204" s="39"/>
      <c r="AL204" s="40">
        <v>25.2881</v>
      </c>
      <c r="AM204" s="40">
        <v>38.298099999999998</v>
      </c>
      <c r="AN204" s="40">
        <v>38.860999999999997</v>
      </c>
      <c r="AO204" s="41"/>
      <c r="AP204" s="42"/>
      <c r="AQ204" s="42"/>
      <c r="AS204" s="43">
        <f t="shared" si="43"/>
        <v>3.6653145251510644E-3</v>
      </c>
      <c r="AT204" s="43"/>
      <c r="AV204" s="44"/>
      <c r="AW204" s="44"/>
      <c r="AX204" s="44"/>
      <c r="AY204" s="45"/>
      <c r="BA204" s="44"/>
      <c r="BB204" s="44"/>
      <c r="BC204" s="44"/>
      <c r="BD204" s="45"/>
    </row>
    <row r="205" spans="1:56" outlineLevel="1" x14ac:dyDescent="0.15">
      <c r="A205" s="16"/>
      <c r="B205" s="16" t="s">
        <v>330</v>
      </c>
      <c r="C205" s="17" t="s">
        <v>227</v>
      </c>
      <c r="D205" s="16">
        <v>72145549</v>
      </c>
      <c r="E205" s="18">
        <v>20</v>
      </c>
      <c r="F205" s="17">
        <v>1</v>
      </c>
      <c r="G205" s="17"/>
      <c r="I205" s="19" t="str">
        <f t="shared" si="33"/>
        <v>·</v>
      </c>
      <c r="J205" s="20">
        <f t="shared" si="34"/>
        <v>21.126257754307201</v>
      </c>
      <c r="K205" s="20">
        <f t="shared" si="35"/>
        <v>20.789421451349689</v>
      </c>
      <c r="L205" s="20">
        <f t="shared" si="36"/>
        <v>0.33673683736192789</v>
      </c>
      <c r="M205" s="21"/>
      <c r="N205" s="20">
        <f t="shared" si="37"/>
        <v>21.126257754307201</v>
      </c>
      <c r="O205" s="22">
        <v>72145549</v>
      </c>
      <c r="P205" s="23">
        <v>1524165464</v>
      </c>
      <c r="Q205" s="23">
        <v>1499864224</v>
      </c>
      <c r="R205" s="23">
        <v>24294064</v>
      </c>
      <c r="S205" s="24"/>
      <c r="T205" s="25">
        <v>29.174700000000001</v>
      </c>
      <c r="U205" s="25">
        <v>40.923999999999999</v>
      </c>
      <c r="V205" s="25">
        <v>41.8748</v>
      </c>
      <c r="W205" s="26"/>
      <c r="X205" s="27"/>
      <c r="Y205" s="27"/>
      <c r="AA205" s="19" t="str">
        <f t="shared" si="38"/>
        <v>·</v>
      </c>
      <c r="AB205" s="20">
        <f t="shared" si="39"/>
        <v>20.953056882275579</v>
      </c>
      <c r="AC205" s="20">
        <f t="shared" si="40"/>
        <v>20.789421451349689</v>
      </c>
      <c r="AD205" s="20">
        <f t="shared" si="41"/>
        <v>0.16353607621725907</v>
      </c>
      <c r="AE205" s="21"/>
      <c r="AF205" s="20">
        <f t="shared" si="42"/>
        <v>20.953056882275579</v>
      </c>
      <c r="AG205" s="22">
        <v>72145549</v>
      </c>
      <c r="AH205" s="23">
        <v>1511669792</v>
      </c>
      <c r="AI205" s="23">
        <v>1499864224</v>
      </c>
      <c r="AJ205" s="23">
        <v>11798400</v>
      </c>
      <c r="AK205" s="24"/>
      <c r="AL205" s="25">
        <v>27.495699999999999</v>
      </c>
      <c r="AM205" s="25">
        <v>39.543399999999998</v>
      </c>
      <c r="AN205" s="25">
        <v>40.3142</v>
      </c>
      <c r="AO205" s="26"/>
      <c r="AP205" s="27"/>
      <c r="AQ205" s="27"/>
      <c r="AS205" s="28">
        <f t="shared" si="43"/>
        <v>8.1343435680955034E-3</v>
      </c>
      <c r="AT205" s="28"/>
      <c r="AV205" s="29"/>
      <c r="AW205" s="29"/>
      <c r="AX205" s="29"/>
      <c r="AY205" s="30"/>
      <c r="BA205" s="29"/>
      <c r="BB205" s="29"/>
      <c r="BC205" s="29"/>
      <c r="BD205" s="30"/>
    </row>
    <row r="206" spans="1:56" outlineLevel="1" x14ac:dyDescent="0.15">
      <c r="A206" s="31"/>
      <c r="B206" s="31" t="s">
        <v>330</v>
      </c>
      <c r="C206" s="32" t="s">
        <v>228</v>
      </c>
      <c r="D206" s="31">
        <v>72145549</v>
      </c>
      <c r="E206" s="33">
        <v>20</v>
      </c>
      <c r="F206" s="32">
        <v>1</v>
      </c>
      <c r="G206" s="32"/>
      <c r="I206" s="34" t="str">
        <f t="shared" si="33"/>
        <v>·</v>
      </c>
      <c r="J206" s="35">
        <f t="shared" si="34"/>
        <v>21.606026450779382</v>
      </c>
      <c r="K206" s="35">
        <f t="shared" si="35"/>
        <v>20.789421451349689</v>
      </c>
      <c r="L206" s="35">
        <f t="shared" si="36"/>
        <v>0.81650553383411084</v>
      </c>
      <c r="M206" s="36"/>
      <c r="N206" s="35">
        <f t="shared" si="37"/>
        <v>21.606026450779382</v>
      </c>
      <c r="O206" s="37">
        <v>72145549</v>
      </c>
      <c r="P206" s="38">
        <v>1558778640</v>
      </c>
      <c r="Q206" s="38">
        <v>1499864224</v>
      </c>
      <c r="R206" s="38">
        <v>58907240</v>
      </c>
      <c r="S206" s="39"/>
      <c r="T206" s="40">
        <v>32.142299999999999</v>
      </c>
      <c r="U206" s="40">
        <v>42.707900000000002</v>
      </c>
      <c r="V206" s="40">
        <v>43.697000000000003</v>
      </c>
      <c r="W206" s="41"/>
      <c r="X206" s="42"/>
      <c r="Y206" s="42"/>
      <c r="AA206" s="34" t="str">
        <f t="shared" si="38"/>
        <v>·</v>
      </c>
      <c r="AB206" s="35">
        <f t="shared" si="39"/>
        <v>21.272350980377183</v>
      </c>
      <c r="AC206" s="35">
        <f t="shared" si="40"/>
        <v>20.789421451349689</v>
      </c>
      <c r="AD206" s="35">
        <f t="shared" si="41"/>
        <v>0.48283017431886199</v>
      </c>
      <c r="AE206" s="36"/>
      <c r="AF206" s="35">
        <f t="shared" si="42"/>
        <v>21.272350980377183</v>
      </c>
      <c r="AG206" s="37">
        <v>72145549</v>
      </c>
      <c r="AH206" s="38">
        <v>1534705440</v>
      </c>
      <c r="AI206" s="38">
        <v>1499864224</v>
      </c>
      <c r="AJ206" s="38">
        <v>34834048</v>
      </c>
      <c r="AK206" s="39"/>
      <c r="AL206" s="40">
        <v>30.4129</v>
      </c>
      <c r="AM206" s="40">
        <v>41.076999999999998</v>
      </c>
      <c r="AN206" s="40">
        <v>41.930500000000002</v>
      </c>
      <c r="AO206" s="41"/>
      <c r="AP206" s="42"/>
      <c r="AQ206" s="42"/>
      <c r="AS206" s="43">
        <f t="shared" si="43"/>
        <v>1.5093025003612426E-2</v>
      </c>
      <c r="AT206" s="43"/>
      <c r="AV206" s="44"/>
      <c r="AW206" s="44"/>
      <c r="AX206" s="44"/>
      <c r="AY206" s="45"/>
      <c r="BA206" s="44"/>
      <c r="BB206" s="44"/>
      <c r="BC206" s="44"/>
      <c r="BD206" s="45"/>
    </row>
    <row r="207" spans="1:56" outlineLevel="1" x14ac:dyDescent="0.15">
      <c r="A207" s="16"/>
      <c r="B207" s="16" t="s">
        <v>330</v>
      </c>
      <c r="C207" s="17" t="s">
        <v>229</v>
      </c>
      <c r="D207" s="16">
        <v>72145549</v>
      </c>
      <c r="E207" s="18">
        <v>20</v>
      </c>
      <c r="F207" s="17">
        <v>1</v>
      </c>
      <c r="G207" s="17"/>
      <c r="I207" s="19" t="str">
        <f t="shared" si="33"/>
        <v>·</v>
      </c>
      <c r="J207" s="20">
        <f t="shared" si="34"/>
        <v>22.496234549410666</v>
      </c>
      <c r="K207" s="20">
        <f t="shared" si="35"/>
        <v>20.789421451349689</v>
      </c>
      <c r="L207" s="20">
        <f t="shared" si="36"/>
        <v>1.7067136324653929</v>
      </c>
      <c r="M207" s="21"/>
      <c r="N207" s="20">
        <f t="shared" si="37"/>
        <v>22.496234549410666</v>
      </c>
      <c r="O207" s="22">
        <v>72145549</v>
      </c>
      <c r="P207" s="23">
        <v>1623003192</v>
      </c>
      <c r="Q207" s="23">
        <v>1499864224</v>
      </c>
      <c r="R207" s="23">
        <v>123131792</v>
      </c>
      <c r="S207" s="24"/>
      <c r="T207" s="25">
        <v>36.164299999999997</v>
      </c>
      <c r="U207" s="25">
        <v>44.796599999999998</v>
      </c>
      <c r="V207" s="25">
        <v>45.726900000000001</v>
      </c>
      <c r="W207" s="26"/>
      <c r="X207" s="27"/>
      <c r="Y207" s="27"/>
      <c r="AA207" s="19" t="str">
        <f t="shared" si="38"/>
        <v>·</v>
      </c>
      <c r="AB207" s="20">
        <f t="shared" si="39"/>
        <v>22.020166483174172</v>
      </c>
      <c r="AC207" s="20">
        <f t="shared" si="40"/>
        <v>20.789421451349689</v>
      </c>
      <c r="AD207" s="20">
        <f t="shared" si="41"/>
        <v>1.2306456771158536</v>
      </c>
      <c r="AE207" s="21"/>
      <c r="AF207" s="20">
        <f t="shared" si="42"/>
        <v>22.020166483174172</v>
      </c>
      <c r="AG207" s="22">
        <v>72145549</v>
      </c>
      <c r="AH207" s="23">
        <v>1588657000</v>
      </c>
      <c r="AI207" s="23">
        <v>1499864224</v>
      </c>
      <c r="AJ207" s="23">
        <v>88785608</v>
      </c>
      <c r="AK207" s="24"/>
      <c r="AL207" s="25">
        <v>34.660499999999999</v>
      </c>
      <c r="AM207" s="25">
        <v>43.091200000000001</v>
      </c>
      <c r="AN207" s="25">
        <v>43.878700000000002</v>
      </c>
      <c r="AO207" s="26"/>
      <c r="AP207" s="27"/>
      <c r="AQ207" s="27"/>
      <c r="AS207" s="28">
        <f t="shared" si="43"/>
        <v>1.9979334810789728E-2</v>
      </c>
      <c r="AT207" s="28"/>
      <c r="AV207" s="29"/>
      <c r="AW207" s="29"/>
      <c r="AX207" s="29"/>
      <c r="AY207" s="30"/>
      <c r="BA207" s="29"/>
      <c r="BB207" s="29"/>
      <c r="BC207" s="29"/>
      <c r="BD207" s="30"/>
    </row>
    <row r="208" spans="1:56" outlineLevel="1" x14ac:dyDescent="0.15">
      <c r="A208" s="31"/>
      <c r="B208" s="46" t="s">
        <v>330</v>
      </c>
      <c r="C208" s="47" t="s">
        <v>230</v>
      </c>
      <c r="D208" s="46">
        <v>72145549</v>
      </c>
      <c r="E208" s="48">
        <v>20</v>
      </c>
      <c r="F208" s="47">
        <v>1</v>
      </c>
      <c r="G208" s="47"/>
      <c r="I208" s="49" t="str">
        <f t="shared" si="33"/>
        <v>·</v>
      </c>
      <c r="J208" s="50">
        <f t="shared" si="34"/>
        <v>23.835879882208673</v>
      </c>
      <c r="K208" s="50">
        <f t="shared" si="35"/>
        <v>20.789421451349689</v>
      </c>
      <c r="L208" s="50">
        <f t="shared" si="36"/>
        <v>3.0463589652634009</v>
      </c>
      <c r="M208" s="51"/>
      <c r="N208" s="50">
        <f t="shared" si="37"/>
        <v>23.835879882208673</v>
      </c>
      <c r="O208" s="52">
        <v>72145549</v>
      </c>
      <c r="P208" s="53">
        <v>1719652640</v>
      </c>
      <c r="Q208" s="53">
        <v>1499864224</v>
      </c>
      <c r="R208" s="53">
        <v>219781240</v>
      </c>
      <c r="S208" s="54"/>
      <c r="T208" s="55">
        <v>41.294199999999996</v>
      </c>
      <c r="U208" s="55">
        <v>47.253599999999999</v>
      </c>
      <c r="V208" s="55">
        <v>47.905200000000001</v>
      </c>
      <c r="W208" s="56"/>
      <c r="X208" s="57"/>
      <c r="Y208" s="57"/>
      <c r="AA208" s="49" t="str">
        <f t="shared" si="38"/>
        <v>·</v>
      </c>
      <c r="AB208" s="50">
        <f t="shared" si="39"/>
        <v>23.113799023138629</v>
      </c>
      <c r="AC208" s="50">
        <f t="shared" si="40"/>
        <v>20.789421451349689</v>
      </c>
      <c r="AD208" s="50">
        <f t="shared" si="41"/>
        <v>2.324278217080308</v>
      </c>
      <c r="AE208" s="51"/>
      <c r="AF208" s="50">
        <f t="shared" si="42"/>
        <v>23.113799023138629</v>
      </c>
      <c r="AG208" s="52">
        <v>72145549</v>
      </c>
      <c r="AH208" s="53">
        <v>1667557720</v>
      </c>
      <c r="AI208" s="53">
        <v>1499864224</v>
      </c>
      <c r="AJ208" s="53">
        <v>167686328</v>
      </c>
      <c r="AK208" s="54"/>
      <c r="AL208" s="55">
        <v>39.5471</v>
      </c>
      <c r="AM208" s="55">
        <v>45.409199999999998</v>
      </c>
      <c r="AN208" s="55">
        <v>45.993499999999997</v>
      </c>
      <c r="AO208" s="56"/>
      <c r="AP208" s="57"/>
      <c r="AQ208" s="57"/>
      <c r="AS208" s="58">
        <f t="shared" si="43"/>
        <v>2.7247440662111821E-2</v>
      </c>
      <c r="AT208" s="58"/>
      <c r="AV208" s="59"/>
      <c r="AW208" s="59"/>
      <c r="AX208" s="59"/>
      <c r="AY208" s="60"/>
      <c r="BA208" s="59"/>
      <c r="BB208" s="59"/>
      <c r="BC208" s="59"/>
      <c r="BD208" s="60"/>
    </row>
    <row r="209" spans="1:56" collapsed="1" x14ac:dyDescent="0.15">
      <c r="A209" s="16"/>
      <c r="B209" s="16" t="s">
        <v>333</v>
      </c>
      <c r="C209" s="17" t="s">
        <v>225</v>
      </c>
      <c r="D209" s="16">
        <v>4187594</v>
      </c>
      <c r="E209" s="18">
        <v>14</v>
      </c>
      <c r="F209" s="17">
        <v>1</v>
      </c>
      <c r="G209" s="17"/>
      <c r="I209" s="19" t="str">
        <f t="shared" si="33"/>
        <v>·</v>
      </c>
      <c r="J209" s="20">
        <f t="shared" si="34"/>
        <v>13.714660972386531</v>
      </c>
      <c r="K209" s="20">
        <f t="shared" si="35"/>
        <v>13.515159301498665</v>
      </c>
      <c r="L209" s="20">
        <f t="shared" si="36"/>
        <v>0.19928197432702408</v>
      </c>
      <c r="M209" s="21"/>
      <c r="N209" s="20">
        <f t="shared" si="37"/>
        <v>13.714660972386531</v>
      </c>
      <c r="O209" s="22">
        <v>4187594</v>
      </c>
      <c r="P209" s="23">
        <v>57431432</v>
      </c>
      <c r="Q209" s="23">
        <v>56596000</v>
      </c>
      <c r="R209" s="23">
        <v>834512</v>
      </c>
      <c r="S209" s="24"/>
      <c r="T209" s="25">
        <v>17.269500000000001</v>
      </c>
      <c r="U209" s="25">
        <v>35.983400000000003</v>
      </c>
      <c r="V209" s="25">
        <v>33.733800000000002</v>
      </c>
      <c r="W209" s="26"/>
      <c r="X209" s="27"/>
      <c r="Y209" s="27"/>
      <c r="AA209" s="19" t="str">
        <f t="shared" si="38"/>
        <v>·</v>
      </c>
      <c r="AB209" s="20">
        <f t="shared" si="39"/>
        <v>13.571489499698394</v>
      </c>
      <c r="AC209" s="20">
        <f t="shared" si="40"/>
        <v>13.515159301498665</v>
      </c>
      <c r="AD209" s="20">
        <f t="shared" si="41"/>
        <v>5.6112412043765464E-2</v>
      </c>
      <c r="AE209" s="21"/>
      <c r="AF209" s="20">
        <f t="shared" si="42"/>
        <v>13.571489499698394</v>
      </c>
      <c r="AG209" s="22">
        <v>4187594</v>
      </c>
      <c r="AH209" s="23">
        <v>56831888</v>
      </c>
      <c r="AI209" s="23">
        <v>56596000</v>
      </c>
      <c r="AJ209" s="23">
        <v>234976</v>
      </c>
      <c r="AK209" s="24"/>
      <c r="AL209" s="25">
        <v>16.661200000000001</v>
      </c>
      <c r="AM209" s="25">
        <v>36.389499999999998</v>
      </c>
      <c r="AN209" s="25">
        <v>33.151200000000003</v>
      </c>
      <c r="AO209" s="26"/>
      <c r="AP209" s="27"/>
      <c r="AQ209" s="27"/>
      <c r="AS209" s="28">
        <f t="shared" si="43"/>
        <v>1.0395971254150593E-2</v>
      </c>
      <c r="AT209" s="28">
        <f t="array" ref="AT209">AVERAGE(AI209:AI214/AH209:AH214) - AVERAGE(Q209:Q214/P209:P214)</f>
        <v>2.7912823301882272E-2</v>
      </c>
      <c r="AV209" s="29">
        <f>IF( OR(ISBLANK(R209:R214),ISBLANK(AJ209:AJ214), ISBLANK(T209:T214),ISBLANK(AL209:AL214)), "·", bdRateExtend( R209:R214,T209:T214, AJ209:AJ214,AL209:AL214))</f>
        <v>-0.18859026186210071</v>
      </c>
      <c r="AW209" s="29">
        <f>IF( OR(ISBLANK(R209:R214),ISBLANK(AJ209:AJ214), ISBLANK(U209:U214),ISBLANK(AM209:AM214)), "·", bdRateExtend( R209:R214,U209:U214, AJ209:AJ214,AM209:AM214))</f>
        <v>-3.3799414767541669E-2</v>
      </c>
      <c r="AX209" s="29">
        <f>IF( OR(ISBLANK(R209:R214),ISBLANK(AJ209:AJ214), ISBLANK(V209:V214),ISBLANK(AN209:AN214)), "·", bdRateExtend( R209:R214,V209:V214, AJ209:AJ214,AN209:AN214))</f>
        <v>1.4844147886159398E-2</v>
      </c>
      <c r="AY209" s="30"/>
      <c r="BA209" s="29">
        <f>IF( OR(ISBLANK(P209:P214),ISBLANK(AH209:AH214), ISBLANK(T209:T214),ISBLANK(AL209:AL214)), "·", bdRateExtend( P209:P214,T209:T214, AH209:AH214,AL209:AL214))</f>
        <v>-2.4896457352508894E-2</v>
      </c>
      <c r="BB209" s="29">
        <f>IF( OR(ISBLANK(P209:P214),ISBLANK(AH209:AH214), ISBLANK(U209:U214),ISBLANK(AM209:AM214)), "·", bdRateExtend( P209:P214,U209:U214, AH209:AH214,AM209:AM214))</f>
        <v>-2.6450606201375848E-3</v>
      </c>
      <c r="BC209" s="29">
        <f>IF( OR(ISBLANK(P209:P214),ISBLANK(AH209:AH214), ISBLANK(V209:V214),ISBLANK(AN209:AN214)), "·", bdRateExtend( P209:P214,V209:V214, AH209:AH214,AN209:AN214))</f>
        <v>-9.2033947109737557E-3</v>
      </c>
      <c r="BD209" s="30"/>
    </row>
    <row r="210" spans="1:56" outlineLevel="1" x14ac:dyDescent="0.15">
      <c r="A210" s="31"/>
      <c r="B210" s="31" t="s">
        <v>333</v>
      </c>
      <c r="C210" s="32" t="s">
        <v>226</v>
      </c>
      <c r="D210" s="31">
        <v>4187594</v>
      </c>
      <c r="E210" s="33">
        <v>14</v>
      </c>
      <c r="F210" s="32">
        <v>1</v>
      </c>
      <c r="G210" s="32"/>
      <c r="I210" s="34" t="str">
        <f t="shared" si="33"/>
        <v>·</v>
      </c>
      <c r="J210" s="35">
        <f t="shared" si="34"/>
        <v>14.09613252860712</v>
      </c>
      <c r="K210" s="35">
        <f t="shared" si="35"/>
        <v>13.515159301498665</v>
      </c>
      <c r="L210" s="35">
        <f t="shared" si="36"/>
        <v>0.58075353054761281</v>
      </c>
      <c r="M210" s="36"/>
      <c r="N210" s="35">
        <f t="shared" si="37"/>
        <v>14.09613252860712</v>
      </c>
      <c r="O210" s="37">
        <v>4187594</v>
      </c>
      <c r="P210" s="38">
        <v>59028880</v>
      </c>
      <c r="Q210" s="38">
        <v>56596000</v>
      </c>
      <c r="R210" s="38">
        <v>2431960</v>
      </c>
      <c r="S210" s="39"/>
      <c r="T210" s="40">
        <v>19.1235</v>
      </c>
      <c r="U210" s="40">
        <v>37.392200000000003</v>
      </c>
      <c r="V210" s="40">
        <v>34.378999999999998</v>
      </c>
      <c r="W210" s="41"/>
      <c r="X210" s="42"/>
      <c r="Y210" s="42"/>
      <c r="AA210" s="34" t="str">
        <f t="shared" si="38"/>
        <v>·</v>
      </c>
      <c r="AB210" s="35">
        <f t="shared" si="39"/>
        <v>13.810981675874022</v>
      </c>
      <c r="AC210" s="35">
        <f t="shared" si="40"/>
        <v>13.515159301498665</v>
      </c>
      <c r="AD210" s="35">
        <f t="shared" si="41"/>
        <v>0.29560458821939278</v>
      </c>
      <c r="AE210" s="36"/>
      <c r="AF210" s="35">
        <f t="shared" si="42"/>
        <v>13.810981675874022</v>
      </c>
      <c r="AG210" s="37">
        <v>4187594</v>
      </c>
      <c r="AH210" s="38">
        <v>57834784</v>
      </c>
      <c r="AI210" s="38">
        <v>56596000</v>
      </c>
      <c r="AJ210" s="38">
        <v>1237872</v>
      </c>
      <c r="AK210" s="39"/>
      <c r="AL210" s="40">
        <v>18.406700000000001</v>
      </c>
      <c r="AM210" s="40">
        <v>36.910899999999998</v>
      </c>
      <c r="AN210" s="40">
        <v>33.771799999999999</v>
      </c>
      <c r="AO210" s="41"/>
      <c r="AP210" s="42"/>
      <c r="AQ210" s="42"/>
      <c r="AS210" s="43">
        <f t="shared" si="43"/>
        <v>1.9795720825466656E-2</v>
      </c>
      <c r="AT210" s="43"/>
      <c r="AV210" s="44"/>
      <c r="AW210" s="44"/>
      <c r="AX210" s="44"/>
      <c r="AY210" s="45"/>
      <c r="BA210" s="44"/>
      <c r="BB210" s="44"/>
      <c r="BC210" s="44"/>
      <c r="BD210" s="45"/>
    </row>
    <row r="211" spans="1:56" outlineLevel="1" x14ac:dyDescent="0.15">
      <c r="A211" s="16"/>
      <c r="B211" s="16" t="s">
        <v>333</v>
      </c>
      <c r="C211" s="17" t="s">
        <v>227</v>
      </c>
      <c r="D211" s="16">
        <v>4187594</v>
      </c>
      <c r="E211" s="18">
        <v>14</v>
      </c>
      <c r="F211" s="17">
        <v>1</v>
      </c>
      <c r="G211" s="17"/>
      <c r="I211" s="19" t="str">
        <f t="shared" si="33"/>
        <v>·</v>
      </c>
      <c r="J211" s="20">
        <f t="shared" si="34"/>
        <v>14.980753148466638</v>
      </c>
      <c r="K211" s="20">
        <f t="shared" si="35"/>
        <v>13.515159301498665</v>
      </c>
      <c r="L211" s="20">
        <f t="shared" si="36"/>
        <v>1.4653741504071311</v>
      </c>
      <c r="M211" s="21"/>
      <c r="N211" s="20">
        <f t="shared" si="37"/>
        <v>14.980753148466638</v>
      </c>
      <c r="O211" s="22">
        <v>4187594</v>
      </c>
      <c r="P211" s="23">
        <v>62733312</v>
      </c>
      <c r="Q211" s="23">
        <v>56596000</v>
      </c>
      <c r="R211" s="23">
        <v>6136392</v>
      </c>
      <c r="S211" s="24"/>
      <c r="T211" s="25">
        <v>23.4313</v>
      </c>
      <c r="U211" s="25">
        <v>38.0732</v>
      </c>
      <c r="V211" s="25">
        <v>35.189900000000002</v>
      </c>
      <c r="W211" s="26"/>
      <c r="X211" s="27"/>
      <c r="Y211" s="27"/>
      <c r="AA211" s="19" t="str">
        <f t="shared" si="38"/>
        <v>·</v>
      </c>
      <c r="AB211" s="20">
        <f t="shared" si="39"/>
        <v>14.548298617296711</v>
      </c>
      <c r="AC211" s="20">
        <f t="shared" si="40"/>
        <v>13.515159301498665</v>
      </c>
      <c r="AD211" s="20">
        <f t="shared" si="41"/>
        <v>1.0329215296420808</v>
      </c>
      <c r="AE211" s="21"/>
      <c r="AF211" s="20">
        <f t="shared" si="42"/>
        <v>14.548298617296711</v>
      </c>
      <c r="AG211" s="22">
        <v>4187594</v>
      </c>
      <c r="AH211" s="23">
        <v>60922368</v>
      </c>
      <c r="AI211" s="23">
        <v>56596000</v>
      </c>
      <c r="AJ211" s="23">
        <v>4325456</v>
      </c>
      <c r="AK211" s="24"/>
      <c r="AL211" s="25">
        <v>22.665800000000001</v>
      </c>
      <c r="AM211" s="25">
        <v>37.5182</v>
      </c>
      <c r="AN211" s="25">
        <v>34.571300000000001</v>
      </c>
      <c r="AO211" s="26"/>
      <c r="AP211" s="27"/>
      <c r="AQ211" s="27"/>
      <c r="AS211" s="28">
        <f t="shared" si="43"/>
        <v>2.6817344211325311E-2</v>
      </c>
      <c r="AT211" s="28"/>
      <c r="AV211" s="29"/>
      <c r="AW211" s="29"/>
      <c r="AX211" s="29"/>
      <c r="AY211" s="30"/>
      <c r="BA211" s="29"/>
      <c r="BB211" s="29"/>
      <c r="BC211" s="29"/>
      <c r="BD211" s="30"/>
    </row>
    <row r="212" spans="1:56" outlineLevel="1" x14ac:dyDescent="0.15">
      <c r="A212" s="31"/>
      <c r="B212" s="31" t="s">
        <v>333</v>
      </c>
      <c r="C212" s="32" t="s">
        <v>228</v>
      </c>
      <c r="D212" s="31">
        <v>4187594</v>
      </c>
      <c r="E212" s="33">
        <v>14</v>
      </c>
      <c r="F212" s="32">
        <v>1</v>
      </c>
      <c r="G212" s="32"/>
      <c r="I212" s="34" t="str">
        <f t="shared" si="33"/>
        <v>·</v>
      </c>
      <c r="J212" s="35">
        <f t="shared" si="34"/>
        <v>16.129057401457736</v>
      </c>
      <c r="K212" s="35">
        <f t="shared" si="35"/>
        <v>13.515159301498665</v>
      </c>
      <c r="L212" s="35">
        <f t="shared" si="36"/>
        <v>2.6136784033982283</v>
      </c>
      <c r="M212" s="36"/>
      <c r="N212" s="35">
        <f t="shared" si="37"/>
        <v>16.129057401457736</v>
      </c>
      <c r="O212" s="37">
        <v>4187594</v>
      </c>
      <c r="P212" s="38">
        <v>67541944</v>
      </c>
      <c r="Q212" s="38">
        <v>56596000</v>
      </c>
      <c r="R212" s="38">
        <v>10945024</v>
      </c>
      <c r="S212" s="39"/>
      <c r="T212" s="40">
        <v>28.854600000000001</v>
      </c>
      <c r="U212" s="40">
        <v>38.918799999999997</v>
      </c>
      <c r="V212" s="40">
        <v>36.223700000000001</v>
      </c>
      <c r="W212" s="41"/>
      <c r="X212" s="42"/>
      <c r="Y212" s="42"/>
      <c r="AA212" s="34" t="str">
        <f t="shared" si="38"/>
        <v>·</v>
      </c>
      <c r="AB212" s="35">
        <f t="shared" si="39"/>
        <v>15.525654110689814</v>
      </c>
      <c r="AC212" s="35">
        <f t="shared" si="40"/>
        <v>13.515159301498665</v>
      </c>
      <c r="AD212" s="35">
        <f t="shared" si="41"/>
        <v>2.0102770230351843</v>
      </c>
      <c r="AE212" s="36"/>
      <c r="AF212" s="35">
        <f t="shared" si="42"/>
        <v>15.525654110689814</v>
      </c>
      <c r="AG212" s="37">
        <v>4187594</v>
      </c>
      <c r="AH212" s="38">
        <v>65015136</v>
      </c>
      <c r="AI212" s="38">
        <v>56596000</v>
      </c>
      <c r="AJ212" s="38">
        <v>8418224</v>
      </c>
      <c r="AK212" s="39"/>
      <c r="AL212" s="40">
        <v>28.0062</v>
      </c>
      <c r="AM212" s="40">
        <v>38.2956</v>
      </c>
      <c r="AN212" s="40">
        <v>35.537100000000002</v>
      </c>
      <c r="AO212" s="41"/>
      <c r="AP212" s="42"/>
      <c r="AQ212" s="42"/>
      <c r="AS212" s="43">
        <f t="shared" si="43"/>
        <v>3.2566414739064298E-2</v>
      </c>
      <c r="AT212" s="43"/>
      <c r="AV212" s="44"/>
      <c r="AW212" s="44"/>
      <c r="AX212" s="44"/>
      <c r="AY212" s="45"/>
      <c r="BA212" s="44"/>
      <c r="BB212" s="44"/>
      <c r="BC212" s="44"/>
      <c r="BD212" s="45"/>
    </row>
    <row r="213" spans="1:56" outlineLevel="1" x14ac:dyDescent="0.15">
      <c r="A213" s="16"/>
      <c r="B213" s="16" t="s">
        <v>333</v>
      </c>
      <c r="C213" s="17" t="s">
        <v>229</v>
      </c>
      <c r="D213" s="16">
        <v>4187594</v>
      </c>
      <c r="E213" s="18">
        <v>14</v>
      </c>
      <c r="F213" s="17">
        <v>1</v>
      </c>
      <c r="G213" s="17"/>
      <c r="I213" s="19" t="str">
        <f t="shared" si="33"/>
        <v>·</v>
      </c>
      <c r="J213" s="20">
        <f t="shared" si="34"/>
        <v>17.62550619759222</v>
      </c>
      <c r="K213" s="20">
        <f t="shared" si="35"/>
        <v>13.515159301498665</v>
      </c>
      <c r="L213" s="20">
        <f t="shared" si="36"/>
        <v>4.1101271995327151</v>
      </c>
      <c r="M213" s="21"/>
      <c r="N213" s="20">
        <f t="shared" si="37"/>
        <v>17.62550619759222</v>
      </c>
      <c r="O213" s="22">
        <v>4187594</v>
      </c>
      <c r="P213" s="23">
        <v>73808464</v>
      </c>
      <c r="Q213" s="23">
        <v>56596000</v>
      </c>
      <c r="R213" s="23">
        <v>17211544</v>
      </c>
      <c r="S213" s="24"/>
      <c r="T213" s="25">
        <v>34.665300000000002</v>
      </c>
      <c r="U213" s="25">
        <v>40.407400000000003</v>
      </c>
      <c r="V213" s="25">
        <v>38.164400000000001</v>
      </c>
      <c r="W213" s="26"/>
      <c r="X213" s="27"/>
      <c r="Y213" s="27"/>
      <c r="AA213" s="19" t="str">
        <f t="shared" si="38"/>
        <v>·</v>
      </c>
      <c r="AB213" s="20">
        <f t="shared" si="39"/>
        <v>16.831790283394234</v>
      </c>
      <c r="AC213" s="20">
        <f t="shared" si="40"/>
        <v>13.515159301498665</v>
      </c>
      <c r="AD213" s="20">
        <f t="shared" si="41"/>
        <v>3.3164131957396061</v>
      </c>
      <c r="AE213" s="21"/>
      <c r="AF213" s="20">
        <f t="shared" si="42"/>
        <v>16.831790283394234</v>
      </c>
      <c r="AG213" s="22">
        <v>4187594</v>
      </c>
      <c r="AH213" s="23">
        <v>70484704</v>
      </c>
      <c r="AI213" s="23">
        <v>56596000</v>
      </c>
      <c r="AJ213" s="23">
        <v>13887792</v>
      </c>
      <c r="AK213" s="24"/>
      <c r="AL213" s="25">
        <v>33.904000000000003</v>
      </c>
      <c r="AM213" s="25">
        <v>39.7044</v>
      </c>
      <c r="AN213" s="25">
        <v>37.441099999999999</v>
      </c>
      <c r="AO213" s="26"/>
      <c r="AP213" s="27"/>
      <c r="AQ213" s="27"/>
      <c r="AS213" s="28">
        <f t="shared" si="43"/>
        <v>3.6158828141955257E-2</v>
      </c>
      <c r="AT213" s="28"/>
      <c r="AV213" s="29"/>
      <c r="AW213" s="29"/>
      <c r="AX213" s="29"/>
      <c r="AY213" s="30"/>
      <c r="BA213" s="29"/>
      <c r="BB213" s="29"/>
      <c r="BC213" s="29"/>
      <c r="BD213" s="30"/>
    </row>
    <row r="214" spans="1:56" outlineLevel="1" x14ac:dyDescent="0.15">
      <c r="A214" s="31"/>
      <c r="B214" s="46" t="s">
        <v>333</v>
      </c>
      <c r="C214" s="47" t="s">
        <v>230</v>
      </c>
      <c r="D214" s="46">
        <v>4187594</v>
      </c>
      <c r="E214" s="48">
        <v>14</v>
      </c>
      <c r="F214" s="47">
        <v>1</v>
      </c>
      <c r="G214" s="47"/>
      <c r="I214" s="49" t="str">
        <f t="shared" si="33"/>
        <v>·</v>
      </c>
      <c r="J214" s="50">
        <f t="shared" si="34"/>
        <v>19.782167994318456</v>
      </c>
      <c r="K214" s="50">
        <f t="shared" si="35"/>
        <v>13.515159301498665</v>
      </c>
      <c r="L214" s="50">
        <f t="shared" si="36"/>
        <v>6.26678899625895</v>
      </c>
      <c r="M214" s="51"/>
      <c r="N214" s="50">
        <f t="shared" si="37"/>
        <v>19.782167994318456</v>
      </c>
      <c r="O214" s="52">
        <v>4187594</v>
      </c>
      <c r="P214" s="53">
        <v>82839688</v>
      </c>
      <c r="Q214" s="53">
        <v>56596000</v>
      </c>
      <c r="R214" s="53">
        <v>26242768</v>
      </c>
      <c r="S214" s="54"/>
      <c r="T214" s="55">
        <v>40.465600000000002</v>
      </c>
      <c r="U214" s="55">
        <v>42.902799999999999</v>
      </c>
      <c r="V214" s="55">
        <v>41.595199999999998</v>
      </c>
      <c r="W214" s="56"/>
      <c r="X214" s="57"/>
      <c r="Y214" s="57"/>
      <c r="AA214" s="49" t="str">
        <f t="shared" si="38"/>
        <v>·</v>
      </c>
      <c r="AB214" s="50">
        <f t="shared" si="39"/>
        <v>18.643096728097326</v>
      </c>
      <c r="AC214" s="50">
        <f t="shared" si="40"/>
        <v>13.515159301498665</v>
      </c>
      <c r="AD214" s="50">
        <f t="shared" si="41"/>
        <v>5.1277196404426979</v>
      </c>
      <c r="AE214" s="51"/>
      <c r="AF214" s="50">
        <f t="shared" si="42"/>
        <v>18.643096728097326</v>
      </c>
      <c r="AG214" s="52">
        <v>4187594</v>
      </c>
      <c r="AH214" s="53">
        <v>78069720</v>
      </c>
      <c r="AI214" s="53">
        <v>56596000</v>
      </c>
      <c r="AJ214" s="53">
        <v>21472808</v>
      </c>
      <c r="AK214" s="54"/>
      <c r="AL214" s="55">
        <v>39.318399999999997</v>
      </c>
      <c r="AM214" s="55">
        <v>42.006900000000002</v>
      </c>
      <c r="AN214" s="55">
        <v>40.625799999999998</v>
      </c>
      <c r="AO214" s="56"/>
      <c r="AP214" s="57"/>
      <c r="AQ214" s="57"/>
      <c r="AS214" s="58">
        <f t="shared" si="43"/>
        <v>4.1742660639330853E-2</v>
      </c>
      <c r="AT214" s="58"/>
      <c r="AV214" s="59"/>
      <c r="AW214" s="59"/>
      <c r="AX214" s="59"/>
      <c r="AY214" s="60"/>
      <c r="BA214" s="59"/>
      <c r="BB214" s="59"/>
      <c r="BC214" s="59"/>
      <c r="BD214" s="60"/>
    </row>
    <row r="215" spans="1:56" collapsed="1" x14ac:dyDescent="0.15">
      <c r="A215" s="16"/>
      <c r="B215" s="16" t="s">
        <v>336</v>
      </c>
      <c r="C215" s="17" t="s">
        <v>225</v>
      </c>
      <c r="D215" s="16">
        <v>4203962</v>
      </c>
      <c r="E215" s="18">
        <v>20</v>
      </c>
      <c r="F215" s="17">
        <v>1</v>
      </c>
      <c r="G215" s="17"/>
      <c r="I215" s="19" t="str">
        <f t="shared" si="33"/>
        <v>·</v>
      </c>
      <c r="J215" s="20">
        <f t="shared" si="34"/>
        <v>32.050717870427945</v>
      </c>
      <c r="K215" s="20">
        <f t="shared" si="35"/>
        <v>31.85194537914472</v>
      </c>
      <c r="L215" s="20">
        <f t="shared" si="36"/>
        <v>0.1985498441708084</v>
      </c>
      <c r="M215" s="21"/>
      <c r="N215" s="20">
        <f t="shared" si="37"/>
        <v>32.050717870427945</v>
      </c>
      <c r="O215" s="22">
        <v>4203962</v>
      </c>
      <c r="P215" s="23">
        <v>134740000</v>
      </c>
      <c r="Q215" s="23">
        <v>133904368</v>
      </c>
      <c r="R215" s="23">
        <v>834696</v>
      </c>
      <c r="S215" s="24"/>
      <c r="T215" s="25">
        <v>17.277799999999999</v>
      </c>
      <c r="U215" s="25">
        <v>36.052599999999998</v>
      </c>
      <c r="V215" s="25">
        <v>33.735500000000002</v>
      </c>
      <c r="W215" s="26"/>
      <c r="X215" s="27"/>
      <c r="Y215" s="27"/>
      <c r="AA215" s="19" t="str">
        <f t="shared" si="38"/>
        <v>·</v>
      </c>
      <c r="AB215" s="20">
        <f t="shared" si="39"/>
        <v>31.908431141860941</v>
      </c>
      <c r="AC215" s="20">
        <f t="shared" si="40"/>
        <v>31.85194537914472</v>
      </c>
      <c r="AD215" s="20">
        <f t="shared" si="41"/>
        <v>5.6265018570576995E-2</v>
      </c>
      <c r="AE215" s="21"/>
      <c r="AF215" s="20">
        <f t="shared" si="42"/>
        <v>31.908431141860941</v>
      </c>
      <c r="AG215" s="22">
        <v>4203962</v>
      </c>
      <c r="AH215" s="23">
        <v>134141832</v>
      </c>
      <c r="AI215" s="23">
        <v>133904368</v>
      </c>
      <c r="AJ215" s="23">
        <v>236536</v>
      </c>
      <c r="AK215" s="24"/>
      <c r="AL215" s="25">
        <v>16.668099999999999</v>
      </c>
      <c r="AM215" s="25">
        <v>36.410499999999999</v>
      </c>
      <c r="AN215" s="25">
        <v>33.1736</v>
      </c>
      <c r="AO215" s="26"/>
      <c r="AP215" s="27"/>
      <c r="AQ215" s="27"/>
      <c r="AS215" s="28">
        <f t="shared" si="43"/>
        <v>4.4315652046598153E-3</v>
      </c>
      <c r="AT215" s="28">
        <f t="array" ref="AT215">AVERAGE(AI215:AI220/AH215:AH220) - AVERAGE(Q215:Q220/P215:P220)</f>
        <v>1.4638923487218292E-2</v>
      </c>
      <c r="AV215" s="29">
        <f>IF( OR(ISBLANK(R215:R220),ISBLANK(AJ215:AJ220), ISBLANK(T215:T220),ISBLANK(AL215:AL220)), "·", bdRateExtend( R215:R220,T215:T220, AJ215:AJ220,AL215:AL220))</f>
        <v>-0.18898748939555587</v>
      </c>
      <c r="AW215" s="29">
        <f>IF( OR(ISBLANK(R215:R220),ISBLANK(AJ215:AJ220), ISBLANK(U215:U220),ISBLANK(AM215:AM220)), "·", bdRateExtend( R215:R220,U215:U220, AJ215:AJ220,AM215:AM220))</f>
        <v>-2.4997305125352365E-2</v>
      </c>
      <c r="AX215" s="29">
        <f>IF( OR(ISBLANK(R215:R220),ISBLANK(AJ215:AJ220), ISBLANK(V215:V220),ISBLANK(AN215:AN220)), "·", bdRateExtend( R215:R220,V215:V220, AJ215:AJ220,AN215:AN220))</f>
        <v>1.7621895162334811E-2</v>
      </c>
      <c r="AY215" s="30"/>
      <c r="BA215" s="29">
        <f>IF( OR(ISBLANK(P215:P220),ISBLANK(AH215:AH220), ISBLANK(T215:T220),ISBLANK(AL215:AL220)), "·", bdRateExtend( P215:P220,T215:T220, AH215:AH220,AL215:AL220))</f>
        <v>-1.1870456041652711E-2</v>
      </c>
      <c r="BB215" s="29">
        <f>IF( OR(ISBLANK(P215:P220),ISBLANK(AH215:AH220), ISBLANK(U215:U220),ISBLANK(AM215:AM220)), "·", bdRateExtend( P215:P220,U215:U220, AH215:AH220,AM215:AM220))</f>
        <v>-1.3904450879421715E-3</v>
      </c>
      <c r="BC215" s="29">
        <f>IF( OR(ISBLANK(P215:P220),ISBLANK(AH215:AH220), ISBLANK(V215:V220),ISBLANK(AN215:AN220)), "·", bdRateExtend( P215:P220,V215:V220, AH215:AH220,AN215:AN220))</f>
        <v>-4.7081438053849789E-3</v>
      </c>
      <c r="BD215" s="30"/>
    </row>
    <row r="216" spans="1:56" outlineLevel="1" x14ac:dyDescent="0.15">
      <c r="A216" s="31"/>
      <c r="B216" s="31" t="s">
        <v>336</v>
      </c>
      <c r="C216" s="32" t="s">
        <v>226</v>
      </c>
      <c r="D216" s="31">
        <v>4203962</v>
      </c>
      <c r="E216" s="33">
        <v>20</v>
      </c>
      <c r="F216" s="32">
        <v>1</v>
      </c>
      <c r="G216" s="32"/>
      <c r="I216" s="34" t="str">
        <f t="shared" si="33"/>
        <v>·</v>
      </c>
      <c r="J216" s="35">
        <f t="shared" si="34"/>
        <v>32.431084771936568</v>
      </c>
      <c r="K216" s="35">
        <f t="shared" si="35"/>
        <v>31.85194537914472</v>
      </c>
      <c r="L216" s="35">
        <f t="shared" si="36"/>
        <v>0.57891674567943285</v>
      </c>
      <c r="M216" s="36"/>
      <c r="N216" s="35">
        <f t="shared" si="37"/>
        <v>32.431084771936568</v>
      </c>
      <c r="O216" s="37">
        <v>4203962</v>
      </c>
      <c r="P216" s="38">
        <v>136339048</v>
      </c>
      <c r="Q216" s="38">
        <v>133904368</v>
      </c>
      <c r="R216" s="38">
        <v>2433744</v>
      </c>
      <c r="S216" s="39"/>
      <c r="T216" s="40">
        <v>19.126899999999999</v>
      </c>
      <c r="U216" s="40">
        <v>37.403100000000002</v>
      </c>
      <c r="V216" s="40">
        <v>34.399000000000001</v>
      </c>
      <c r="W216" s="41"/>
      <c r="X216" s="42"/>
      <c r="Y216" s="42"/>
      <c r="AA216" s="34" t="str">
        <f t="shared" si="38"/>
        <v>·</v>
      </c>
      <c r="AB216" s="35">
        <f t="shared" si="39"/>
        <v>32.147380970617718</v>
      </c>
      <c r="AC216" s="35">
        <f t="shared" si="40"/>
        <v>31.85194537914472</v>
      </c>
      <c r="AD216" s="35">
        <f t="shared" si="41"/>
        <v>0.29521484732735453</v>
      </c>
      <c r="AE216" s="36"/>
      <c r="AF216" s="35">
        <f t="shared" si="42"/>
        <v>32.147380970617718</v>
      </c>
      <c r="AG216" s="37">
        <v>4203962</v>
      </c>
      <c r="AH216" s="38">
        <v>135146368</v>
      </c>
      <c r="AI216" s="38">
        <v>133904368</v>
      </c>
      <c r="AJ216" s="38">
        <v>1241072</v>
      </c>
      <c r="AK216" s="39"/>
      <c r="AL216" s="40">
        <v>18.41</v>
      </c>
      <c r="AM216" s="40">
        <v>36.9054</v>
      </c>
      <c r="AN216" s="40">
        <v>33.778300000000002</v>
      </c>
      <c r="AO216" s="41"/>
      <c r="AP216" s="42"/>
      <c r="AQ216" s="42"/>
      <c r="AS216" s="43">
        <f t="shared" si="43"/>
        <v>8.6675038815766658E-3</v>
      </c>
      <c r="AT216" s="43"/>
      <c r="AV216" s="44"/>
      <c r="AW216" s="44"/>
      <c r="AX216" s="44"/>
      <c r="AY216" s="45"/>
      <c r="BA216" s="44"/>
      <c r="BB216" s="44"/>
      <c r="BC216" s="44"/>
      <c r="BD216" s="45"/>
    </row>
    <row r="217" spans="1:56" outlineLevel="1" x14ac:dyDescent="0.15">
      <c r="A217" s="16"/>
      <c r="B217" s="16" t="s">
        <v>336</v>
      </c>
      <c r="C217" s="17" t="s">
        <v>227</v>
      </c>
      <c r="D217" s="16">
        <v>4203962</v>
      </c>
      <c r="E217" s="18">
        <v>20</v>
      </c>
      <c r="F217" s="17">
        <v>1</v>
      </c>
      <c r="G217" s="17"/>
      <c r="I217" s="19" t="str">
        <f t="shared" si="33"/>
        <v>·</v>
      </c>
      <c r="J217" s="20">
        <f t="shared" si="34"/>
        <v>33.314531387296078</v>
      </c>
      <c r="K217" s="20">
        <f t="shared" si="35"/>
        <v>31.85194537914472</v>
      </c>
      <c r="L217" s="20">
        <f t="shared" si="36"/>
        <v>1.4623633610389437</v>
      </c>
      <c r="M217" s="21"/>
      <c r="N217" s="20">
        <f t="shared" si="37"/>
        <v>33.314531387296078</v>
      </c>
      <c r="O217" s="22">
        <v>4203962</v>
      </c>
      <c r="P217" s="23">
        <v>140053024</v>
      </c>
      <c r="Q217" s="23">
        <v>133904368</v>
      </c>
      <c r="R217" s="23">
        <v>6147720</v>
      </c>
      <c r="S217" s="24"/>
      <c r="T217" s="25">
        <v>23.431999999999999</v>
      </c>
      <c r="U217" s="25">
        <v>38.082000000000001</v>
      </c>
      <c r="V217" s="25">
        <v>35.195599999999999</v>
      </c>
      <c r="W217" s="26"/>
      <c r="X217" s="27"/>
      <c r="Y217" s="27"/>
      <c r="AA217" s="19" t="str">
        <f t="shared" si="38"/>
        <v>·</v>
      </c>
      <c r="AB217" s="20">
        <f t="shared" si="39"/>
        <v>32.884232540636667</v>
      </c>
      <c r="AC217" s="20">
        <f t="shared" si="40"/>
        <v>31.85194537914472</v>
      </c>
      <c r="AD217" s="20">
        <f t="shared" si="41"/>
        <v>1.0320664173463032</v>
      </c>
      <c r="AE217" s="21"/>
      <c r="AF217" s="20">
        <f t="shared" si="42"/>
        <v>32.884232540636667</v>
      </c>
      <c r="AG217" s="22">
        <v>4203962</v>
      </c>
      <c r="AH217" s="23">
        <v>138244064</v>
      </c>
      <c r="AI217" s="23">
        <v>133904368</v>
      </c>
      <c r="AJ217" s="23">
        <v>4338768</v>
      </c>
      <c r="AK217" s="24"/>
      <c r="AL217" s="25">
        <v>22.678599999999999</v>
      </c>
      <c r="AM217" s="25">
        <v>37.522399999999998</v>
      </c>
      <c r="AN217" s="25">
        <v>34.576799999999999</v>
      </c>
      <c r="AO217" s="26"/>
      <c r="AP217" s="27"/>
      <c r="AQ217" s="27"/>
      <c r="AS217" s="28">
        <f t="shared" si="43"/>
        <v>1.2510789731175254E-2</v>
      </c>
      <c r="AT217" s="28"/>
      <c r="AV217" s="29"/>
      <c r="AW217" s="29"/>
      <c r="AX217" s="29"/>
      <c r="AY217" s="30"/>
      <c r="BA217" s="29"/>
      <c r="BB217" s="29"/>
      <c r="BC217" s="29"/>
      <c r="BD217" s="30"/>
    </row>
    <row r="218" spans="1:56" outlineLevel="1" x14ac:dyDescent="0.15">
      <c r="A218" s="31"/>
      <c r="B218" s="31" t="s">
        <v>336</v>
      </c>
      <c r="C218" s="32" t="s">
        <v>228</v>
      </c>
      <c r="D218" s="31">
        <v>4203962</v>
      </c>
      <c r="E218" s="33">
        <v>20</v>
      </c>
      <c r="F218" s="32">
        <v>1</v>
      </c>
      <c r="G218" s="32"/>
      <c r="I218" s="34" t="str">
        <f t="shared" si="33"/>
        <v>·</v>
      </c>
      <c r="J218" s="35">
        <f t="shared" si="34"/>
        <v>34.461639757923599</v>
      </c>
      <c r="K218" s="35">
        <f t="shared" si="35"/>
        <v>31.85194537914472</v>
      </c>
      <c r="L218" s="35">
        <f t="shared" si="36"/>
        <v>2.6094717316664613</v>
      </c>
      <c r="M218" s="36"/>
      <c r="N218" s="35">
        <f t="shared" si="37"/>
        <v>34.461639757923599</v>
      </c>
      <c r="O218" s="37">
        <v>4203962</v>
      </c>
      <c r="P218" s="38">
        <v>144875424</v>
      </c>
      <c r="Q218" s="38">
        <v>133904368</v>
      </c>
      <c r="R218" s="38">
        <v>10970120</v>
      </c>
      <c r="S218" s="39"/>
      <c r="T218" s="40">
        <v>28.847799999999999</v>
      </c>
      <c r="U218" s="40">
        <v>38.9268</v>
      </c>
      <c r="V218" s="40">
        <v>36.235500000000002</v>
      </c>
      <c r="W218" s="41"/>
      <c r="X218" s="42"/>
      <c r="Y218" s="42"/>
      <c r="AA218" s="34" t="str">
        <f t="shared" si="38"/>
        <v>·</v>
      </c>
      <c r="AB218" s="35">
        <f t="shared" si="39"/>
        <v>33.85885790594682</v>
      </c>
      <c r="AC218" s="35">
        <f t="shared" si="40"/>
        <v>31.85194537914472</v>
      </c>
      <c r="AD218" s="35">
        <f t="shared" si="41"/>
        <v>2.0066917826564561</v>
      </c>
      <c r="AE218" s="36"/>
      <c r="AF218" s="35">
        <f t="shared" si="42"/>
        <v>33.85885790594682</v>
      </c>
      <c r="AG218" s="37">
        <v>4203962</v>
      </c>
      <c r="AH218" s="38">
        <v>142341352</v>
      </c>
      <c r="AI218" s="38">
        <v>133904368</v>
      </c>
      <c r="AJ218" s="38">
        <v>8436056</v>
      </c>
      <c r="AK218" s="39"/>
      <c r="AL218" s="40">
        <v>28.013000000000002</v>
      </c>
      <c r="AM218" s="40">
        <v>38.306100000000001</v>
      </c>
      <c r="AN218" s="40">
        <v>35.540199999999999</v>
      </c>
      <c r="AO218" s="41"/>
      <c r="AP218" s="42"/>
      <c r="AQ218" s="42"/>
      <c r="AS218" s="43">
        <f t="shared" si="43"/>
        <v>1.6454621155220339E-2</v>
      </c>
      <c r="AT218" s="43"/>
      <c r="AV218" s="44"/>
      <c r="AW218" s="44"/>
      <c r="AX218" s="44"/>
      <c r="AY218" s="45"/>
      <c r="BA218" s="44"/>
      <c r="BB218" s="44"/>
      <c r="BC218" s="44"/>
      <c r="BD218" s="45"/>
    </row>
    <row r="219" spans="1:56" outlineLevel="1" x14ac:dyDescent="0.15">
      <c r="A219" s="16"/>
      <c r="B219" s="16" t="s">
        <v>336</v>
      </c>
      <c r="C219" s="17" t="s">
        <v>229</v>
      </c>
      <c r="D219" s="16">
        <v>4203962</v>
      </c>
      <c r="E219" s="18">
        <v>20</v>
      </c>
      <c r="F219" s="17">
        <v>1</v>
      </c>
      <c r="G219" s="17"/>
      <c r="I219" s="19" t="str">
        <f t="shared" si="33"/>
        <v>·</v>
      </c>
      <c r="J219" s="20">
        <f t="shared" si="34"/>
        <v>35.957291716718657</v>
      </c>
      <c r="K219" s="20">
        <f t="shared" si="35"/>
        <v>31.85194537914472</v>
      </c>
      <c r="L219" s="20">
        <f t="shared" si="36"/>
        <v>4.1051236904615216</v>
      </c>
      <c r="M219" s="21"/>
      <c r="N219" s="20">
        <f t="shared" si="37"/>
        <v>35.957291716718657</v>
      </c>
      <c r="O219" s="22">
        <v>4203962</v>
      </c>
      <c r="P219" s="23">
        <v>151163088</v>
      </c>
      <c r="Q219" s="23">
        <v>133904368</v>
      </c>
      <c r="R219" s="23">
        <v>17257784</v>
      </c>
      <c r="S219" s="24"/>
      <c r="T219" s="25">
        <v>34.661499999999997</v>
      </c>
      <c r="U219" s="25">
        <v>40.411700000000003</v>
      </c>
      <c r="V219" s="25">
        <v>38.168500000000002</v>
      </c>
      <c r="W219" s="26"/>
      <c r="X219" s="27"/>
      <c r="Y219" s="27"/>
      <c r="AA219" s="19" t="str">
        <f t="shared" si="38"/>
        <v>·</v>
      </c>
      <c r="AB219" s="20">
        <f t="shared" si="39"/>
        <v>35.163375882084566</v>
      </c>
      <c r="AC219" s="20">
        <f t="shared" si="40"/>
        <v>31.85194537914472</v>
      </c>
      <c r="AD219" s="20">
        <f t="shared" si="41"/>
        <v>3.3112097587942042</v>
      </c>
      <c r="AE219" s="21"/>
      <c r="AF219" s="20">
        <f t="shared" si="42"/>
        <v>35.163375882084566</v>
      </c>
      <c r="AG219" s="22">
        <v>4203962</v>
      </c>
      <c r="AH219" s="23">
        <v>147825496</v>
      </c>
      <c r="AI219" s="23">
        <v>133904368</v>
      </c>
      <c r="AJ219" s="23">
        <v>13920200</v>
      </c>
      <c r="AK219" s="24"/>
      <c r="AL219" s="25">
        <v>33.911499999999997</v>
      </c>
      <c r="AM219" s="25">
        <v>39.709299999999999</v>
      </c>
      <c r="AN219" s="25">
        <v>37.450299999999999</v>
      </c>
      <c r="AO219" s="26"/>
      <c r="AP219" s="27"/>
      <c r="AQ219" s="27"/>
      <c r="AS219" s="28">
        <f t="shared" si="43"/>
        <v>2.0000133277732646E-2</v>
      </c>
      <c r="AT219" s="28"/>
      <c r="AV219" s="29"/>
      <c r="AW219" s="29"/>
      <c r="AX219" s="29"/>
      <c r="AY219" s="30"/>
      <c r="BA219" s="29"/>
      <c r="BB219" s="29"/>
      <c r="BC219" s="29"/>
      <c r="BD219" s="30"/>
    </row>
    <row r="220" spans="1:56" outlineLevel="1" x14ac:dyDescent="0.15">
      <c r="A220" s="31"/>
      <c r="B220" s="46" t="s">
        <v>336</v>
      </c>
      <c r="C220" s="47" t="s">
        <v>230</v>
      </c>
      <c r="D220" s="46">
        <v>4203962</v>
      </c>
      <c r="E220" s="48">
        <v>20</v>
      </c>
      <c r="F220" s="47">
        <v>1</v>
      </c>
      <c r="G220" s="47"/>
      <c r="I220" s="49" t="str">
        <f t="shared" si="33"/>
        <v>·</v>
      </c>
      <c r="J220" s="50">
        <f t="shared" si="34"/>
        <v>38.111531931068832</v>
      </c>
      <c r="K220" s="50">
        <f t="shared" si="35"/>
        <v>31.85194537914472</v>
      </c>
      <c r="L220" s="50">
        <f t="shared" si="36"/>
        <v>6.2593639048116989</v>
      </c>
      <c r="M220" s="51"/>
      <c r="N220" s="50">
        <f t="shared" si="37"/>
        <v>38.111531931068832</v>
      </c>
      <c r="O220" s="52">
        <v>4203962</v>
      </c>
      <c r="P220" s="53">
        <v>160219432</v>
      </c>
      <c r="Q220" s="53">
        <v>133904368</v>
      </c>
      <c r="R220" s="53">
        <v>26314128</v>
      </c>
      <c r="S220" s="54"/>
      <c r="T220" s="55">
        <v>40.455800000000004</v>
      </c>
      <c r="U220" s="55">
        <v>42.909300000000002</v>
      </c>
      <c r="V220" s="55">
        <v>41.599499999999999</v>
      </c>
      <c r="W220" s="56"/>
      <c r="X220" s="57"/>
      <c r="Y220" s="57"/>
      <c r="AA220" s="49" t="str">
        <f t="shared" si="38"/>
        <v>·</v>
      </c>
      <c r="AB220" s="50">
        <f t="shared" si="39"/>
        <v>36.971584424407261</v>
      </c>
      <c r="AC220" s="50">
        <f t="shared" si="40"/>
        <v>31.85194537914472</v>
      </c>
      <c r="AD220" s="50">
        <f t="shared" si="41"/>
        <v>5.119418301116899</v>
      </c>
      <c r="AE220" s="51"/>
      <c r="AF220" s="50">
        <f t="shared" si="42"/>
        <v>36.971584424407261</v>
      </c>
      <c r="AG220" s="52">
        <v>4203962</v>
      </c>
      <c r="AH220" s="53">
        <v>155427136</v>
      </c>
      <c r="AI220" s="53">
        <v>133904368</v>
      </c>
      <c r="AJ220" s="53">
        <v>21521840</v>
      </c>
      <c r="AK220" s="54"/>
      <c r="AL220" s="55">
        <v>39.323500000000003</v>
      </c>
      <c r="AM220" s="55">
        <v>42.0122</v>
      </c>
      <c r="AN220" s="55">
        <v>40.630099999999999</v>
      </c>
      <c r="AO220" s="56"/>
      <c r="AP220" s="57"/>
      <c r="AQ220" s="57"/>
      <c r="AS220" s="58">
        <f t="shared" si="43"/>
        <v>2.5768927672943587E-2</v>
      </c>
      <c r="AT220" s="58"/>
      <c r="AV220" s="59"/>
      <c r="AW220" s="59"/>
      <c r="AX220" s="59"/>
      <c r="AY220" s="60"/>
      <c r="BA220" s="59"/>
      <c r="BB220" s="59"/>
      <c r="BC220" s="59"/>
      <c r="BD220" s="60"/>
    </row>
    <row r="221" spans="1:56" collapsed="1" x14ac:dyDescent="0.15">
      <c r="A221" s="16"/>
      <c r="B221" s="16" t="s">
        <v>339</v>
      </c>
      <c r="C221" s="17" t="s">
        <v>225</v>
      </c>
      <c r="D221" s="16">
        <v>1010591</v>
      </c>
      <c r="E221" s="18">
        <v>20</v>
      </c>
      <c r="F221" s="17">
        <v>1</v>
      </c>
      <c r="G221" s="17"/>
      <c r="I221" s="19" t="str">
        <f t="shared" si="33"/>
        <v>·</v>
      </c>
      <c r="J221" s="20">
        <f t="shared" si="34"/>
        <v>32.571143024230373</v>
      </c>
      <c r="K221" s="20">
        <f t="shared" si="35"/>
        <v>32.437819058352986</v>
      </c>
      <c r="L221" s="20">
        <f t="shared" si="36"/>
        <v>0.13279358316074455</v>
      </c>
      <c r="M221" s="21"/>
      <c r="N221" s="20">
        <f t="shared" si="37"/>
        <v>32.571143024230373</v>
      </c>
      <c r="O221" s="22">
        <v>1010591</v>
      </c>
      <c r="P221" s="23">
        <v>32916104</v>
      </c>
      <c r="Q221" s="23">
        <v>32781368</v>
      </c>
      <c r="R221" s="23">
        <v>134200</v>
      </c>
      <c r="S221" s="24"/>
      <c r="T221" s="25">
        <v>21.227799999999998</v>
      </c>
      <c r="U221" s="25">
        <v>31.6036</v>
      </c>
      <c r="V221" s="25">
        <v>33.793700000000001</v>
      </c>
      <c r="W221" s="26"/>
      <c r="X221" s="27"/>
      <c r="Y221" s="27"/>
      <c r="AA221" s="19" t="str">
        <f t="shared" si="38"/>
        <v>·</v>
      </c>
      <c r="AB221" s="20">
        <f t="shared" si="39"/>
        <v>32.489234517228034</v>
      </c>
      <c r="AC221" s="20">
        <f t="shared" si="40"/>
        <v>32.437819058352986</v>
      </c>
      <c r="AD221" s="20">
        <f t="shared" si="41"/>
        <v>5.0892992318356291E-2</v>
      </c>
      <c r="AE221" s="21"/>
      <c r="AF221" s="20">
        <f t="shared" si="42"/>
        <v>32.489234517228034</v>
      </c>
      <c r="AG221" s="22">
        <v>1010591</v>
      </c>
      <c r="AH221" s="23">
        <v>32833328</v>
      </c>
      <c r="AI221" s="23">
        <v>32781368</v>
      </c>
      <c r="AJ221" s="23">
        <v>51432</v>
      </c>
      <c r="AK221" s="24"/>
      <c r="AL221" s="25">
        <v>19.8141</v>
      </c>
      <c r="AM221" s="25">
        <v>30.375399999999999</v>
      </c>
      <c r="AN221" s="25">
        <v>32.866100000000003</v>
      </c>
      <c r="AO221" s="26"/>
      <c r="AP221" s="27"/>
      <c r="AQ221" s="27"/>
      <c r="AS221" s="28">
        <f t="shared" si="43"/>
        <v>2.5107772112809013E-3</v>
      </c>
      <c r="AT221" s="28">
        <f t="array" ref="AT221">AVERAGE(AI221:AI226/AH221:AH226) - AVERAGE(Q221:Q226/P221:P226)</f>
        <v>1.1135814454713344E-2</v>
      </c>
      <c r="AV221" s="29">
        <f>IF( OR(ISBLANK(R221:R226),ISBLANK(AJ221:AJ226), ISBLANK(T221:T226),ISBLANK(AL221:AL226)), "·", bdRateExtend( R221:R226,T221:T226, AJ221:AJ226,AL221:AL226))</f>
        <v>-7.6026888776520196E-2</v>
      </c>
      <c r="AW221" s="29">
        <f>IF( OR(ISBLANK(R221:R226),ISBLANK(AJ221:AJ226), ISBLANK(U221:U226),ISBLANK(AM221:AM226)), "·", bdRateExtend( R221:R226,U221:U226, AJ221:AJ226,AM221:AM226))</f>
        <v>0.23838312642142534</v>
      </c>
      <c r="AX221" s="29">
        <f>IF( OR(ISBLANK(R221:R226),ISBLANK(AJ221:AJ226), ISBLANK(V221:V226),ISBLANK(AN221:AN226)), "·", bdRateExtend( R221:R226,V221:V226, AJ221:AJ226,AN221:AN226))</f>
        <v>0.27748133346980364</v>
      </c>
      <c r="AY221" s="30"/>
      <c r="BA221" s="29">
        <f>IF( OR(ISBLANK(P221:P226),ISBLANK(AH221:AH226), ISBLANK(T221:T226),ISBLANK(AL221:AL226)), "·", bdRateExtend( P221:P226,T221:T226, AH221:AH226,AL221:AL226))</f>
        <v>-4.6288906624462056E-3</v>
      </c>
      <c r="BB221" s="29">
        <f>IF( OR(ISBLANK(P221:P226),ISBLANK(AH221:AH226), ISBLANK(U221:U226),ISBLANK(AM221:AM226)), "·", bdRateExtend( P221:P226,U221:U226, AH221:AH226,AM221:AM226))</f>
        <v>5.9931672072344178E-3</v>
      </c>
      <c r="BC221" s="29">
        <f>IF( OR(ISBLANK(P221:P226),ISBLANK(AH221:AH226), ISBLANK(V221:V226),ISBLANK(AN221:AN226)), "·", bdRateExtend( P221:P226,V221:V226, AH221:AH226,AN221:AN226))</f>
        <v>8.2942156843550663E-3</v>
      </c>
      <c r="BD221" s="30"/>
    </row>
    <row r="222" spans="1:56" outlineLevel="1" x14ac:dyDescent="0.15">
      <c r="A222" s="31"/>
      <c r="B222" s="31" t="s">
        <v>339</v>
      </c>
      <c r="C222" s="32" t="s">
        <v>226</v>
      </c>
      <c r="D222" s="31">
        <v>1010591</v>
      </c>
      <c r="E222" s="33">
        <v>20</v>
      </c>
      <c r="F222" s="32">
        <v>1</v>
      </c>
      <c r="G222" s="32"/>
      <c r="I222" s="34" t="str">
        <f t="shared" si="33"/>
        <v>·</v>
      </c>
      <c r="J222" s="35">
        <f t="shared" si="34"/>
        <v>32.756476160979069</v>
      </c>
      <c r="K222" s="35">
        <f t="shared" si="35"/>
        <v>32.437819058352986</v>
      </c>
      <c r="L222" s="35">
        <f t="shared" si="36"/>
        <v>0.31812671990943914</v>
      </c>
      <c r="M222" s="36"/>
      <c r="N222" s="35">
        <f t="shared" si="37"/>
        <v>32.756476160979069</v>
      </c>
      <c r="O222" s="37">
        <v>1010591</v>
      </c>
      <c r="P222" s="38">
        <v>33103400</v>
      </c>
      <c r="Q222" s="38">
        <v>32781368</v>
      </c>
      <c r="R222" s="38">
        <v>321496</v>
      </c>
      <c r="S222" s="39"/>
      <c r="T222" s="40">
        <v>22.953800000000001</v>
      </c>
      <c r="U222" s="40">
        <v>33.067100000000003</v>
      </c>
      <c r="V222" s="40">
        <v>34.935899999999997</v>
      </c>
      <c r="W222" s="41"/>
      <c r="X222" s="42"/>
      <c r="Y222" s="42"/>
      <c r="AA222" s="34" t="str">
        <f t="shared" si="38"/>
        <v>·</v>
      </c>
      <c r="AB222" s="35">
        <f t="shared" si="39"/>
        <v>32.592176261217446</v>
      </c>
      <c r="AC222" s="35">
        <f t="shared" si="40"/>
        <v>32.437819058352986</v>
      </c>
      <c r="AD222" s="35">
        <f t="shared" si="41"/>
        <v>0.15383473630776448</v>
      </c>
      <c r="AE222" s="36"/>
      <c r="AF222" s="35">
        <f t="shared" si="42"/>
        <v>32.592176261217446</v>
      </c>
      <c r="AG222" s="37">
        <v>1010591</v>
      </c>
      <c r="AH222" s="38">
        <v>32937360</v>
      </c>
      <c r="AI222" s="38">
        <v>32781368</v>
      </c>
      <c r="AJ222" s="38">
        <v>155464</v>
      </c>
      <c r="AK222" s="39"/>
      <c r="AL222" s="40">
        <v>21.459599999999998</v>
      </c>
      <c r="AM222" s="40">
        <v>31.528099999999998</v>
      </c>
      <c r="AN222" s="40">
        <v>33.679699999999997</v>
      </c>
      <c r="AO222" s="41"/>
      <c r="AP222" s="42"/>
      <c r="AQ222" s="42"/>
      <c r="AS222" s="43">
        <f t="shared" si="43"/>
        <v>4.9920440564280577E-3</v>
      </c>
      <c r="AT222" s="43"/>
      <c r="AV222" s="44"/>
      <c r="AW222" s="44"/>
      <c r="AX222" s="44"/>
      <c r="AY222" s="45"/>
      <c r="BA222" s="44"/>
      <c r="BB222" s="44"/>
      <c r="BC222" s="44"/>
      <c r="BD222" s="45"/>
    </row>
    <row r="223" spans="1:56" outlineLevel="1" x14ac:dyDescent="0.15">
      <c r="A223" s="16"/>
      <c r="B223" s="16" t="s">
        <v>339</v>
      </c>
      <c r="C223" s="17" t="s">
        <v>227</v>
      </c>
      <c r="D223" s="16">
        <v>1010591</v>
      </c>
      <c r="E223" s="18">
        <v>20</v>
      </c>
      <c r="F223" s="17">
        <v>1</v>
      </c>
      <c r="G223" s="17"/>
      <c r="I223" s="19" t="str">
        <f t="shared" si="33"/>
        <v>·</v>
      </c>
      <c r="J223" s="20">
        <f t="shared" si="34"/>
        <v>33.267947171506577</v>
      </c>
      <c r="K223" s="20">
        <f t="shared" si="35"/>
        <v>32.437819058352986</v>
      </c>
      <c r="L223" s="20">
        <f t="shared" si="36"/>
        <v>0.82959773043694229</v>
      </c>
      <c r="M223" s="21"/>
      <c r="N223" s="20">
        <f t="shared" si="37"/>
        <v>33.267947171506577</v>
      </c>
      <c r="O223" s="22">
        <v>1010591</v>
      </c>
      <c r="P223" s="23">
        <v>33620288</v>
      </c>
      <c r="Q223" s="23">
        <v>32781368</v>
      </c>
      <c r="R223" s="23">
        <v>838384</v>
      </c>
      <c r="S223" s="24"/>
      <c r="T223" s="25">
        <v>25.9239</v>
      </c>
      <c r="U223" s="25">
        <v>34.7059</v>
      </c>
      <c r="V223" s="25">
        <v>36.439</v>
      </c>
      <c r="W223" s="26"/>
      <c r="X223" s="27"/>
      <c r="Y223" s="27"/>
      <c r="AA223" s="19" t="str">
        <f t="shared" si="38"/>
        <v>·</v>
      </c>
      <c r="AB223" s="20">
        <f t="shared" si="39"/>
        <v>32.97125741274165</v>
      </c>
      <c r="AC223" s="20">
        <f t="shared" si="40"/>
        <v>32.437819058352986</v>
      </c>
      <c r="AD223" s="20">
        <f t="shared" si="41"/>
        <v>0.53291588783197164</v>
      </c>
      <c r="AE223" s="21"/>
      <c r="AF223" s="20">
        <f t="shared" si="42"/>
        <v>32.97125741274165</v>
      </c>
      <c r="AG223" s="22">
        <v>1010591</v>
      </c>
      <c r="AH223" s="23">
        <v>33320456</v>
      </c>
      <c r="AI223" s="23">
        <v>32781368</v>
      </c>
      <c r="AJ223" s="23">
        <v>538560</v>
      </c>
      <c r="AK223" s="24"/>
      <c r="AL223" s="25">
        <v>24.5412</v>
      </c>
      <c r="AM223" s="25">
        <v>33.081400000000002</v>
      </c>
      <c r="AN223" s="25">
        <v>35.020800000000001</v>
      </c>
      <c r="AO223" s="26"/>
      <c r="AP223" s="27"/>
      <c r="AQ223" s="27"/>
      <c r="AS223" s="28">
        <f t="shared" si="43"/>
        <v>8.773900181488492E-3</v>
      </c>
      <c r="AT223" s="28"/>
      <c r="AV223" s="29"/>
      <c r="AW223" s="29"/>
      <c r="AX223" s="29"/>
      <c r="AY223" s="30"/>
      <c r="BA223" s="29"/>
      <c r="BB223" s="29"/>
      <c r="BC223" s="29"/>
      <c r="BD223" s="30"/>
    </row>
    <row r="224" spans="1:56" outlineLevel="1" x14ac:dyDescent="0.15">
      <c r="A224" s="31"/>
      <c r="B224" s="31" t="s">
        <v>339</v>
      </c>
      <c r="C224" s="32" t="s">
        <v>228</v>
      </c>
      <c r="D224" s="31">
        <v>1010591</v>
      </c>
      <c r="E224" s="33">
        <v>20</v>
      </c>
      <c r="F224" s="32">
        <v>1</v>
      </c>
      <c r="G224" s="32"/>
      <c r="I224" s="34" t="str">
        <f t="shared" si="33"/>
        <v>·</v>
      </c>
      <c r="J224" s="35">
        <f t="shared" si="34"/>
        <v>34.213334573531725</v>
      </c>
      <c r="K224" s="35">
        <f t="shared" si="35"/>
        <v>32.437819058352986</v>
      </c>
      <c r="L224" s="35">
        <f t="shared" si="36"/>
        <v>1.774985132462094</v>
      </c>
      <c r="M224" s="36"/>
      <c r="N224" s="35">
        <f t="shared" si="37"/>
        <v>34.213334573531725</v>
      </c>
      <c r="O224" s="37">
        <v>1010591</v>
      </c>
      <c r="P224" s="38">
        <v>34575688</v>
      </c>
      <c r="Q224" s="38">
        <v>32781368</v>
      </c>
      <c r="R224" s="38">
        <v>1793784</v>
      </c>
      <c r="S224" s="39"/>
      <c r="T224" s="40">
        <v>30.1919</v>
      </c>
      <c r="U224" s="40">
        <v>36.659500000000001</v>
      </c>
      <c r="V224" s="40">
        <v>38.137999999999998</v>
      </c>
      <c r="W224" s="41"/>
      <c r="X224" s="42"/>
      <c r="Y224" s="42"/>
      <c r="AA224" s="34" t="str">
        <f t="shared" si="38"/>
        <v>·</v>
      </c>
      <c r="AB224" s="35">
        <f t="shared" si="39"/>
        <v>33.735958463908744</v>
      </c>
      <c r="AC224" s="35">
        <f t="shared" si="40"/>
        <v>32.437819058352986</v>
      </c>
      <c r="AD224" s="35">
        <f t="shared" si="41"/>
        <v>1.2976169389990611</v>
      </c>
      <c r="AE224" s="36"/>
      <c r="AF224" s="35">
        <f t="shared" si="42"/>
        <v>33.735958463908744</v>
      </c>
      <c r="AG224" s="37">
        <v>1010591</v>
      </c>
      <c r="AH224" s="38">
        <v>34093256</v>
      </c>
      <c r="AI224" s="38">
        <v>32781368</v>
      </c>
      <c r="AJ224" s="38">
        <v>1311360</v>
      </c>
      <c r="AK224" s="39"/>
      <c r="AL224" s="40">
        <v>28.792899999999999</v>
      </c>
      <c r="AM224" s="40">
        <v>34.959400000000002</v>
      </c>
      <c r="AN224" s="40">
        <v>36.634099999999997</v>
      </c>
      <c r="AO224" s="41"/>
      <c r="AP224" s="42"/>
      <c r="AQ224" s="42"/>
      <c r="AS224" s="43">
        <f t="shared" si="43"/>
        <v>1.3416025346868699E-2</v>
      </c>
      <c r="AT224" s="43"/>
      <c r="AV224" s="44"/>
      <c r="AW224" s="44"/>
      <c r="AX224" s="44"/>
      <c r="AY224" s="45"/>
      <c r="BA224" s="44"/>
      <c r="BB224" s="44"/>
      <c r="BC224" s="44"/>
      <c r="BD224" s="45"/>
    </row>
    <row r="225" spans="1:56" outlineLevel="1" x14ac:dyDescent="0.15">
      <c r="A225" s="16"/>
      <c r="B225" s="16" t="s">
        <v>339</v>
      </c>
      <c r="C225" s="17" t="s">
        <v>229</v>
      </c>
      <c r="D225" s="16">
        <v>1010591</v>
      </c>
      <c r="E225" s="18">
        <v>20</v>
      </c>
      <c r="F225" s="17">
        <v>1</v>
      </c>
      <c r="G225" s="17"/>
      <c r="I225" s="19" t="str">
        <f t="shared" si="33"/>
        <v>·</v>
      </c>
      <c r="J225" s="20">
        <f t="shared" si="34"/>
        <v>35.662474730133162</v>
      </c>
      <c r="K225" s="20">
        <f t="shared" si="35"/>
        <v>32.437819058352986</v>
      </c>
      <c r="L225" s="20">
        <f t="shared" si="36"/>
        <v>3.2241252890635281</v>
      </c>
      <c r="M225" s="21"/>
      <c r="N225" s="20">
        <f t="shared" si="37"/>
        <v>35.662474730133162</v>
      </c>
      <c r="O225" s="22">
        <v>1010591</v>
      </c>
      <c r="P225" s="23">
        <v>36040176</v>
      </c>
      <c r="Q225" s="23">
        <v>32781368</v>
      </c>
      <c r="R225" s="23">
        <v>3258272</v>
      </c>
      <c r="S225" s="24"/>
      <c r="T225" s="25">
        <v>35.361899999999999</v>
      </c>
      <c r="U225" s="25">
        <v>39.195900000000002</v>
      </c>
      <c r="V225" s="25">
        <v>40.249099999999999</v>
      </c>
      <c r="W225" s="26"/>
      <c r="X225" s="27"/>
      <c r="Y225" s="27"/>
      <c r="AA225" s="19" t="str">
        <f t="shared" si="38"/>
        <v>·</v>
      </c>
      <c r="AB225" s="20">
        <f t="shared" si="39"/>
        <v>35.039686678389181</v>
      </c>
      <c r="AC225" s="20">
        <f t="shared" si="40"/>
        <v>32.437819058352986</v>
      </c>
      <c r="AD225" s="20">
        <f t="shared" si="41"/>
        <v>2.6013451534794987</v>
      </c>
      <c r="AE225" s="21"/>
      <c r="AF225" s="20">
        <f t="shared" si="42"/>
        <v>35.039686678389181</v>
      </c>
      <c r="AG225" s="22">
        <v>1010591</v>
      </c>
      <c r="AH225" s="23">
        <v>35410792</v>
      </c>
      <c r="AI225" s="23">
        <v>32781368</v>
      </c>
      <c r="AJ225" s="23">
        <v>2628896</v>
      </c>
      <c r="AK225" s="24"/>
      <c r="AL225" s="25">
        <v>34.188000000000002</v>
      </c>
      <c r="AM225" s="25">
        <v>37.738900000000001</v>
      </c>
      <c r="AN225" s="25">
        <v>38.829000000000001</v>
      </c>
      <c r="AO225" s="26"/>
      <c r="AP225" s="27"/>
      <c r="AQ225" s="27"/>
      <c r="AS225" s="28">
        <f t="shared" si="43"/>
        <v>1.6166657137662632E-2</v>
      </c>
      <c r="AT225" s="28"/>
      <c r="AV225" s="29"/>
      <c r="AW225" s="29"/>
      <c r="AX225" s="29"/>
      <c r="AY225" s="30"/>
      <c r="BA225" s="29"/>
      <c r="BB225" s="29"/>
      <c r="BC225" s="29"/>
      <c r="BD225" s="30"/>
    </row>
    <row r="226" spans="1:56" outlineLevel="1" x14ac:dyDescent="0.15">
      <c r="A226" s="31"/>
      <c r="B226" s="46" t="s">
        <v>339</v>
      </c>
      <c r="C226" s="47" t="s">
        <v>230</v>
      </c>
      <c r="D226" s="46">
        <v>1010591</v>
      </c>
      <c r="E226" s="48">
        <v>20</v>
      </c>
      <c r="F226" s="47">
        <v>1</v>
      </c>
      <c r="G226" s="47"/>
      <c r="I226" s="49" t="str">
        <f t="shared" si="33"/>
        <v>·</v>
      </c>
      <c r="J226" s="50">
        <f t="shared" si="34"/>
        <v>37.767405409310001</v>
      </c>
      <c r="K226" s="50">
        <f t="shared" si="35"/>
        <v>32.437819058352986</v>
      </c>
      <c r="L226" s="50">
        <f t="shared" si="36"/>
        <v>5.3290559682403664</v>
      </c>
      <c r="M226" s="51"/>
      <c r="N226" s="50">
        <f t="shared" si="37"/>
        <v>37.767405409310001</v>
      </c>
      <c r="O226" s="52">
        <v>1010591</v>
      </c>
      <c r="P226" s="53">
        <v>38167400</v>
      </c>
      <c r="Q226" s="53">
        <v>32781368</v>
      </c>
      <c r="R226" s="53">
        <v>5385496</v>
      </c>
      <c r="S226" s="54"/>
      <c r="T226" s="55">
        <v>40.907499999999999</v>
      </c>
      <c r="U226" s="55">
        <v>42.715400000000002</v>
      </c>
      <c r="V226" s="55">
        <v>43.192300000000003</v>
      </c>
      <c r="W226" s="56"/>
      <c r="X226" s="57"/>
      <c r="Y226" s="57"/>
      <c r="AA226" s="49" t="str">
        <f t="shared" si="38"/>
        <v>·</v>
      </c>
      <c r="AB226" s="50">
        <f t="shared" si="39"/>
        <v>36.867884238034975</v>
      </c>
      <c r="AC226" s="50">
        <f t="shared" si="40"/>
        <v>32.437819058352986</v>
      </c>
      <c r="AD226" s="50">
        <f t="shared" si="41"/>
        <v>4.42954271312529</v>
      </c>
      <c r="AE226" s="51"/>
      <c r="AF226" s="50">
        <f t="shared" si="42"/>
        <v>36.867884238034975</v>
      </c>
      <c r="AG226" s="52">
        <v>1010591</v>
      </c>
      <c r="AH226" s="53">
        <v>37258352</v>
      </c>
      <c r="AI226" s="53">
        <v>32781368</v>
      </c>
      <c r="AJ226" s="53">
        <v>4476456</v>
      </c>
      <c r="AK226" s="54"/>
      <c r="AL226" s="55">
        <v>39.422499999999999</v>
      </c>
      <c r="AM226" s="55">
        <v>41.250900000000001</v>
      </c>
      <c r="AN226" s="55">
        <v>41.717300000000002</v>
      </c>
      <c r="AO226" s="56"/>
      <c r="AP226" s="57"/>
      <c r="AQ226" s="57"/>
      <c r="AS226" s="58">
        <f t="shared" si="43"/>
        <v>2.0955482794552172E-2</v>
      </c>
      <c r="AT226" s="58"/>
      <c r="AV226" s="59"/>
      <c r="AW226" s="59"/>
      <c r="AX226" s="59"/>
      <c r="AY226" s="60"/>
      <c r="BA226" s="59"/>
      <c r="BB226" s="59"/>
      <c r="BC226" s="59"/>
      <c r="BD226" s="60"/>
    </row>
    <row r="227" spans="1:56" collapsed="1" x14ac:dyDescent="0.15">
      <c r="A227" s="16"/>
      <c r="B227" s="16" t="s">
        <v>342</v>
      </c>
      <c r="C227" s="17" t="s">
        <v>225</v>
      </c>
      <c r="D227" s="16">
        <v>47062002</v>
      </c>
      <c r="E227" s="18">
        <v>16</v>
      </c>
      <c r="F227" s="17">
        <v>1</v>
      </c>
      <c r="G227" s="17"/>
      <c r="I227" s="19" t="str">
        <f t="shared" si="33"/>
        <v>·</v>
      </c>
      <c r="J227" s="20">
        <f t="shared" si="34"/>
        <v>11.128820401648023</v>
      </c>
      <c r="K227" s="20">
        <f t="shared" si="35"/>
        <v>11.060105942794358</v>
      </c>
      <c r="L227" s="20">
        <f t="shared" si="36"/>
        <v>6.8606346155864764E-2</v>
      </c>
      <c r="M227" s="21"/>
      <c r="N227" s="20">
        <f t="shared" si="37"/>
        <v>11.128820401648023</v>
      </c>
      <c r="O227" s="22">
        <v>47062002</v>
      </c>
      <c r="P227" s="23">
        <v>523744568</v>
      </c>
      <c r="Q227" s="23">
        <v>520510728</v>
      </c>
      <c r="R227" s="23">
        <v>3228752</v>
      </c>
      <c r="S227" s="24"/>
      <c r="T227" s="25">
        <v>25.692</v>
      </c>
      <c r="U227" s="25">
        <v>36.064700000000002</v>
      </c>
      <c r="V227" s="25">
        <v>39.349699999999999</v>
      </c>
      <c r="W227" s="26"/>
      <c r="X227" s="27"/>
      <c r="Y227" s="27"/>
      <c r="AA227" s="19" t="str">
        <f t="shared" si="38"/>
        <v>·</v>
      </c>
      <c r="AB227" s="20">
        <f t="shared" si="39"/>
        <v>11.095807441425887</v>
      </c>
      <c r="AC227" s="20">
        <f t="shared" si="40"/>
        <v>11.060105942794358</v>
      </c>
      <c r="AD227" s="20">
        <f t="shared" si="41"/>
        <v>3.5593555922249123E-2</v>
      </c>
      <c r="AE227" s="21"/>
      <c r="AF227" s="20">
        <f t="shared" si="42"/>
        <v>11.095807441425887</v>
      </c>
      <c r="AG227" s="22">
        <v>47062002</v>
      </c>
      <c r="AH227" s="23">
        <v>522190912</v>
      </c>
      <c r="AI227" s="23">
        <v>520510728</v>
      </c>
      <c r="AJ227" s="23">
        <v>1675104</v>
      </c>
      <c r="AK227" s="24"/>
      <c r="AL227" s="25">
        <v>24.145</v>
      </c>
      <c r="AM227" s="25">
        <v>35.106299999999997</v>
      </c>
      <c r="AN227" s="25">
        <v>37.973399999999998</v>
      </c>
      <c r="AO227" s="26"/>
      <c r="AP227" s="27"/>
      <c r="AQ227" s="27"/>
      <c r="AS227" s="28">
        <f t="shared" si="43"/>
        <v>2.9568936903177079E-3</v>
      </c>
      <c r="AT227" s="28">
        <f t="array" ref="AT227">AVERAGE(AI227:AI232/AH227:AH232) - AVERAGE(Q227:Q232/P227:P232)</f>
        <v>1.3999222765122998E-2</v>
      </c>
      <c r="AV227" s="29">
        <f>IF( OR(ISBLANK(R227:R232),ISBLANK(AJ227:AJ232), ISBLANK(T227:T232),ISBLANK(AL227:AL232)), "·", bdRateExtend( R227:R232,T227:T232, AJ227:AJ232,AL227:AL232))</f>
        <v>-4.697619117090901E-2</v>
      </c>
      <c r="AW227" s="29">
        <f>IF( OR(ISBLANK(R227:R232),ISBLANK(AJ227:AJ232), ISBLANK(U227:U232),ISBLANK(AM227:AM232)), "·", bdRateExtend( R227:R232,U227:U232, AJ227:AJ232,AM227:AM232))</f>
        <v>0.15904920363877273</v>
      </c>
      <c r="AX227" s="29">
        <f>IF( OR(ISBLANK(R227:R232),ISBLANK(AJ227:AJ232), ISBLANK(V227:V232),ISBLANK(AN227:AN232)), "·", bdRateExtend( R227:R232,V227:V232, AJ227:AJ232,AN227:AN232))</f>
        <v>0.21435137403023097</v>
      </c>
      <c r="AY227" s="30"/>
      <c r="BA227" s="29">
        <f>IF( OR(ISBLANK(P227:P232),ISBLANK(AH227:AH232), ISBLANK(T227:T232),ISBLANK(AL227:AL232)), "·", bdRateExtend( P227:P232,T227:T232, AH227:AH232,AL227:AL232))</f>
        <v>-3.1654154269739054E-3</v>
      </c>
      <c r="BB227" s="29">
        <f>IF( OR(ISBLANK(P227:P232),ISBLANK(AH227:AH232), ISBLANK(U227:U232),ISBLANK(AM227:AM232)), "·", bdRateExtend( P227:P232,U227:U232, AH227:AH232,AM227:AM232))</f>
        <v>6.3983914699952127E-3</v>
      </c>
      <c r="BC227" s="29">
        <f>IF( OR(ISBLANK(P227:P232),ISBLANK(AH227:AH232), ISBLANK(V227:V232),ISBLANK(AN227:AN232)), "·", bdRateExtend( P227:P232,V227:V232, AH227:AH232,AN227:AN232))</f>
        <v>7.8478827013386265E-3</v>
      </c>
      <c r="BD227" s="30"/>
    </row>
    <row r="228" spans="1:56" outlineLevel="1" x14ac:dyDescent="0.15">
      <c r="A228" s="31"/>
      <c r="B228" s="31" t="s">
        <v>342</v>
      </c>
      <c r="C228" s="32" t="s">
        <v>226</v>
      </c>
      <c r="D228" s="31">
        <v>47062002</v>
      </c>
      <c r="E228" s="33">
        <v>16</v>
      </c>
      <c r="F228" s="32">
        <v>1</v>
      </c>
      <c r="G228" s="32"/>
      <c r="I228" s="34" t="str">
        <f t="shared" si="33"/>
        <v>·</v>
      </c>
      <c r="J228" s="35">
        <f t="shared" si="34"/>
        <v>11.206819293407875</v>
      </c>
      <c r="K228" s="35">
        <f t="shared" si="35"/>
        <v>11.060105942794358</v>
      </c>
      <c r="L228" s="35">
        <f t="shared" si="36"/>
        <v>0.14660523791571808</v>
      </c>
      <c r="M228" s="36"/>
      <c r="N228" s="35">
        <f t="shared" si="37"/>
        <v>11.206819293407875</v>
      </c>
      <c r="O228" s="37">
        <v>47062002</v>
      </c>
      <c r="P228" s="38">
        <v>527415352</v>
      </c>
      <c r="Q228" s="38">
        <v>520510728</v>
      </c>
      <c r="R228" s="38">
        <v>6899536</v>
      </c>
      <c r="S228" s="39"/>
      <c r="T228" s="40">
        <v>27.858799999999999</v>
      </c>
      <c r="U228" s="40">
        <v>38.404499999999999</v>
      </c>
      <c r="V228" s="40">
        <v>40.8596</v>
      </c>
      <c r="W228" s="41"/>
      <c r="X228" s="42"/>
      <c r="Y228" s="42"/>
      <c r="AA228" s="34" t="str">
        <f t="shared" si="38"/>
        <v>·</v>
      </c>
      <c r="AB228" s="35">
        <f t="shared" si="39"/>
        <v>11.145155278349613</v>
      </c>
      <c r="AC228" s="35">
        <f t="shared" si="40"/>
        <v>11.060105942794358</v>
      </c>
      <c r="AD228" s="35">
        <f t="shared" si="41"/>
        <v>8.4941392845973698E-2</v>
      </c>
      <c r="AE228" s="36"/>
      <c r="AF228" s="35">
        <f t="shared" si="42"/>
        <v>11.145155278349613</v>
      </c>
      <c r="AG228" s="37">
        <v>47062002</v>
      </c>
      <c r="AH228" s="38">
        <v>524513320</v>
      </c>
      <c r="AI228" s="38">
        <v>520510728</v>
      </c>
      <c r="AJ228" s="38">
        <v>3997512</v>
      </c>
      <c r="AK228" s="39"/>
      <c r="AL228" s="40">
        <v>26.2773</v>
      </c>
      <c r="AM228" s="40">
        <v>36.687100000000001</v>
      </c>
      <c r="AN228" s="40">
        <v>39.3337</v>
      </c>
      <c r="AO228" s="41"/>
      <c r="AP228" s="42"/>
      <c r="AQ228" s="42"/>
      <c r="AS228" s="43">
        <f t="shared" si="43"/>
        <v>5.4603765555401029E-3</v>
      </c>
      <c r="AT228" s="43"/>
      <c r="AV228" s="44"/>
      <c r="AW228" s="44"/>
      <c r="AX228" s="44"/>
      <c r="AY228" s="45"/>
      <c r="BA228" s="44"/>
      <c r="BB228" s="44"/>
      <c r="BC228" s="44"/>
      <c r="BD228" s="45"/>
    </row>
    <row r="229" spans="1:56" outlineLevel="1" x14ac:dyDescent="0.15">
      <c r="A229" s="16"/>
      <c r="B229" s="16" t="s">
        <v>342</v>
      </c>
      <c r="C229" s="17" t="s">
        <v>227</v>
      </c>
      <c r="D229" s="16">
        <v>47062002</v>
      </c>
      <c r="E229" s="18">
        <v>16</v>
      </c>
      <c r="F229" s="17">
        <v>1</v>
      </c>
      <c r="G229" s="17"/>
      <c r="I229" s="19" t="str">
        <f t="shared" si="33"/>
        <v>·</v>
      </c>
      <c r="J229" s="20">
        <f t="shared" si="34"/>
        <v>11.394312549644615</v>
      </c>
      <c r="K229" s="20">
        <f t="shared" si="35"/>
        <v>11.060105942794358</v>
      </c>
      <c r="L229" s="20">
        <f t="shared" si="36"/>
        <v>0.33409849415245868</v>
      </c>
      <c r="M229" s="21"/>
      <c r="N229" s="20">
        <f t="shared" si="37"/>
        <v>11.394312549644615</v>
      </c>
      <c r="O229" s="22">
        <v>47062002</v>
      </c>
      <c r="P229" s="23">
        <v>536239160</v>
      </c>
      <c r="Q229" s="23">
        <v>520510728</v>
      </c>
      <c r="R229" s="23">
        <v>15723344</v>
      </c>
      <c r="S229" s="24"/>
      <c r="T229" s="25">
        <v>30.859200000000001</v>
      </c>
      <c r="U229" s="25">
        <v>40.529299999999999</v>
      </c>
      <c r="V229" s="25">
        <v>42.731299999999997</v>
      </c>
      <c r="W229" s="26"/>
      <c r="X229" s="27"/>
      <c r="Y229" s="27"/>
      <c r="AA229" s="19" t="str">
        <f t="shared" si="38"/>
        <v>·</v>
      </c>
      <c r="AB229" s="20">
        <f t="shared" si="39"/>
        <v>11.280497417003213</v>
      </c>
      <c r="AC229" s="20">
        <f t="shared" si="40"/>
        <v>11.060105942794358</v>
      </c>
      <c r="AD229" s="20">
        <f t="shared" si="41"/>
        <v>0.22028353149957369</v>
      </c>
      <c r="AE229" s="21"/>
      <c r="AF229" s="20">
        <f t="shared" si="42"/>
        <v>11.280497417003213</v>
      </c>
      <c r="AG229" s="22">
        <v>47062002</v>
      </c>
      <c r="AH229" s="23">
        <v>530882792</v>
      </c>
      <c r="AI229" s="23">
        <v>520510728</v>
      </c>
      <c r="AJ229" s="23">
        <v>10366984</v>
      </c>
      <c r="AK229" s="24"/>
      <c r="AL229" s="25">
        <v>29.331600000000002</v>
      </c>
      <c r="AM229" s="25">
        <v>38.828499999999998</v>
      </c>
      <c r="AN229" s="25">
        <v>41.187399999999997</v>
      </c>
      <c r="AO229" s="26"/>
      <c r="AP229" s="27"/>
      <c r="AQ229" s="27"/>
      <c r="AS229" s="28">
        <f t="shared" si="43"/>
        <v>9.7936125197011226E-3</v>
      </c>
      <c r="AT229" s="28"/>
      <c r="AV229" s="29"/>
      <c r="AW229" s="29"/>
      <c r="AX229" s="29"/>
      <c r="AY229" s="30"/>
      <c r="BA229" s="29"/>
      <c r="BB229" s="29"/>
      <c r="BC229" s="29"/>
      <c r="BD229" s="30"/>
    </row>
    <row r="230" spans="1:56" outlineLevel="1" x14ac:dyDescent="0.15">
      <c r="A230" s="31"/>
      <c r="B230" s="31" t="s">
        <v>342</v>
      </c>
      <c r="C230" s="32" t="s">
        <v>228</v>
      </c>
      <c r="D230" s="31">
        <v>47062002</v>
      </c>
      <c r="E230" s="33">
        <v>16</v>
      </c>
      <c r="F230" s="32">
        <v>1</v>
      </c>
      <c r="G230" s="32"/>
      <c r="I230" s="34" t="str">
        <f t="shared" si="33"/>
        <v>·</v>
      </c>
      <c r="J230" s="35">
        <f t="shared" si="34"/>
        <v>11.738726797045311</v>
      </c>
      <c r="K230" s="35">
        <f t="shared" si="35"/>
        <v>11.060105942794358</v>
      </c>
      <c r="L230" s="35">
        <f t="shared" si="36"/>
        <v>0.67851274155315366</v>
      </c>
      <c r="M230" s="36"/>
      <c r="N230" s="35">
        <f t="shared" si="37"/>
        <v>11.738726797045311</v>
      </c>
      <c r="O230" s="37">
        <v>47062002</v>
      </c>
      <c r="P230" s="38">
        <v>552447984</v>
      </c>
      <c r="Q230" s="38">
        <v>520510728</v>
      </c>
      <c r="R230" s="38">
        <v>31932168</v>
      </c>
      <c r="S230" s="39"/>
      <c r="T230" s="40">
        <v>34.703899999999997</v>
      </c>
      <c r="U230" s="40">
        <v>42.781799999999997</v>
      </c>
      <c r="V230" s="40">
        <v>44.6556</v>
      </c>
      <c r="W230" s="41"/>
      <c r="X230" s="42"/>
      <c r="Y230" s="42"/>
      <c r="AA230" s="34" t="str">
        <f t="shared" si="38"/>
        <v>·</v>
      </c>
      <c r="AB230" s="35">
        <f t="shared" si="39"/>
        <v>11.54828050026431</v>
      </c>
      <c r="AC230" s="35">
        <f t="shared" si="40"/>
        <v>11.060105942794358</v>
      </c>
      <c r="AD230" s="35">
        <f t="shared" si="41"/>
        <v>0.48806661476067253</v>
      </c>
      <c r="AE230" s="36"/>
      <c r="AF230" s="35">
        <f t="shared" si="42"/>
        <v>11.54828050026431</v>
      </c>
      <c r="AG230" s="37">
        <v>47062002</v>
      </c>
      <c r="AH230" s="38">
        <v>543485200</v>
      </c>
      <c r="AI230" s="38">
        <v>520510728</v>
      </c>
      <c r="AJ230" s="38">
        <v>22969392</v>
      </c>
      <c r="AK230" s="39"/>
      <c r="AL230" s="40">
        <v>33.071800000000003</v>
      </c>
      <c r="AM230" s="40">
        <v>41.075299999999999</v>
      </c>
      <c r="AN230" s="40">
        <v>43.144300000000001</v>
      </c>
      <c r="AO230" s="41"/>
      <c r="AP230" s="42"/>
      <c r="AQ230" s="42"/>
      <c r="AS230" s="43">
        <f t="shared" si="43"/>
        <v>1.5537942146309658E-2</v>
      </c>
      <c r="AT230" s="43"/>
      <c r="AV230" s="44"/>
      <c r="AW230" s="44"/>
      <c r="AX230" s="44"/>
      <c r="AY230" s="45"/>
      <c r="BA230" s="44"/>
      <c r="BB230" s="44"/>
      <c r="BC230" s="44"/>
      <c r="BD230" s="45"/>
    </row>
    <row r="231" spans="1:56" outlineLevel="1" x14ac:dyDescent="0.15">
      <c r="A231" s="16"/>
      <c r="B231" s="16" t="s">
        <v>342</v>
      </c>
      <c r="C231" s="17" t="s">
        <v>229</v>
      </c>
      <c r="D231" s="16">
        <v>47062002</v>
      </c>
      <c r="E231" s="18">
        <v>16</v>
      </c>
      <c r="F231" s="17">
        <v>1</v>
      </c>
      <c r="G231" s="17"/>
      <c r="I231" s="19" t="str">
        <f t="shared" si="33"/>
        <v>·</v>
      </c>
      <c r="J231" s="20">
        <f t="shared" si="34"/>
        <v>12.287654231114095</v>
      </c>
      <c r="K231" s="20">
        <f t="shared" si="35"/>
        <v>11.060105942794358</v>
      </c>
      <c r="L231" s="20">
        <f t="shared" si="36"/>
        <v>1.227440175621938</v>
      </c>
      <c r="M231" s="21"/>
      <c r="N231" s="20">
        <f t="shared" si="37"/>
        <v>12.287654231114095</v>
      </c>
      <c r="O231" s="22">
        <v>47062002</v>
      </c>
      <c r="P231" s="23">
        <v>578281608</v>
      </c>
      <c r="Q231" s="23">
        <v>520510728</v>
      </c>
      <c r="R231" s="23">
        <v>57765792</v>
      </c>
      <c r="S231" s="24"/>
      <c r="T231" s="25">
        <v>39.087899999999998</v>
      </c>
      <c r="U231" s="25">
        <v>45.239899999999999</v>
      </c>
      <c r="V231" s="25">
        <v>46.686599999999999</v>
      </c>
      <c r="W231" s="26"/>
      <c r="X231" s="27"/>
      <c r="Y231" s="27"/>
      <c r="AA231" s="19" t="str">
        <f t="shared" si="38"/>
        <v>·</v>
      </c>
      <c r="AB231" s="20">
        <f t="shared" si="39"/>
        <v>12.017046448640242</v>
      </c>
      <c r="AC231" s="20">
        <f t="shared" si="40"/>
        <v>11.060105942794358</v>
      </c>
      <c r="AD231" s="20">
        <f t="shared" si="41"/>
        <v>0.95683256313660436</v>
      </c>
      <c r="AE231" s="21"/>
      <c r="AF231" s="20">
        <f t="shared" si="42"/>
        <v>12.017046448640242</v>
      </c>
      <c r="AG231" s="22">
        <v>47062002</v>
      </c>
      <c r="AH231" s="23">
        <v>565546264</v>
      </c>
      <c r="AI231" s="23">
        <v>520510728</v>
      </c>
      <c r="AJ231" s="23">
        <v>45030456</v>
      </c>
      <c r="AK231" s="24"/>
      <c r="AL231" s="25">
        <v>37.598300000000002</v>
      </c>
      <c r="AM231" s="25">
        <v>43.634900000000002</v>
      </c>
      <c r="AN231" s="25">
        <v>45.2911</v>
      </c>
      <c r="AO231" s="26"/>
      <c r="AP231" s="27"/>
      <c r="AQ231" s="27"/>
      <c r="AS231" s="28">
        <f t="shared" si="43"/>
        <v>2.0269024498439259E-2</v>
      </c>
      <c r="AT231" s="28"/>
      <c r="AV231" s="29"/>
      <c r="AW231" s="29"/>
      <c r="AX231" s="29"/>
      <c r="AY231" s="30"/>
      <c r="BA231" s="29"/>
      <c r="BB231" s="29"/>
      <c r="BC231" s="29"/>
      <c r="BD231" s="30"/>
    </row>
    <row r="232" spans="1:56" outlineLevel="1" x14ac:dyDescent="0.15">
      <c r="A232" s="31"/>
      <c r="B232" s="46" t="s">
        <v>342</v>
      </c>
      <c r="C232" s="47" t="s">
        <v>230</v>
      </c>
      <c r="D232" s="46">
        <v>47062002</v>
      </c>
      <c r="E232" s="48">
        <v>16</v>
      </c>
      <c r="F232" s="47">
        <v>1</v>
      </c>
      <c r="G232" s="47"/>
      <c r="I232" s="49" t="str">
        <f t="shared" si="33"/>
        <v>·</v>
      </c>
      <c r="J232" s="50">
        <f t="shared" si="34"/>
        <v>13.129873395526182</v>
      </c>
      <c r="K232" s="50">
        <f t="shared" si="35"/>
        <v>11.060105942794358</v>
      </c>
      <c r="L232" s="50">
        <f t="shared" si="36"/>
        <v>2.069659340034026</v>
      </c>
      <c r="M232" s="51"/>
      <c r="N232" s="50">
        <f t="shared" si="37"/>
        <v>13.129873395526182</v>
      </c>
      <c r="O232" s="52">
        <v>47062002</v>
      </c>
      <c r="P232" s="53">
        <v>617918128</v>
      </c>
      <c r="Q232" s="53">
        <v>520510728</v>
      </c>
      <c r="R232" s="53">
        <v>97402312</v>
      </c>
      <c r="S232" s="54"/>
      <c r="T232" s="55">
        <v>43.596499999999999</v>
      </c>
      <c r="U232" s="55">
        <v>47.851100000000002</v>
      </c>
      <c r="V232" s="55">
        <v>48.874200000000002</v>
      </c>
      <c r="W232" s="56"/>
      <c r="X232" s="57"/>
      <c r="Y232" s="57"/>
      <c r="AA232" s="49" t="str">
        <f t="shared" si="38"/>
        <v>·</v>
      </c>
      <c r="AB232" s="50">
        <f t="shared" si="39"/>
        <v>12.678672190783553</v>
      </c>
      <c r="AC232" s="50">
        <f t="shared" si="40"/>
        <v>11.060105942794358</v>
      </c>
      <c r="AD232" s="50">
        <f t="shared" si="41"/>
        <v>1.6184583052799155</v>
      </c>
      <c r="AE232" s="51"/>
      <c r="AF232" s="50">
        <f t="shared" si="42"/>
        <v>12.678672190783553</v>
      </c>
      <c r="AG232" s="52">
        <v>47062002</v>
      </c>
      <c r="AH232" s="53">
        <v>596683696</v>
      </c>
      <c r="AI232" s="53">
        <v>520510728</v>
      </c>
      <c r="AJ232" s="53">
        <v>76167888</v>
      </c>
      <c r="AK232" s="54"/>
      <c r="AL232" s="55">
        <v>41.929400000000001</v>
      </c>
      <c r="AM232" s="55">
        <v>46.1633</v>
      </c>
      <c r="AN232" s="55">
        <v>47.356099999999998</v>
      </c>
      <c r="AO232" s="56"/>
      <c r="AP232" s="57"/>
      <c r="AQ232" s="57"/>
      <c r="AS232" s="58">
        <f t="shared" si="43"/>
        <v>2.997748718043014E-2</v>
      </c>
      <c r="AT232" s="58"/>
      <c r="AV232" s="59"/>
      <c r="AW232" s="59"/>
      <c r="AX232" s="59"/>
      <c r="AY232" s="60"/>
      <c r="BA232" s="59"/>
      <c r="BB232" s="59"/>
      <c r="BC232" s="59"/>
      <c r="BD232" s="60"/>
    </row>
    <row r="233" spans="1:56" collapsed="1" x14ac:dyDescent="0.15">
      <c r="A233" s="16"/>
      <c r="B233" s="16" t="s">
        <v>345</v>
      </c>
      <c r="C233" s="17" t="s">
        <v>225</v>
      </c>
      <c r="D233" s="16">
        <v>47062018</v>
      </c>
      <c r="E233" s="18">
        <v>20</v>
      </c>
      <c r="F233" s="17">
        <v>1</v>
      </c>
      <c r="G233" s="17"/>
      <c r="I233" s="19" t="str">
        <f t="shared" si="33"/>
        <v>·</v>
      </c>
      <c r="J233" s="20">
        <f t="shared" si="34"/>
        <v>11.439031109970678</v>
      </c>
      <c r="K233" s="20">
        <f t="shared" si="35"/>
        <v>11.370199722417343</v>
      </c>
      <c r="L233" s="20">
        <f t="shared" si="36"/>
        <v>6.8723104903831364E-2</v>
      </c>
      <c r="M233" s="21"/>
      <c r="N233" s="20">
        <f t="shared" si="37"/>
        <v>11.439031109970678</v>
      </c>
      <c r="O233" s="22">
        <v>47062018</v>
      </c>
      <c r="P233" s="23">
        <v>538343888</v>
      </c>
      <c r="Q233" s="23">
        <v>535104544</v>
      </c>
      <c r="R233" s="23">
        <v>3234248</v>
      </c>
      <c r="S233" s="24"/>
      <c r="T233" s="25">
        <v>25.693000000000001</v>
      </c>
      <c r="U233" s="25">
        <v>36.076999999999998</v>
      </c>
      <c r="V233" s="25">
        <v>39.345300000000002</v>
      </c>
      <c r="W233" s="26"/>
      <c r="X233" s="27"/>
      <c r="Y233" s="27"/>
      <c r="AA233" s="19" t="str">
        <f t="shared" si="38"/>
        <v>·</v>
      </c>
      <c r="AB233" s="20">
        <f t="shared" si="39"/>
        <v>11.405928067087986</v>
      </c>
      <c r="AC233" s="20">
        <f t="shared" si="40"/>
        <v>11.370199722417343</v>
      </c>
      <c r="AD233" s="20">
        <f t="shared" si="41"/>
        <v>3.5620232009600607E-2</v>
      </c>
      <c r="AE233" s="21"/>
      <c r="AF233" s="20">
        <f t="shared" si="42"/>
        <v>11.405928067087986</v>
      </c>
      <c r="AG233" s="22">
        <v>47062018</v>
      </c>
      <c r="AH233" s="23">
        <v>536785992</v>
      </c>
      <c r="AI233" s="23">
        <v>535104544</v>
      </c>
      <c r="AJ233" s="23">
        <v>1676360</v>
      </c>
      <c r="AK233" s="24"/>
      <c r="AL233" s="25">
        <v>24.148299999999999</v>
      </c>
      <c r="AM233" s="25">
        <v>35.1038</v>
      </c>
      <c r="AN233" s="25">
        <v>37.963700000000003</v>
      </c>
      <c r="AO233" s="26"/>
      <c r="AP233" s="27"/>
      <c r="AQ233" s="27"/>
      <c r="AS233" s="28">
        <f t="shared" si="43"/>
        <v>2.8848028637880052E-3</v>
      </c>
      <c r="AT233" s="28">
        <f t="array" ref="AT233">AVERAGE(AI233:AI238/AH233:AH238) - AVERAGE(Q233:Q238/P233:P238)</f>
        <v>1.3674404983861521E-2</v>
      </c>
      <c r="AV233" s="29">
        <f>IF( OR(ISBLANK(R233:R238),ISBLANK(AJ233:AJ238), ISBLANK(T233:T238),ISBLANK(AL233:AL238)), "·", bdRateExtend( R233:R238,T233:T238, AJ233:AJ238,AL233:AL238))</f>
        <v>-4.7081209101092369E-2</v>
      </c>
      <c r="AW233" s="29">
        <f>IF( OR(ISBLANK(R233:R238),ISBLANK(AJ233:AJ238), ISBLANK(U233:U238),ISBLANK(AM233:AM238)), "·", bdRateExtend( R233:R238,U233:U238, AJ233:AJ238,AM233:AM238))</f>
        <v>0.15884459945619356</v>
      </c>
      <c r="AX233" s="29">
        <f>IF( OR(ISBLANK(R233:R238),ISBLANK(AJ233:AJ238), ISBLANK(V233:V238),ISBLANK(AN233:AN238)), "·", bdRateExtend( R233:R238,V233:V238, AJ233:AJ238,AN233:AN238))</f>
        <v>0.21796147861579795</v>
      </c>
      <c r="AY233" s="30"/>
      <c r="BA233" s="29">
        <f>IF( OR(ISBLANK(P233:P238),ISBLANK(AH233:AH238), ISBLANK(T233:T238),ISBLANK(AL233:AL238)), "·", bdRateExtend( P233:P238,T233:T238, AH233:AH238,AL233:AL238))</f>
        <v>-3.0845405067267961E-3</v>
      </c>
      <c r="BB233" s="29">
        <f>IF( OR(ISBLANK(P233:P238),ISBLANK(AH233:AH238), ISBLANK(U233:U238),ISBLANK(AM233:AM238)), "·", bdRateExtend( P233:P238,U233:U238, AH233:AH238,AM233:AM238))</f>
        <v>6.2529687132442113E-3</v>
      </c>
      <c r="BC233" s="29">
        <f>IF( OR(ISBLANK(P233:P238),ISBLANK(AH233:AH238), ISBLANK(V233:V238),ISBLANK(AN233:AN238)), "·", bdRateExtend( P233:P238,V233:V238, AH233:AH238,AN233:AN238))</f>
        <v>7.7453048513040912E-3</v>
      </c>
      <c r="BD233" s="30"/>
    </row>
    <row r="234" spans="1:56" outlineLevel="1" x14ac:dyDescent="0.15">
      <c r="A234" s="31"/>
      <c r="B234" s="31" t="s">
        <v>345</v>
      </c>
      <c r="C234" s="32" t="s">
        <v>226</v>
      </c>
      <c r="D234" s="31">
        <v>47062018</v>
      </c>
      <c r="E234" s="33">
        <v>20</v>
      </c>
      <c r="F234" s="32">
        <v>1</v>
      </c>
      <c r="G234" s="32"/>
      <c r="I234" s="34" t="str">
        <f t="shared" si="33"/>
        <v>·</v>
      </c>
      <c r="J234" s="35">
        <f t="shared" si="34"/>
        <v>11.517027935351178</v>
      </c>
      <c r="K234" s="35">
        <f t="shared" si="35"/>
        <v>11.370199722417343</v>
      </c>
      <c r="L234" s="35">
        <f t="shared" si="36"/>
        <v>0.14671993028433247</v>
      </c>
      <c r="M234" s="36"/>
      <c r="N234" s="35">
        <f t="shared" si="37"/>
        <v>11.517027935351178</v>
      </c>
      <c r="O234" s="37">
        <v>47062018</v>
      </c>
      <c r="P234" s="38">
        <v>542014576</v>
      </c>
      <c r="Q234" s="38">
        <v>535104544</v>
      </c>
      <c r="R234" s="38">
        <v>6904936</v>
      </c>
      <c r="S234" s="39"/>
      <c r="T234" s="40">
        <v>27.86</v>
      </c>
      <c r="U234" s="40">
        <v>38.4084</v>
      </c>
      <c r="V234" s="40">
        <v>40.861699999999999</v>
      </c>
      <c r="W234" s="41"/>
      <c r="X234" s="42"/>
      <c r="Y234" s="42"/>
      <c r="AA234" s="34" t="str">
        <f t="shared" si="38"/>
        <v>·</v>
      </c>
      <c r="AB234" s="35">
        <f t="shared" si="39"/>
        <v>11.455190553027284</v>
      </c>
      <c r="AC234" s="35">
        <f t="shared" si="40"/>
        <v>11.370199722417343</v>
      </c>
      <c r="AD234" s="35">
        <f t="shared" si="41"/>
        <v>8.4882717948898831E-2</v>
      </c>
      <c r="AE234" s="36"/>
      <c r="AF234" s="35">
        <f t="shared" si="42"/>
        <v>11.455190553027284</v>
      </c>
      <c r="AG234" s="37">
        <v>47062018</v>
      </c>
      <c r="AH234" s="38">
        <v>539104384</v>
      </c>
      <c r="AI234" s="38">
        <v>535104544</v>
      </c>
      <c r="AJ234" s="38">
        <v>3994752</v>
      </c>
      <c r="AK234" s="39"/>
      <c r="AL234" s="40">
        <v>26.2759</v>
      </c>
      <c r="AM234" s="40">
        <v>36.692700000000002</v>
      </c>
      <c r="AN234" s="40">
        <v>39.328499999999998</v>
      </c>
      <c r="AO234" s="41"/>
      <c r="AP234" s="42"/>
      <c r="AQ234" s="42"/>
      <c r="AS234" s="43">
        <f t="shared" si="43"/>
        <v>5.3293771074731655E-3</v>
      </c>
      <c r="AT234" s="43"/>
      <c r="AV234" s="44"/>
      <c r="AW234" s="44"/>
      <c r="AX234" s="44"/>
      <c r="AY234" s="45"/>
      <c r="BA234" s="44"/>
      <c r="BB234" s="44"/>
      <c r="BC234" s="44"/>
      <c r="BD234" s="45"/>
    </row>
    <row r="235" spans="1:56" outlineLevel="1" x14ac:dyDescent="0.15">
      <c r="A235" s="16"/>
      <c r="B235" s="16" t="s">
        <v>345</v>
      </c>
      <c r="C235" s="17" t="s">
        <v>227</v>
      </c>
      <c r="D235" s="16">
        <v>47062018</v>
      </c>
      <c r="E235" s="18">
        <v>20</v>
      </c>
      <c r="F235" s="17">
        <v>1</v>
      </c>
      <c r="G235" s="17"/>
      <c r="I235" s="19" t="str">
        <f t="shared" si="33"/>
        <v>·</v>
      </c>
      <c r="J235" s="20">
        <f t="shared" si="34"/>
        <v>11.704385307064394</v>
      </c>
      <c r="K235" s="20">
        <f t="shared" si="35"/>
        <v>11.370199722417343</v>
      </c>
      <c r="L235" s="20">
        <f t="shared" si="36"/>
        <v>0.33407730199754715</v>
      </c>
      <c r="M235" s="21"/>
      <c r="N235" s="20">
        <f t="shared" si="37"/>
        <v>11.704385307064394</v>
      </c>
      <c r="O235" s="22">
        <v>47062018</v>
      </c>
      <c r="P235" s="23">
        <v>550831992</v>
      </c>
      <c r="Q235" s="23">
        <v>535104544</v>
      </c>
      <c r="R235" s="23">
        <v>15722352</v>
      </c>
      <c r="S235" s="24"/>
      <c r="T235" s="25">
        <v>30.859100000000002</v>
      </c>
      <c r="U235" s="25">
        <v>40.532400000000003</v>
      </c>
      <c r="V235" s="25">
        <v>42.744599999999998</v>
      </c>
      <c r="W235" s="26"/>
      <c r="X235" s="27"/>
      <c r="Y235" s="27"/>
      <c r="AA235" s="19" t="str">
        <f t="shared" si="38"/>
        <v>·</v>
      </c>
      <c r="AB235" s="20">
        <f t="shared" si="39"/>
        <v>11.590660986955553</v>
      </c>
      <c r="AC235" s="20">
        <f t="shared" si="40"/>
        <v>11.370199722417343</v>
      </c>
      <c r="AD235" s="20">
        <f t="shared" si="41"/>
        <v>0.2203531518771677</v>
      </c>
      <c r="AE235" s="21"/>
      <c r="AF235" s="20">
        <f t="shared" si="42"/>
        <v>11.590660986955553</v>
      </c>
      <c r="AG235" s="22">
        <v>47062018</v>
      </c>
      <c r="AH235" s="23">
        <v>545479896</v>
      </c>
      <c r="AI235" s="23">
        <v>535104544</v>
      </c>
      <c r="AJ235" s="23">
        <v>10370264</v>
      </c>
      <c r="AK235" s="24"/>
      <c r="AL235" s="25">
        <v>29.332999999999998</v>
      </c>
      <c r="AM235" s="25">
        <v>38.836599999999997</v>
      </c>
      <c r="AN235" s="25">
        <v>41.180900000000001</v>
      </c>
      <c r="AO235" s="26"/>
      <c r="AP235" s="27"/>
      <c r="AQ235" s="27"/>
      <c r="AS235" s="28">
        <f t="shared" si="43"/>
        <v>9.5315741054000647E-3</v>
      </c>
      <c r="AT235" s="28"/>
      <c r="AV235" s="29"/>
      <c r="AW235" s="29"/>
      <c r="AX235" s="29"/>
      <c r="AY235" s="30"/>
      <c r="BA235" s="29"/>
      <c r="BB235" s="29"/>
      <c r="BC235" s="29"/>
      <c r="BD235" s="30"/>
    </row>
    <row r="236" spans="1:56" outlineLevel="1" x14ac:dyDescent="0.15">
      <c r="A236" s="31"/>
      <c r="B236" s="31" t="s">
        <v>345</v>
      </c>
      <c r="C236" s="32" t="s">
        <v>228</v>
      </c>
      <c r="D236" s="31">
        <v>47062018</v>
      </c>
      <c r="E236" s="33">
        <v>20</v>
      </c>
      <c r="F236" s="32">
        <v>1</v>
      </c>
      <c r="G236" s="32"/>
      <c r="I236" s="34" t="str">
        <f t="shared" si="33"/>
        <v>·</v>
      </c>
      <c r="J236" s="35">
        <f t="shared" si="34"/>
        <v>12.048684185195798</v>
      </c>
      <c r="K236" s="35">
        <f t="shared" si="35"/>
        <v>11.370199722417343</v>
      </c>
      <c r="L236" s="35">
        <f t="shared" si="36"/>
        <v>0.6783761801289524</v>
      </c>
      <c r="M236" s="36"/>
      <c r="N236" s="35">
        <f t="shared" si="37"/>
        <v>12.048684185195798</v>
      </c>
      <c r="O236" s="37">
        <v>47062018</v>
      </c>
      <c r="P236" s="38">
        <v>567035392</v>
      </c>
      <c r="Q236" s="38">
        <v>535104544</v>
      </c>
      <c r="R236" s="38">
        <v>31925752</v>
      </c>
      <c r="S236" s="39"/>
      <c r="T236" s="40">
        <v>34.704700000000003</v>
      </c>
      <c r="U236" s="40">
        <v>42.787300000000002</v>
      </c>
      <c r="V236" s="40">
        <v>44.661200000000001</v>
      </c>
      <c r="W236" s="41"/>
      <c r="X236" s="42"/>
      <c r="Y236" s="42"/>
      <c r="AA236" s="34" t="str">
        <f t="shared" si="38"/>
        <v>·</v>
      </c>
      <c r="AB236" s="35">
        <f t="shared" si="39"/>
        <v>11.858367484369243</v>
      </c>
      <c r="AC236" s="35">
        <f t="shared" si="40"/>
        <v>11.370199722417343</v>
      </c>
      <c r="AD236" s="35">
        <f t="shared" si="41"/>
        <v>0.48805964929085699</v>
      </c>
      <c r="AE236" s="36"/>
      <c r="AF236" s="35">
        <f t="shared" si="42"/>
        <v>11.858367484369243</v>
      </c>
      <c r="AG236" s="37">
        <v>47062018</v>
      </c>
      <c r="AH236" s="38">
        <v>558078704</v>
      </c>
      <c r="AI236" s="38">
        <v>535104544</v>
      </c>
      <c r="AJ236" s="38">
        <v>22969072</v>
      </c>
      <c r="AK236" s="39"/>
      <c r="AL236" s="40">
        <v>33.072200000000002</v>
      </c>
      <c r="AM236" s="40">
        <v>41.078899999999997</v>
      </c>
      <c r="AN236" s="40">
        <v>43.139299999999999</v>
      </c>
      <c r="AO236" s="41"/>
      <c r="AP236" s="42"/>
      <c r="AQ236" s="42"/>
      <c r="AS236" s="43">
        <f t="shared" si="43"/>
        <v>1.5145390244528101E-2</v>
      </c>
      <c r="AT236" s="43"/>
      <c r="AV236" s="44"/>
      <c r="AW236" s="44"/>
      <c r="AX236" s="44"/>
      <c r="AY236" s="45"/>
      <c r="BA236" s="44"/>
      <c r="BB236" s="44"/>
      <c r="BC236" s="44"/>
      <c r="BD236" s="45"/>
    </row>
    <row r="237" spans="1:56" outlineLevel="1" x14ac:dyDescent="0.15">
      <c r="A237" s="16"/>
      <c r="B237" s="16" t="s">
        <v>345</v>
      </c>
      <c r="C237" s="17" t="s">
        <v>229</v>
      </c>
      <c r="D237" s="16">
        <v>47062018</v>
      </c>
      <c r="E237" s="18">
        <v>20</v>
      </c>
      <c r="F237" s="17">
        <v>1</v>
      </c>
      <c r="G237" s="17"/>
      <c r="I237" s="19" t="str">
        <f t="shared" si="33"/>
        <v>·</v>
      </c>
      <c r="J237" s="20">
        <f t="shared" si="34"/>
        <v>12.597569445492116</v>
      </c>
      <c r="K237" s="20">
        <f t="shared" si="35"/>
        <v>11.370199722417343</v>
      </c>
      <c r="L237" s="20">
        <f t="shared" si="36"/>
        <v>1.2272614404252704</v>
      </c>
      <c r="M237" s="21"/>
      <c r="N237" s="20">
        <f t="shared" si="37"/>
        <v>12.597569445492116</v>
      </c>
      <c r="O237" s="22">
        <v>47062018</v>
      </c>
      <c r="P237" s="23">
        <v>592867040</v>
      </c>
      <c r="Q237" s="23">
        <v>535104544</v>
      </c>
      <c r="R237" s="23">
        <v>57757400</v>
      </c>
      <c r="S237" s="24"/>
      <c r="T237" s="25">
        <v>39.087699999999998</v>
      </c>
      <c r="U237" s="25">
        <v>45.243200000000002</v>
      </c>
      <c r="V237" s="25">
        <v>46.6905</v>
      </c>
      <c r="W237" s="26"/>
      <c r="X237" s="27"/>
      <c r="Y237" s="27"/>
      <c r="AA237" s="19" t="str">
        <f t="shared" si="38"/>
        <v>·</v>
      </c>
      <c r="AB237" s="20">
        <f t="shared" si="39"/>
        <v>12.327013091533814</v>
      </c>
      <c r="AC237" s="20">
        <f t="shared" si="40"/>
        <v>11.370199722417343</v>
      </c>
      <c r="AD237" s="20">
        <f t="shared" si="41"/>
        <v>0.9567052564554287</v>
      </c>
      <c r="AE237" s="21"/>
      <c r="AF237" s="20">
        <f t="shared" si="42"/>
        <v>12.327013091533814</v>
      </c>
      <c r="AG237" s="22">
        <v>47062018</v>
      </c>
      <c r="AH237" s="23">
        <v>580134112</v>
      </c>
      <c r="AI237" s="23">
        <v>535104544</v>
      </c>
      <c r="AJ237" s="23">
        <v>45024480</v>
      </c>
      <c r="AK237" s="24"/>
      <c r="AL237" s="25">
        <v>37.598399999999998</v>
      </c>
      <c r="AM237" s="25">
        <v>43.637099999999997</v>
      </c>
      <c r="AN237" s="25">
        <v>45.293799999999997</v>
      </c>
      <c r="AO237" s="26"/>
      <c r="AP237" s="27"/>
      <c r="AQ237" s="27"/>
      <c r="AS237" s="28">
        <f t="shared" si="43"/>
        <v>1.9809851167967518E-2</v>
      </c>
      <c r="AT237" s="28"/>
      <c r="AV237" s="29"/>
      <c r="AW237" s="29"/>
      <c r="AX237" s="29"/>
      <c r="AY237" s="30"/>
      <c r="BA237" s="29"/>
      <c r="BB237" s="29"/>
      <c r="BC237" s="29"/>
      <c r="BD237" s="30"/>
    </row>
    <row r="238" spans="1:56" outlineLevel="1" x14ac:dyDescent="0.15">
      <c r="A238" s="31"/>
      <c r="B238" s="46" t="s">
        <v>345</v>
      </c>
      <c r="C238" s="47" t="s">
        <v>230</v>
      </c>
      <c r="D238" s="46">
        <v>47062018</v>
      </c>
      <c r="E238" s="48">
        <v>20</v>
      </c>
      <c r="F238" s="47">
        <v>1</v>
      </c>
      <c r="G238" s="47"/>
      <c r="I238" s="49" t="str">
        <f t="shared" si="33"/>
        <v>·</v>
      </c>
      <c r="J238" s="50">
        <f t="shared" si="34"/>
        <v>13.439409589278556</v>
      </c>
      <c r="K238" s="50">
        <f t="shared" si="35"/>
        <v>11.370199722417343</v>
      </c>
      <c r="L238" s="50">
        <f t="shared" si="36"/>
        <v>2.0691015842117095</v>
      </c>
      <c r="M238" s="51"/>
      <c r="N238" s="50">
        <f t="shared" si="37"/>
        <v>13.439409589278556</v>
      </c>
      <c r="O238" s="52">
        <v>47062018</v>
      </c>
      <c r="P238" s="53">
        <v>632485736</v>
      </c>
      <c r="Q238" s="53">
        <v>535104544</v>
      </c>
      <c r="R238" s="53">
        <v>97376096</v>
      </c>
      <c r="S238" s="54"/>
      <c r="T238" s="55">
        <v>43.597000000000001</v>
      </c>
      <c r="U238" s="55">
        <v>47.857300000000002</v>
      </c>
      <c r="V238" s="55">
        <v>48.877099999999999</v>
      </c>
      <c r="W238" s="56"/>
      <c r="X238" s="57"/>
      <c r="Y238" s="57"/>
      <c r="AA238" s="49" t="str">
        <f t="shared" si="38"/>
        <v>·</v>
      </c>
      <c r="AB238" s="50">
        <f t="shared" si="39"/>
        <v>12.988878972423155</v>
      </c>
      <c r="AC238" s="50">
        <f t="shared" si="40"/>
        <v>11.370199722417343</v>
      </c>
      <c r="AD238" s="50">
        <f t="shared" si="41"/>
        <v>1.6185711373447691</v>
      </c>
      <c r="AE238" s="51"/>
      <c r="AF238" s="50">
        <f t="shared" si="42"/>
        <v>12.988878972423155</v>
      </c>
      <c r="AG238" s="52">
        <v>47062018</v>
      </c>
      <c r="AH238" s="53">
        <v>611282856</v>
      </c>
      <c r="AI238" s="53">
        <v>535104544</v>
      </c>
      <c r="AJ238" s="53">
        <v>76173224</v>
      </c>
      <c r="AK238" s="54"/>
      <c r="AL238" s="55">
        <v>41.931100000000001</v>
      </c>
      <c r="AM238" s="55">
        <v>46.162999999999997</v>
      </c>
      <c r="AN238" s="55">
        <v>47.3566</v>
      </c>
      <c r="AO238" s="56"/>
      <c r="AP238" s="57"/>
      <c r="AQ238" s="57"/>
      <c r="AS238" s="58">
        <f t="shared" si="43"/>
        <v>2.934543441401205E-2</v>
      </c>
      <c r="AT238" s="58"/>
      <c r="AV238" s="59"/>
      <c r="AW238" s="59"/>
      <c r="AX238" s="59"/>
      <c r="AY238" s="60"/>
      <c r="BA238" s="59"/>
      <c r="BB238" s="59"/>
      <c r="BC238" s="59"/>
      <c r="BD238" s="60"/>
    </row>
    <row r="239" spans="1:56" collapsed="1" x14ac:dyDescent="0.15">
      <c r="A239" s="16"/>
      <c r="B239" s="16" t="s">
        <v>348</v>
      </c>
      <c r="C239" s="17" t="s">
        <v>225</v>
      </c>
      <c r="D239" s="16">
        <v>43399204</v>
      </c>
      <c r="E239" s="18">
        <v>16</v>
      </c>
      <c r="F239" s="17">
        <v>1</v>
      </c>
      <c r="G239" s="17"/>
      <c r="I239" s="19" t="str">
        <f t="shared" si="33"/>
        <v>·</v>
      </c>
      <c r="J239" s="20">
        <f t="shared" si="34"/>
        <v>11.464358102051825</v>
      </c>
      <c r="K239" s="20">
        <f t="shared" si="35"/>
        <v>11.385743572624051</v>
      </c>
      <c r="L239" s="20">
        <f t="shared" si="36"/>
        <v>7.851019571695371E-2</v>
      </c>
      <c r="M239" s="21"/>
      <c r="N239" s="20">
        <f t="shared" si="37"/>
        <v>11.464358102051825</v>
      </c>
      <c r="O239" s="22">
        <v>43399204</v>
      </c>
      <c r="P239" s="23">
        <v>497544016</v>
      </c>
      <c r="Q239" s="23">
        <v>494132208</v>
      </c>
      <c r="R239" s="23">
        <v>3407280</v>
      </c>
      <c r="S239" s="24"/>
      <c r="T239" s="25">
        <v>25.2605</v>
      </c>
      <c r="U239" s="25">
        <v>35.317599999999999</v>
      </c>
      <c r="V239" s="25">
        <v>37.273600000000002</v>
      </c>
      <c r="W239" s="26"/>
      <c r="X239" s="27"/>
      <c r="Y239" s="27"/>
      <c r="AA239" s="19" t="str">
        <f t="shared" si="38"/>
        <v>·</v>
      </c>
      <c r="AB239" s="20">
        <f t="shared" si="39"/>
        <v>11.423714960302037</v>
      </c>
      <c r="AC239" s="20">
        <f t="shared" si="40"/>
        <v>11.385743572624051</v>
      </c>
      <c r="AD239" s="20">
        <f t="shared" si="41"/>
        <v>3.7867238302343058E-2</v>
      </c>
      <c r="AE239" s="21"/>
      <c r="AF239" s="20">
        <f t="shared" si="42"/>
        <v>11.423714960302037</v>
      </c>
      <c r="AG239" s="22">
        <v>43399204</v>
      </c>
      <c r="AH239" s="23">
        <v>495780136</v>
      </c>
      <c r="AI239" s="23">
        <v>494132208</v>
      </c>
      <c r="AJ239" s="23">
        <v>1643408</v>
      </c>
      <c r="AK239" s="24"/>
      <c r="AL239" s="25">
        <v>23.7804</v>
      </c>
      <c r="AM239" s="25">
        <v>34.290999999999997</v>
      </c>
      <c r="AN239" s="25">
        <v>35.759799999999998</v>
      </c>
      <c r="AO239" s="26"/>
      <c r="AP239" s="27"/>
      <c r="AQ239" s="27"/>
      <c r="AS239" s="28">
        <f t="shared" si="43"/>
        <v>3.5333899455290974E-3</v>
      </c>
      <c r="AT239" s="28">
        <f t="array" ref="AT239">AVERAGE(AI239:AI244/AH239:AH244) - AVERAGE(Q239:Q244/P239:P244)</f>
        <v>1.6878581212994237E-2</v>
      </c>
      <c r="AV239" s="29">
        <f>IF( OR(ISBLANK(R239:R244),ISBLANK(AJ239:AJ244), ISBLANK(T239:T244),ISBLANK(AL239:AL244)), "·", bdRateExtend( R239:R244,T239:T244, AJ239:AJ244,AL239:AL244))</f>
        <v>-8.4047292112790273E-2</v>
      </c>
      <c r="AW239" s="29">
        <f>IF( OR(ISBLANK(R239:R244),ISBLANK(AJ239:AJ244), ISBLANK(U239:U244),ISBLANK(AM239:AM244)), "·", bdRateExtend( R239:R244,U239:U244, AJ239:AJ244,AM239:AM244))</f>
        <v>7.1224844442829172E-2</v>
      </c>
      <c r="AX239" s="29">
        <f>IF( OR(ISBLANK(R239:R244),ISBLANK(AJ239:AJ244), ISBLANK(V239:V244),ISBLANK(AN239:AN244)), "·", bdRateExtend( R239:R244,V239:V244, AJ239:AJ244,AN239:AN244))</f>
        <v>0.10511089929720674</v>
      </c>
      <c r="AY239" s="30"/>
      <c r="BA239" s="29">
        <f>IF( OR(ISBLANK(P239:P244),ISBLANK(AH239:AH244), ISBLANK(T239:T244),ISBLANK(AL239:AL244)), "·", bdRateExtend( P239:P244,T239:T244, AH239:AH244,AL239:AL244))</f>
        <v>-5.0769780089934269E-3</v>
      </c>
      <c r="BB239" s="29">
        <f>IF( OR(ISBLANK(P239:P244),ISBLANK(AH239:AH244), ISBLANK(U239:U244),ISBLANK(AM239:AM244)), "·", bdRateExtend( P239:P244,U239:U244, AH239:AH244,AM239:AM244))</f>
        <v>3.2911882021424699E-3</v>
      </c>
      <c r="BC239" s="29">
        <f>IF( OR(ISBLANK(P239:P244),ISBLANK(AH239:AH244), ISBLANK(V239:V244),ISBLANK(AN239:AN244)), "·", bdRateExtend( P239:P244,V239:V244, AH239:AH244,AN239:AN244))</f>
        <v>4.1073900999559765E-3</v>
      </c>
      <c r="BD239" s="30"/>
    </row>
    <row r="240" spans="1:56" outlineLevel="1" x14ac:dyDescent="0.15">
      <c r="A240" s="31"/>
      <c r="B240" s="31" t="s">
        <v>348</v>
      </c>
      <c r="C240" s="32" t="s">
        <v>226</v>
      </c>
      <c r="D240" s="31">
        <v>43399204</v>
      </c>
      <c r="E240" s="33">
        <v>16</v>
      </c>
      <c r="F240" s="32">
        <v>1</v>
      </c>
      <c r="G240" s="32"/>
      <c r="I240" s="34" t="str">
        <f t="shared" si="33"/>
        <v>·</v>
      </c>
      <c r="J240" s="35">
        <f t="shared" si="34"/>
        <v>11.557746727336289</v>
      </c>
      <c r="K240" s="35">
        <f t="shared" si="35"/>
        <v>11.385743572624051</v>
      </c>
      <c r="L240" s="35">
        <f t="shared" si="36"/>
        <v>0.17189882100141746</v>
      </c>
      <c r="M240" s="36"/>
      <c r="N240" s="35">
        <f t="shared" si="37"/>
        <v>11.557746727336289</v>
      </c>
      <c r="O240" s="37">
        <v>43399204</v>
      </c>
      <c r="P240" s="38">
        <v>501597008</v>
      </c>
      <c r="Q240" s="38">
        <v>494132208</v>
      </c>
      <c r="R240" s="38">
        <v>7460272</v>
      </c>
      <c r="S240" s="39"/>
      <c r="T240" s="40">
        <v>27.609400000000001</v>
      </c>
      <c r="U240" s="40">
        <v>37.536000000000001</v>
      </c>
      <c r="V240" s="40">
        <v>38.971800000000002</v>
      </c>
      <c r="W240" s="41"/>
      <c r="X240" s="42"/>
      <c r="Y240" s="42"/>
      <c r="AA240" s="34" t="str">
        <f t="shared" si="38"/>
        <v>·</v>
      </c>
      <c r="AB240" s="35">
        <f t="shared" si="39"/>
        <v>11.47963911964837</v>
      </c>
      <c r="AC240" s="35">
        <f t="shared" si="40"/>
        <v>11.385743572624051</v>
      </c>
      <c r="AD240" s="35">
        <f t="shared" si="41"/>
        <v>9.3791397648675764E-2</v>
      </c>
      <c r="AE240" s="36"/>
      <c r="AF240" s="35">
        <f t="shared" si="42"/>
        <v>11.47963911964837</v>
      </c>
      <c r="AG240" s="37">
        <v>43399204</v>
      </c>
      <c r="AH240" s="38">
        <v>498207200</v>
      </c>
      <c r="AI240" s="38">
        <v>494132208</v>
      </c>
      <c r="AJ240" s="38">
        <v>4070472</v>
      </c>
      <c r="AK240" s="39"/>
      <c r="AL240" s="40">
        <v>25.9588</v>
      </c>
      <c r="AM240" s="40">
        <v>35.930900000000001</v>
      </c>
      <c r="AN240" s="40">
        <v>37.371899999999997</v>
      </c>
      <c r="AO240" s="41"/>
      <c r="AP240" s="42"/>
      <c r="AQ240" s="42"/>
      <c r="AS240" s="43">
        <f t="shared" si="43"/>
        <v>6.702754701496616E-3</v>
      </c>
      <c r="AT240" s="43"/>
      <c r="AV240" s="44"/>
      <c r="AW240" s="44"/>
      <c r="AX240" s="44"/>
      <c r="AY240" s="45"/>
      <c r="BA240" s="44"/>
      <c r="BB240" s="44"/>
      <c r="BC240" s="44"/>
      <c r="BD240" s="45"/>
    </row>
    <row r="241" spans="1:56" outlineLevel="1" x14ac:dyDescent="0.15">
      <c r="A241" s="16"/>
      <c r="B241" s="16" t="s">
        <v>348</v>
      </c>
      <c r="C241" s="17" t="s">
        <v>227</v>
      </c>
      <c r="D241" s="16">
        <v>43399204</v>
      </c>
      <c r="E241" s="18">
        <v>16</v>
      </c>
      <c r="F241" s="17">
        <v>1</v>
      </c>
      <c r="G241" s="17"/>
      <c r="I241" s="19" t="str">
        <f t="shared" si="33"/>
        <v>·</v>
      </c>
      <c r="J241" s="20">
        <f t="shared" si="34"/>
        <v>11.770499385196096</v>
      </c>
      <c r="K241" s="20">
        <f t="shared" si="35"/>
        <v>11.385743572624051</v>
      </c>
      <c r="L241" s="20">
        <f t="shared" si="36"/>
        <v>0.38465147886122519</v>
      </c>
      <c r="M241" s="21"/>
      <c r="N241" s="20">
        <f t="shared" si="37"/>
        <v>11.770499385196096</v>
      </c>
      <c r="O241" s="22">
        <v>43399204</v>
      </c>
      <c r="P241" s="23">
        <v>510830304</v>
      </c>
      <c r="Q241" s="23">
        <v>494132208</v>
      </c>
      <c r="R241" s="23">
        <v>16693568</v>
      </c>
      <c r="S241" s="24"/>
      <c r="T241" s="25">
        <v>30.860700000000001</v>
      </c>
      <c r="U241" s="25">
        <v>39.6693</v>
      </c>
      <c r="V241" s="25">
        <v>41.054900000000004</v>
      </c>
      <c r="W241" s="26"/>
      <c r="X241" s="27"/>
      <c r="Y241" s="27"/>
      <c r="AA241" s="19" t="str">
        <f t="shared" si="38"/>
        <v>·</v>
      </c>
      <c r="AB241" s="20">
        <f t="shared" si="39"/>
        <v>11.62957716920338</v>
      </c>
      <c r="AC241" s="20">
        <f t="shared" si="40"/>
        <v>11.385743572624051</v>
      </c>
      <c r="AD241" s="20">
        <f t="shared" si="41"/>
        <v>0.24372944720368603</v>
      </c>
      <c r="AE241" s="21"/>
      <c r="AF241" s="20">
        <f t="shared" si="42"/>
        <v>11.62957716920338</v>
      </c>
      <c r="AG241" s="22">
        <v>43399204</v>
      </c>
      <c r="AH241" s="23">
        <v>504714392</v>
      </c>
      <c r="AI241" s="23">
        <v>494132208</v>
      </c>
      <c r="AJ241" s="23">
        <v>10577664</v>
      </c>
      <c r="AK241" s="24"/>
      <c r="AL241" s="25">
        <v>29.2331</v>
      </c>
      <c r="AM241" s="25">
        <v>38.0717</v>
      </c>
      <c r="AN241" s="25">
        <v>39.4634</v>
      </c>
      <c r="AO241" s="26"/>
      <c r="AP241" s="27"/>
      <c r="AQ241" s="27"/>
      <c r="AS241" s="28">
        <f t="shared" si="43"/>
        <v>1.1721469139983398E-2</v>
      </c>
      <c r="AT241" s="28"/>
      <c r="AV241" s="29"/>
      <c r="AW241" s="29"/>
      <c r="AX241" s="29"/>
      <c r="AY241" s="30"/>
      <c r="BA241" s="29"/>
      <c r="BB241" s="29"/>
      <c r="BC241" s="29"/>
      <c r="BD241" s="30"/>
    </row>
    <row r="242" spans="1:56" outlineLevel="1" x14ac:dyDescent="0.15">
      <c r="A242" s="31"/>
      <c r="B242" s="31" t="s">
        <v>348</v>
      </c>
      <c r="C242" s="32" t="s">
        <v>228</v>
      </c>
      <c r="D242" s="31">
        <v>43399204</v>
      </c>
      <c r="E242" s="33">
        <v>16</v>
      </c>
      <c r="F242" s="32">
        <v>1</v>
      </c>
      <c r="G242" s="32"/>
      <c r="I242" s="34" t="str">
        <f t="shared" si="33"/>
        <v>·</v>
      </c>
      <c r="J242" s="35">
        <f t="shared" si="34"/>
        <v>12.149015267653295</v>
      </c>
      <c r="K242" s="35">
        <f t="shared" si="35"/>
        <v>11.385743572624051</v>
      </c>
      <c r="L242" s="35">
        <f t="shared" si="36"/>
        <v>0.76316736131842422</v>
      </c>
      <c r="M242" s="36"/>
      <c r="N242" s="35">
        <f t="shared" si="37"/>
        <v>12.149015267653295</v>
      </c>
      <c r="O242" s="37">
        <v>43399204</v>
      </c>
      <c r="P242" s="38">
        <v>527257592</v>
      </c>
      <c r="Q242" s="38">
        <v>494132208</v>
      </c>
      <c r="R242" s="38">
        <v>33120856</v>
      </c>
      <c r="S242" s="39"/>
      <c r="T242" s="40">
        <v>34.710599999999999</v>
      </c>
      <c r="U242" s="40">
        <v>41.9878</v>
      </c>
      <c r="V242" s="40">
        <v>43.305900000000001</v>
      </c>
      <c r="W242" s="41"/>
      <c r="X242" s="42"/>
      <c r="Y242" s="42"/>
      <c r="AA242" s="34" t="str">
        <f t="shared" si="38"/>
        <v>·</v>
      </c>
      <c r="AB242" s="35">
        <f t="shared" si="39"/>
        <v>11.911862162264542</v>
      </c>
      <c r="AC242" s="35">
        <f t="shared" si="40"/>
        <v>11.385743572624051</v>
      </c>
      <c r="AD242" s="35">
        <f t="shared" si="41"/>
        <v>0.52601444026484911</v>
      </c>
      <c r="AE242" s="36"/>
      <c r="AF242" s="35">
        <f t="shared" si="42"/>
        <v>11.911862162264542</v>
      </c>
      <c r="AG242" s="37">
        <v>43399204</v>
      </c>
      <c r="AH242" s="38">
        <v>516965336</v>
      </c>
      <c r="AI242" s="38">
        <v>494132208</v>
      </c>
      <c r="AJ242" s="38">
        <v>22828608</v>
      </c>
      <c r="AK242" s="39"/>
      <c r="AL242" s="40">
        <v>33.011200000000002</v>
      </c>
      <c r="AM242" s="40">
        <v>40.341299999999997</v>
      </c>
      <c r="AN242" s="40">
        <v>41.677999999999997</v>
      </c>
      <c r="AO242" s="41"/>
      <c r="AP242" s="42"/>
      <c r="AQ242" s="42"/>
      <c r="AS242" s="43">
        <f t="shared" si="43"/>
        <v>1.8658188535433995E-2</v>
      </c>
      <c r="AT242" s="43"/>
      <c r="AV242" s="44"/>
      <c r="AW242" s="44"/>
      <c r="AX242" s="44"/>
      <c r="AY242" s="45"/>
      <c r="BA242" s="44"/>
      <c r="BB242" s="44"/>
      <c r="BC242" s="44"/>
      <c r="BD242" s="45"/>
    </row>
    <row r="243" spans="1:56" outlineLevel="1" x14ac:dyDescent="0.15">
      <c r="A243" s="16"/>
      <c r="B243" s="16" t="s">
        <v>348</v>
      </c>
      <c r="C243" s="17" t="s">
        <v>229</v>
      </c>
      <c r="D243" s="16">
        <v>43399204</v>
      </c>
      <c r="E243" s="18">
        <v>16</v>
      </c>
      <c r="F243" s="17">
        <v>1</v>
      </c>
      <c r="G243" s="17"/>
      <c r="I243" s="19" t="str">
        <f t="shared" si="33"/>
        <v>·</v>
      </c>
      <c r="J243" s="20">
        <f t="shared" si="34"/>
        <v>12.762272045358252</v>
      </c>
      <c r="K243" s="20">
        <f t="shared" si="35"/>
        <v>11.385743572624051</v>
      </c>
      <c r="L243" s="20">
        <f t="shared" si="36"/>
        <v>1.3764241390233793</v>
      </c>
      <c r="M243" s="21"/>
      <c r="N243" s="20">
        <f t="shared" si="37"/>
        <v>12.762272045358252</v>
      </c>
      <c r="O243" s="22">
        <v>43399204</v>
      </c>
      <c r="P243" s="23">
        <v>553872448</v>
      </c>
      <c r="Q243" s="23">
        <v>494132208</v>
      </c>
      <c r="R243" s="23">
        <v>59735712</v>
      </c>
      <c r="S243" s="24"/>
      <c r="T243" s="25">
        <v>38.963200000000001</v>
      </c>
      <c r="U243" s="25">
        <v>44.591999999999999</v>
      </c>
      <c r="V243" s="25">
        <v>45.6937</v>
      </c>
      <c r="W243" s="26"/>
      <c r="X243" s="27"/>
      <c r="Y243" s="27"/>
      <c r="AA243" s="19" t="str">
        <f t="shared" si="38"/>
        <v>·</v>
      </c>
      <c r="AB243" s="20">
        <f t="shared" si="39"/>
        <v>12.415436559619849</v>
      </c>
      <c r="AC243" s="20">
        <f t="shared" si="40"/>
        <v>11.385743572624051</v>
      </c>
      <c r="AD243" s="20">
        <f t="shared" si="41"/>
        <v>1.0295888376201554</v>
      </c>
      <c r="AE243" s="21"/>
      <c r="AF243" s="20">
        <f t="shared" si="42"/>
        <v>12.415436559619849</v>
      </c>
      <c r="AG243" s="22">
        <v>43399204</v>
      </c>
      <c r="AH243" s="23">
        <v>538820064</v>
      </c>
      <c r="AI243" s="23">
        <v>494132208</v>
      </c>
      <c r="AJ243" s="23">
        <v>44683336</v>
      </c>
      <c r="AK243" s="24"/>
      <c r="AL243" s="25">
        <v>37.431899999999999</v>
      </c>
      <c r="AM243" s="25">
        <v>42.989899999999999</v>
      </c>
      <c r="AN243" s="25">
        <v>44.199599999999997</v>
      </c>
      <c r="AO243" s="26"/>
      <c r="AP243" s="27"/>
      <c r="AQ243" s="27"/>
      <c r="AS243" s="28">
        <f t="shared" si="43"/>
        <v>2.492269085285137E-2</v>
      </c>
      <c r="AT243" s="28"/>
      <c r="AV243" s="29"/>
      <c r="AW243" s="29"/>
      <c r="AX243" s="29"/>
      <c r="AY243" s="30"/>
      <c r="BA243" s="29"/>
      <c r="BB243" s="29"/>
      <c r="BC243" s="29"/>
      <c r="BD243" s="30"/>
    </row>
    <row r="244" spans="1:56" outlineLevel="1" x14ac:dyDescent="0.15">
      <c r="A244" s="31"/>
      <c r="B244" s="46" t="s">
        <v>348</v>
      </c>
      <c r="C244" s="47" t="s">
        <v>230</v>
      </c>
      <c r="D244" s="46">
        <v>43399204</v>
      </c>
      <c r="E244" s="48">
        <v>16</v>
      </c>
      <c r="F244" s="47">
        <v>1</v>
      </c>
      <c r="G244" s="47"/>
      <c r="I244" s="49" t="str">
        <f t="shared" si="33"/>
        <v>·</v>
      </c>
      <c r="J244" s="50">
        <f t="shared" si="34"/>
        <v>13.718960928407812</v>
      </c>
      <c r="K244" s="50">
        <f t="shared" si="35"/>
        <v>11.385743572624051</v>
      </c>
      <c r="L244" s="50">
        <f t="shared" si="36"/>
        <v>2.3331130220729395</v>
      </c>
      <c r="M244" s="51"/>
      <c r="N244" s="50">
        <f t="shared" si="37"/>
        <v>13.718960928407812</v>
      </c>
      <c r="O244" s="52">
        <v>43399204</v>
      </c>
      <c r="P244" s="53">
        <v>595391984</v>
      </c>
      <c r="Q244" s="53">
        <v>494132208</v>
      </c>
      <c r="R244" s="53">
        <v>101255248</v>
      </c>
      <c r="S244" s="54"/>
      <c r="T244" s="55">
        <v>43.3889</v>
      </c>
      <c r="U244" s="55">
        <v>47.441699999999997</v>
      </c>
      <c r="V244" s="55">
        <v>48.217300000000002</v>
      </c>
      <c r="W244" s="56"/>
      <c r="X244" s="57"/>
      <c r="Y244" s="57"/>
      <c r="AA244" s="49" t="str">
        <f t="shared" si="38"/>
        <v>·</v>
      </c>
      <c r="AB244" s="50">
        <f t="shared" si="39"/>
        <v>13.152665565018197</v>
      </c>
      <c r="AC244" s="50">
        <f t="shared" si="40"/>
        <v>11.385743572624051</v>
      </c>
      <c r="AD244" s="50">
        <f t="shared" si="41"/>
        <v>1.7668178430185033</v>
      </c>
      <c r="AE244" s="51"/>
      <c r="AF244" s="50">
        <f t="shared" si="42"/>
        <v>13.152665565018197</v>
      </c>
      <c r="AG244" s="52">
        <v>43399204</v>
      </c>
      <c r="AH244" s="53">
        <v>570815216</v>
      </c>
      <c r="AI244" s="53">
        <v>494132208</v>
      </c>
      <c r="AJ244" s="53">
        <v>76678488</v>
      </c>
      <c r="AK244" s="54"/>
      <c r="AL244" s="55">
        <v>41.691000000000003</v>
      </c>
      <c r="AM244" s="55">
        <v>45.709200000000003</v>
      </c>
      <c r="AN244" s="55">
        <v>46.63</v>
      </c>
      <c r="AO244" s="56"/>
      <c r="AP244" s="57"/>
      <c r="AQ244" s="57"/>
      <c r="AS244" s="58">
        <f t="shared" si="43"/>
        <v>3.5732994102669169E-2</v>
      </c>
      <c r="AT244" s="58"/>
      <c r="AV244" s="59"/>
      <c r="AW244" s="59"/>
      <c r="AX244" s="59"/>
      <c r="AY244" s="60"/>
      <c r="BA244" s="59"/>
      <c r="BB244" s="59"/>
      <c r="BC244" s="59"/>
      <c r="BD244" s="60"/>
    </row>
    <row r="245" spans="1:56" collapsed="1" x14ac:dyDescent="0.15">
      <c r="A245" s="16"/>
      <c r="B245" s="16" t="s">
        <v>351</v>
      </c>
      <c r="C245" s="17" t="s">
        <v>225</v>
      </c>
      <c r="D245" s="16">
        <v>43399207</v>
      </c>
      <c r="E245" s="18">
        <v>20</v>
      </c>
      <c r="F245" s="17">
        <v>1</v>
      </c>
      <c r="G245" s="17"/>
      <c r="I245" s="19" t="str">
        <f t="shared" si="33"/>
        <v>·</v>
      </c>
      <c r="J245" s="20">
        <f t="shared" si="34"/>
        <v>11.714589715890432</v>
      </c>
      <c r="K245" s="20">
        <f t="shared" si="35"/>
        <v>11.635811133599745</v>
      </c>
      <c r="L245" s="20">
        <f t="shared" si="36"/>
        <v>7.8674064251911327E-2</v>
      </c>
      <c r="M245" s="21"/>
      <c r="N245" s="20">
        <f t="shared" si="37"/>
        <v>11.714589715890432</v>
      </c>
      <c r="O245" s="22">
        <v>43399207</v>
      </c>
      <c r="P245" s="23">
        <v>508403904</v>
      </c>
      <c r="Q245" s="23">
        <v>504984976</v>
      </c>
      <c r="R245" s="23">
        <v>3414392</v>
      </c>
      <c r="S245" s="24"/>
      <c r="T245" s="25">
        <v>25.264399999999998</v>
      </c>
      <c r="U245" s="25">
        <v>35.325000000000003</v>
      </c>
      <c r="V245" s="25">
        <v>37.269500000000001</v>
      </c>
      <c r="W245" s="26"/>
      <c r="X245" s="27"/>
      <c r="Y245" s="27"/>
      <c r="AA245" s="19" t="str">
        <f t="shared" si="38"/>
        <v>·</v>
      </c>
      <c r="AB245" s="20">
        <f t="shared" si="39"/>
        <v>11.673751734680314</v>
      </c>
      <c r="AC245" s="20">
        <f t="shared" si="40"/>
        <v>11.635811133599745</v>
      </c>
      <c r="AD245" s="20">
        <f t="shared" si="41"/>
        <v>3.7836267376959214E-2</v>
      </c>
      <c r="AE245" s="21"/>
      <c r="AF245" s="20">
        <f t="shared" si="42"/>
        <v>11.673751734680314</v>
      </c>
      <c r="AG245" s="22">
        <v>43399207</v>
      </c>
      <c r="AH245" s="23">
        <v>506631568</v>
      </c>
      <c r="AI245" s="23">
        <v>504984976</v>
      </c>
      <c r="AJ245" s="23">
        <v>1642064</v>
      </c>
      <c r="AK245" s="24"/>
      <c r="AL245" s="25">
        <v>23.7836</v>
      </c>
      <c r="AM245" s="25">
        <v>34.2896</v>
      </c>
      <c r="AN245" s="25">
        <v>35.767200000000003</v>
      </c>
      <c r="AO245" s="26"/>
      <c r="AP245" s="27"/>
      <c r="AQ245" s="27"/>
      <c r="AS245" s="28">
        <f t="shared" si="43"/>
        <v>3.4747486324456789E-3</v>
      </c>
      <c r="AT245" s="28">
        <f t="array" ref="AT245">AVERAGE(AI245:AI250/AH245:AH250) - AVERAGE(Q245:Q250/P245:P250)</f>
        <v>1.6608289874125104E-2</v>
      </c>
      <c r="AV245" s="29">
        <f>IF( OR(ISBLANK(R245:R250),ISBLANK(AJ245:AJ250), ISBLANK(T245:T250),ISBLANK(AL245:AL250)), "·", bdRateExtend( R245:R250,T245:T250, AJ245:AJ250,AL245:AL250))</f>
        <v>-8.4796644543559285E-2</v>
      </c>
      <c r="AW245" s="29">
        <f>IF( OR(ISBLANK(R245:R250),ISBLANK(AJ245:AJ250), ISBLANK(U245:U250),ISBLANK(AM245:AM250)), "·", bdRateExtend( R245:R250,U245:U250, AJ245:AJ250,AM245:AM250))</f>
        <v>7.1005700988060916E-2</v>
      </c>
      <c r="AX245" s="29">
        <f>IF( OR(ISBLANK(R245:R250),ISBLANK(AJ245:AJ250), ISBLANK(V245:V250),ISBLANK(AN245:AN250)), "·", bdRateExtend( R245:R250,V245:V250, AJ245:AJ250,AN245:AN250))</f>
        <v>0.10366091870941663</v>
      </c>
      <c r="AY245" s="30"/>
      <c r="BA245" s="29">
        <f>IF( OR(ISBLANK(P245:P250),ISBLANK(AH245:AH250), ISBLANK(T245:T250),ISBLANK(AL245:AL250)), "·", bdRateExtend( P245:P250,T245:T250, AH245:AH250,AL245:AL250))</f>
        <v>-4.990541055980513E-3</v>
      </c>
      <c r="BB245" s="29">
        <f>IF( OR(ISBLANK(P245:P250),ISBLANK(AH245:AH250), ISBLANK(U245:U250),ISBLANK(AM245:AM250)), "·", bdRateExtend( P245:P250,U245:U250, AH245:AH250,AM245:AM250))</f>
        <v>3.1823730299651576E-3</v>
      </c>
      <c r="BC245" s="29">
        <f>IF( OR(ISBLANK(P245:P250),ISBLANK(AH245:AH250), ISBLANK(V245:V250),ISBLANK(AN245:AN250)), "·", bdRateExtend( P245:P250,V245:V250, AH245:AH250,AN245:AN250))</f>
        <v>3.973133169807852E-3</v>
      </c>
      <c r="BD245" s="30"/>
    </row>
    <row r="246" spans="1:56" outlineLevel="1" x14ac:dyDescent="0.15">
      <c r="A246" s="31"/>
      <c r="B246" s="31" t="s">
        <v>351</v>
      </c>
      <c r="C246" s="32" t="s">
        <v>226</v>
      </c>
      <c r="D246" s="31">
        <v>43399207</v>
      </c>
      <c r="E246" s="33">
        <v>20</v>
      </c>
      <c r="F246" s="32">
        <v>1</v>
      </c>
      <c r="G246" s="32"/>
      <c r="I246" s="34" t="str">
        <f t="shared" si="33"/>
        <v>·</v>
      </c>
      <c r="J246" s="35">
        <f t="shared" si="34"/>
        <v>11.807906075334509</v>
      </c>
      <c r="K246" s="35">
        <f t="shared" si="35"/>
        <v>11.635811133599745</v>
      </c>
      <c r="L246" s="35">
        <f t="shared" si="36"/>
        <v>0.17199042369599057</v>
      </c>
      <c r="M246" s="36"/>
      <c r="N246" s="35">
        <f t="shared" si="37"/>
        <v>11.807906075334509</v>
      </c>
      <c r="O246" s="37">
        <v>43399207</v>
      </c>
      <c r="P246" s="38">
        <v>512453760</v>
      </c>
      <c r="Q246" s="38">
        <v>504984976</v>
      </c>
      <c r="R246" s="38">
        <v>7464248</v>
      </c>
      <c r="S246" s="39"/>
      <c r="T246" s="40">
        <v>27.610900000000001</v>
      </c>
      <c r="U246" s="40">
        <v>37.544699999999999</v>
      </c>
      <c r="V246" s="40">
        <v>38.968000000000004</v>
      </c>
      <c r="W246" s="41"/>
      <c r="X246" s="42"/>
      <c r="Y246" s="42"/>
      <c r="AA246" s="34" t="str">
        <f t="shared" si="38"/>
        <v>·</v>
      </c>
      <c r="AB246" s="35">
        <f t="shared" si="39"/>
        <v>11.729676074496016</v>
      </c>
      <c r="AC246" s="35">
        <f t="shared" si="40"/>
        <v>11.635811133599745</v>
      </c>
      <c r="AD246" s="35">
        <f t="shared" si="41"/>
        <v>9.3760607192661383E-2</v>
      </c>
      <c r="AE246" s="36"/>
      <c r="AF246" s="35">
        <f t="shared" si="42"/>
        <v>11.729676074496016</v>
      </c>
      <c r="AG246" s="37">
        <v>43399207</v>
      </c>
      <c r="AH246" s="38">
        <v>509058640</v>
      </c>
      <c r="AI246" s="38">
        <v>504984976</v>
      </c>
      <c r="AJ246" s="38">
        <v>4069136</v>
      </c>
      <c r="AK246" s="39"/>
      <c r="AL246" s="40">
        <v>25.965</v>
      </c>
      <c r="AM246" s="40">
        <v>35.932200000000002</v>
      </c>
      <c r="AN246" s="40">
        <v>37.372300000000003</v>
      </c>
      <c r="AO246" s="41"/>
      <c r="AP246" s="42"/>
      <c r="AQ246" s="42"/>
      <c r="AS246" s="43">
        <f t="shared" si="43"/>
        <v>6.5722048187473181E-3</v>
      </c>
      <c r="AT246" s="43"/>
      <c r="AV246" s="44"/>
      <c r="AW246" s="44"/>
      <c r="AX246" s="44"/>
      <c r="AY246" s="45"/>
      <c r="BA246" s="44"/>
      <c r="BB246" s="44"/>
      <c r="BC246" s="44"/>
      <c r="BD246" s="45"/>
    </row>
    <row r="247" spans="1:56" outlineLevel="1" x14ac:dyDescent="0.15">
      <c r="A247" s="16"/>
      <c r="B247" s="16" t="s">
        <v>351</v>
      </c>
      <c r="C247" s="17" t="s">
        <v>227</v>
      </c>
      <c r="D247" s="16">
        <v>43399207</v>
      </c>
      <c r="E247" s="18">
        <v>20</v>
      </c>
      <c r="F247" s="17">
        <v>1</v>
      </c>
      <c r="G247" s="17"/>
      <c r="I247" s="19" t="str">
        <f t="shared" si="33"/>
        <v>·</v>
      </c>
      <c r="J247" s="20">
        <f t="shared" si="34"/>
        <v>12.020724341806522</v>
      </c>
      <c r="K247" s="20">
        <f t="shared" si="35"/>
        <v>11.635811133599745</v>
      </c>
      <c r="L247" s="20">
        <f t="shared" si="36"/>
        <v>0.3848086901680024</v>
      </c>
      <c r="M247" s="21"/>
      <c r="N247" s="20">
        <f t="shared" si="37"/>
        <v>12.020724341806522</v>
      </c>
      <c r="O247" s="22">
        <v>43399207</v>
      </c>
      <c r="P247" s="23">
        <v>521689904</v>
      </c>
      <c r="Q247" s="23">
        <v>504984976</v>
      </c>
      <c r="R247" s="23">
        <v>16700392</v>
      </c>
      <c r="S247" s="24"/>
      <c r="T247" s="25">
        <v>30.861599999999999</v>
      </c>
      <c r="U247" s="25">
        <v>39.666600000000003</v>
      </c>
      <c r="V247" s="25">
        <v>41.061199999999999</v>
      </c>
      <c r="W247" s="26"/>
      <c r="X247" s="27"/>
      <c r="Y247" s="27"/>
      <c r="AA247" s="19" t="str">
        <f t="shared" si="38"/>
        <v>·</v>
      </c>
      <c r="AB247" s="20">
        <f t="shared" si="39"/>
        <v>11.87938295738906</v>
      </c>
      <c r="AC247" s="20">
        <f t="shared" si="40"/>
        <v>11.635811133599745</v>
      </c>
      <c r="AD247" s="20">
        <f t="shared" si="41"/>
        <v>0.24346749008570595</v>
      </c>
      <c r="AE247" s="21"/>
      <c r="AF247" s="20">
        <f t="shared" si="42"/>
        <v>11.87938295738906</v>
      </c>
      <c r="AG247" s="22">
        <v>43399207</v>
      </c>
      <c r="AH247" s="23">
        <v>515555800</v>
      </c>
      <c r="AI247" s="23">
        <v>504984976</v>
      </c>
      <c r="AJ247" s="23">
        <v>10566296</v>
      </c>
      <c r="AK247" s="24"/>
      <c r="AL247" s="25">
        <v>29.235399999999998</v>
      </c>
      <c r="AM247" s="25">
        <v>38.069800000000001</v>
      </c>
      <c r="AN247" s="25">
        <v>39.463999999999999</v>
      </c>
      <c r="AO247" s="26"/>
      <c r="AP247" s="27"/>
      <c r="AQ247" s="27"/>
      <c r="AS247" s="28">
        <f t="shared" si="43"/>
        <v>1.1517056123806602E-2</v>
      </c>
      <c r="AT247" s="28"/>
      <c r="AV247" s="29"/>
      <c r="AW247" s="29"/>
      <c r="AX247" s="29"/>
      <c r="AY247" s="30"/>
      <c r="BA247" s="29"/>
      <c r="BB247" s="29"/>
      <c r="BC247" s="29"/>
      <c r="BD247" s="30"/>
    </row>
    <row r="248" spans="1:56" outlineLevel="1" x14ac:dyDescent="0.15">
      <c r="A248" s="31"/>
      <c r="B248" s="31" t="s">
        <v>351</v>
      </c>
      <c r="C248" s="32" t="s">
        <v>228</v>
      </c>
      <c r="D248" s="31">
        <v>43399207</v>
      </c>
      <c r="E248" s="33">
        <v>20</v>
      </c>
      <c r="F248" s="32">
        <v>1</v>
      </c>
      <c r="G248" s="32"/>
      <c r="I248" s="34" t="str">
        <f t="shared" si="33"/>
        <v>·</v>
      </c>
      <c r="J248" s="35">
        <f t="shared" si="34"/>
        <v>12.399406099747399</v>
      </c>
      <c r="K248" s="35">
        <f t="shared" si="35"/>
        <v>11.635811133599745</v>
      </c>
      <c r="L248" s="35">
        <f t="shared" si="36"/>
        <v>0.76349044810887901</v>
      </c>
      <c r="M248" s="36"/>
      <c r="N248" s="35">
        <f t="shared" si="37"/>
        <v>12.399406099747399</v>
      </c>
      <c r="O248" s="37">
        <v>43399207</v>
      </c>
      <c r="P248" s="38">
        <v>538124392</v>
      </c>
      <c r="Q248" s="38">
        <v>504984976</v>
      </c>
      <c r="R248" s="38">
        <v>33134880</v>
      </c>
      <c r="S248" s="39"/>
      <c r="T248" s="40">
        <v>34.714399999999998</v>
      </c>
      <c r="U248" s="40">
        <v>41.991</v>
      </c>
      <c r="V248" s="40">
        <v>43.309600000000003</v>
      </c>
      <c r="W248" s="41"/>
      <c r="X248" s="42"/>
      <c r="Y248" s="42"/>
      <c r="AA248" s="34" t="str">
        <f t="shared" si="38"/>
        <v>·</v>
      </c>
      <c r="AB248" s="35">
        <f t="shared" si="39"/>
        <v>12.161751250431834</v>
      </c>
      <c r="AC248" s="35">
        <f t="shared" si="40"/>
        <v>11.635811133599745</v>
      </c>
      <c r="AD248" s="35">
        <f t="shared" si="41"/>
        <v>0.52583578312847978</v>
      </c>
      <c r="AE248" s="36"/>
      <c r="AF248" s="35">
        <f t="shared" si="42"/>
        <v>12.161751250431834</v>
      </c>
      <c r="AG248" s="37">
        <v>43399207</v>
      </c>
      <c r="AH248" s="38">
        <v>527810360</v>
      </c>
      <c r="AI248" s="38">
        <v>504984976</v>
      </c>
      <c r="AJ248" s="38">
        <v>22820856</v>
      </c>
      <c r="AK248" s="39"/>
      <c r="AL248" s="40">
        <v>33.011200000000002</v>
      </c>
      <c r="AM248" s="40">
        <v>40.342599999999997</v>
      </c>
      <c r="AN248" s="40">
        <v>41.6798</v>
      </c>
      <c r="AO248" s="41"/>
      <c r="AP248" s="42"/>
      <c r="AQ248" s="42"/>
      <c r="AS248" s="43">
        <f t="shared" si="43"/>
        <v>1.8337762488477516E-2</v>
      </c>
      <c r="AT248" s="43"/>
      <c r="AV248" s="44"/>
      <c r="AW248" s="44"/>
      <c r="AX248" s="44"/>
      <c r="AY248" s="45"/>
      <c r="BA248" s="44"/>
      <c r="BB248" s="44"/>
      <c r="BC248" s="44"/>
      <c r="BD248" s="45"/>
    </row>
    <row r="249" spans="1:56" outlineLevel="1" x14ac:dyDescent="0.15">
      <c r="A249" s="16"/>
      <c r="B249" s="16" t="s">
        <v>351</v>
      </c>
      <c r="C249" s="17" t="s">
        <v>229</v>
      </c>
      <c r="D249" s="16">
        <v>43399207</v>
      </c>
      <c r="E249" s="18">
        <v>20</v>
      </c>
      <c r="F249" s="17">
        <v>1</v>
      </c>
      <c r="G249" s="17"/>
      <c r="I249" s="19" t="str">
        <f t="shared" si="33"/>
        <v>·</v>
      </c>
      <c r="J249" s="20">
        <f t="shared" si="34"/>
        <v>13.012578593889977</v>
      </c>
      <c r="K249" s="20">
        <f t="shared" si="35"/>
        <v>11.635811133599745</v>
      </c>
      <c r="L249" s="20">
        <f t="shared" si="36"/>
        <v>1.3766629422514562</v>
      </c>
      <c r="M249" s="21"/>
      <c r="N249" s="20">
        <f t="shared" si="37"/>
        <v>13.012578593889977</v>
      </c>
      <c r="O249" s="22">
        <v>43399207</v>
      </c>
      <c r="P249" s="23">
        <v>564735592</v>
      </c>
      <c r="Q249" s="23">
        <v>504984976</v>
      </c>
      <c r="R249" s="23">
        <v>59746080</v>
      </c>
      <c r="S249" s="24"/>
      <c r="T249" s="25">
        <v>38.964100000000002</v>
      </c>
      <c r="U249" s="25">
        <v>44.592100000000002</v>
      </c>
      <c r="V249" s="25">
        <v>45.695300000000003</v>
      </c>
      <c r="W249" s="26"/>
      <c r="X249" s="27"/>
      <c r="Y249" s="27"/>
      <c r="AA249" s="19" t="str">
        <f t="shared" si="38"/>
        <v>·</v>
      </c>
      <c r="AB249" s="20">
        <f t="shared" si="39"/>
        <v>12.665393448318076</v>
      </c>
      <c r="AC249" s="20">
        <f t="shared" si="40"/>
        <v>11.635811133599745</v>
      </c>
      <c r="AD249" s="20">
        <f t="shared" si="41"/>
        <v>1.0294779810147223</v>
      </c>
      <c r="AE249" s="21"/>
      <c r="AF249" s="20">
        <f t="shared" si="42"/>
        <v>12.665393448318076</v>
      </c>
      <c r="AG249" s="22">
        <v>43399207</v>
      </c>
      <c r="AH249" s="23">
        <v>549668032</v>
      </c>
      <c r="AI249" s="23">
        <v>504984976</v>
      </c>
      <c r="AJ249" s="23">
        <v>44678528</v>
      </c>
      <c r="AK249" s="24"/>
      <c r="AL249" s="25">
        <v>37.430300000000003</v>
      </c>
      <c r="AM249" s="25">
        <v>42.994799999999998</v>
      </c>
      <c r="AN249" s="25">
        <v>44.206000000000003</v>
      </c>
      <c r="AO249" s="26"/>
      <c r="AP249" s="27"/>
      <c r="AQ249" s="27"/>
      <c r="AS249" s="28">
        <f t="shared" si="43"/>
        <v>2.4511830660469358E-2</v>
      </c>
      <c r="AT249" s="28"/>
      <c r="AV249" s="29"/>
      <c r="AW249" s="29"/>
      <c r="AX249" s="29"/>
      <c r="AY249" s="30"/>
      <c r="BA249" s="29"/>
      <c r="BB249" s="29"/>
      <c r="BC249" s="29"/>
      <c r="BD249" s="30"/>
    </row>
    <row r="250" spans="1:56" outlineLevel="1" x14ac:dyDescent="0.15">
      <c r="A250" s="31"/>
      <c r="B250" s="46" t="s">
        <v>351</v>
      </c>
      <c r="C250" s="47" t="s">
        <v>230</v>
      </c>
      <c r="D250" s="46">
        <v>43399207</v>
      </c>
      <c r="E250" s="48">
        <v>20</v>
      </c>
      <c r="F250" s="47">
        <v>1</v>
      </c>
      <c r="G250" s="47"/>
      <c r="I250" s="49" t="str">
        <f t="shared" si="33"/>
        <v>·</v>
      </c>
      <c r="J250" s="50">
        <f t="shared" si="34"/>
        <v>13.969116255972143</v>
      </c>
      <c r="K250" s="50">
        <f t="shared" si="35"/>
        <v>11.635811133599745</v>
      </c>
      <c r="L250" s="50">
        <f t="shared" si="36"/>
        <v>2.3332006043336229</v>
      </c>
      <c r="M250" s="51"/>
      <c r="N250" s="50">
        <f t="shared" si="37"/>
        <v>13.969116255972143</v>
      </c>
      <c r="O250" s="52">
        <v>43399207</v>
      </c>
      <c r="P250" s="53">
        <v>606248568</v>
      </c>
      <c r="Q250" s="53">
        <v>504984976</v>
      </c>
      <c r="R250" s="53">
        <v>101259056</v>
      </c>
      <c r="S250" s="54"/>
      <c r="T250" s="55">
        <v>43.390900000000002</v>
      </c>
      <c r="U250" s="55">
        <v>47.444200000000002</v>
      </c>
      <c r="V250" s="55">
        <v>48.218200000000003</v>
      </c>
      <c r="W250" s="56"/>
      <c r="X250" s="57"/>
      <c r="Y250" s="57"/>
      <c r="AA250" s="49" t="str">
        <f t="shared" si="38"/>
        <v>·</v>
      </c>
      <c r="AB250" s="50">
        <f t="shared" si="39"/>
        <v>13.402177786336051</v>
      </c>
      <c r="AC250" s="50">
        <f t="shared" si="40"/>
        <v>11.635811133599745</v>
      </c>
      <c r="AD250" s="50">
        <f t="shared" si="41"/>
        <v>1.7662623190326956</v>
      </c>
      <c r="AE250" s="51"/>
      <c r="AF250" s="50">
        <f t="shared" si="42"/>
        <v>13.402177786336051</v>
      </c>
      <c r="AG250" s="52">
        <v>43399207</v>
      </c>
      <c r="AH250" s="53">
        <v>581643888</v>
      </c>
      <c r="AI250" s="53">
        <v>504984976</v>
      </c>
      <c r="AJ250" s="53">
        <v>76654384</v>
      </c>
      <c r="AK250" s="54"/>
      <c r="AL250" s="55">
        <v>41.689599999999999</v>
      </c>
      <c r="AM250" s="55">
        <v>45.712000000000003</v>
      </c>
      <c r="AN250" s="55">
        <v>46.6327</v>
      </c>
      <c r="AO250" s="56"/>
      <c r="AP250" s="57"/>
      <c r="AQ250" s="57"/>
      <c r="AS250" s="58">
        <f t="shared" si="43"/>
        <v>3.5236136520803596E-2</v>
      </c>
      <c r="AT250" s="58"/>
      <c r="AV250" s="59"/>
      <c r="AW250" s="59"/>
      <c r="AX250" s="59"/>
      <c r="AY250" s="60"/>
      <c r="BA250" s="59"/>
      <c r="BB250" s="59"/>
      <c r="BC250" s="59"/>
      <c r="BD250" s="60"/>
    </row>
    <row r="251" spans="1:56" collapsed="1" x14ac:dyDescent="0.15">
      <c r="A251" s="16"/>
      <c r="B251" s="16" t="s">
        <v>354</v>
      </c>
      <c r="C251" s="17" t="s">
        <v>225</v>
      </c>
      <c r="D251" s="16">
        <v>499660</v>
      </c>
      <c r="E251" s="18">
        <v>12</v>
      </c>
      <c r="F251" s="17">
        <v>1</v>
      </c>
      <c r="G251" s="17"/>
      <c r="I251" s="19" t="str">
        <f t="shared" si="33"/>
        <v>·</v>
      </c>
      <c r="J251" s="20">
        <f t="shared" si="34"/>
        <v>9.9181523435936434</v>
      </c>
      <c r="K251" s="20">
        <f t="shared" si="35"/>
        <v>9.8042669014930155</v>
      </c>
      <c r="L251" s="20">
        <f t="shared" si="36"/>
        <v>0.11286074530680863</v>
      </c>
      <c r="M251" s="21"/>
      <c r="N251" s="20">
        <f t="shared" si="37"/>
        <v>9.9181523435936434</v>
      </c>
      <c r="O251" s="22">
        <v>499660</v>
      </c>
      <c r="P251" s="23">
        <v>4955704</v>
      </c>
      <c r="Q251" s="23">
        <v>4898800</v>
      </c>
      <c r="R251" s="23">
        <v>56392</v>
      </c>
      <c r="S251" s="24"/>
      <c r="T251" s="25">
        <v>23.762699999999999</v>
      </c>
      <c r="U251" s="25">
        <v>30.9649</v>
      </c>
      <c r="V251" s="25">
        <v>32.8247</v>
      </c>
      <c r="W251" s="26"/>
      <c r="X251" s="27"/>
      <c r="Y251" s="27"/>
      <c r="AA251" s="19" t="str">
        <f t="shared" si="38"/>
        <v>·</v>
      </c>
      <c r="AB251" s="20">
        <f t="shared" si="39"/>
        <v>9.8528279229876308</v>
      </c>
      <c r="AC251" s="20">
        <f t="shared" si="40"/>
        <v>9.8042669014930155</v>
      </c>
      <c r="AD251" s="20">
        <f t="shared" si="41"/>
        <v>4.7552335588199976E-2</v>
      </c>
      <c r="AE251" s="21"/>
      <c r="AF251" s="20">
        <f t="shared" si="42"/>
        <v>9.8528279229876308</v>
      </c>
      <c r="AG251" s="22">
        <v>499660</v>
      </c>
      <c r="AH251" s="23">
        <v>4923064</v>
      </c>
      <c r="AI251" s="23">
        <v>4898800</v>
      </c>
      <c r="AJ251" s="23">
        <v>23760</v>
      </c>
      <c r="AK251" s="24"/>
      <c r="AL251" s="25">
        <v>21.933499999999999</v>
      </c>
      <c r="AM251" s="25">
        <v>29.284600000000001</v>
      </c>
      <c r="AN251" s="25">
        <v>31.364000000000001</v>
      </c>
      <c r="AO251" s="26"/>
      <c r="AP251" s="27"/>
      <c r="AQ251" s="27"/>
      <c r="AS251" s="28">
        <f t="shared" si="43"/>
        <v>6.5538880566139435E-3</v>
      </c>
      <c r="AT251" s="28">
        <f t="array" ref="AT251">AVERAGE(AI251:AI256/AH251:AH256) - AVERAGE(Q251:Q256/P251:P256)</f>
        <v>2.6268207356732187E-2</v>
      </c>
      <c r="AV251" s="29">
        <f>IF( OR(ISBLANK(R251:R256),ISBLANK(AJ251:AJ256), ISBLANK(T251:T256),ISBLANK(AL251:AL256)), "·", bdRateExtend( R251:R256,T251:T256, AJ251:AJ256,AL251:AL256))</f>
        <v>-3.7834822274561031E-2</v>
      </c>
      <c r="AW251" s="29">
        <f>IF( OR(ISBLANK(R251:R256),ISBLANK(AJ251:AJ256), ISBLANK(U251:U256),ISBLANK(AM251:AM256)), "·", bdRateExtend( R251:R256,U251:U256, AJ251:AJ256,AM251:AM256))</f>
        <v>0.16278555394453043</v>
      </c>
      <c r="AX251" s="29">
        <f>IF( OR(ISBLANK(R251:R256),ISBLANK(AJ251:AJ256), ISBLANK(V251:V256),ISBLANK(AN251:AN256)), "·", bdRateExtend( R251:R256,V251:V256, AJ251:AJ256,AN251:AN256))</f>
        <v>0.18875897856815493</v>
      </c>
      <c r="AY251" s="30"/>
      <c r="BA251" s="29">
        <f>IF( OR(ISBLANK(P251:P256),ISBLANK(AH251:AH256), ISBLANK(T251:T256),ISBLANK(AL251:AL256)), "·", bdRateExtend( P251:P256,T251:T256, AH251:AH256,AL251:AL256))</f>
        <v>-5.8505099583304743E-3</v>
      </c>
      <c r="BB251" s="29">
        <f>IF( OR(ISBLANK(P251:P256),ISBLANK(AH251:AH256), ISBLANK(U251:U256),ISBLANK(AM251:AM256)), "·", bdRateExtend( P251:P256,U251:U256, AH251:AH256,AM251:AM256))</f>
        <v>1.1527806446160582E-2</v>
      </c>
      <c r="BC251" s="29">
        <f>IF( OR(ISBLANK(P251:P256),ISBLANK(AH251:AH256), ISBLANK(V251:V256),ISBLANK(AN251:AN256)), "·", bdRateExtend( P251:P256,V251:V256, AH251:AH256,AN251:AN256))</f>
        <v>1.3791250974256153E-2</v>
      </c>
      <c r="BD251" s="30"/>
    </row>
    <row r="252" spans="1:56" outlineLevel="1" x14ac:dyDescent="0.15">
      <c r="A252" s="31"/>
      <c r="B252" s="31" t="s">
        <v>354</v>
      </c>
      <c r="C252" s="32" t="s">
        <v>226</v>
      </c>
      <c r="D252" s="31">
        <v>499660</v>
      </c>
      <c r="E252" s="33">
        <v>12</v>
      </c>
      <c r="F252" s="32">
        <v>1</v>
      </c>
      <c r="G252" s="32"/>
      <c r="I252" s="34" t="str">
        <f t="shared" si="33"/>
        <v>·</v>
      </c>
      <c r="J252" s="35">
        <f t="shared" si="34"/>
        <v>10.055125485330024</v>
      </c>
      <c r="K252" s="35">
        <f t="shared" si="35"/>
        <v>9.8042669014930155</v>
      </c>
      <c r="L252" s="35">
        <f t="shared" si="36"/>
        <v>0.24983388704318937</v>
      </c>
      <c r="M252" s="36"/>
      <c r="N252" s="35">
        <f t="shared" si="37"/>
        <v>10.055125485330024</v>
      </c>
      <c r="O252" s="37">
        <v>499660</v>
      </c>
      <c r="P252" s="38">
        <v>5024144</v>
      </c>
      <c r="Q252" s="38">
        <v>4898800</v>
      </c>
      <c r="R252" s="38">
        <v>124832</v>
      </c>
      <c r="S252" s="39"/>
      <c r="T252" s="40">
        <v>25.900300000000001</v>
      </c>
      <c r="U252" s="40">
        <v>32.945399999999999</v>
      </c>
      <c r="V252" s="40">
        <v>34.433500000000002</v>
      </c>
      <c r="W252" s="41"/>
      <c r="X252" s="42"/>
      <c r="Y252" s="42"/>
      <c r="AA252" s="34" t="str">
        <f t="shared" si="38"/>
        <v>·</v>
      </c>
      <c r="AB252" s="35">
        <f t="shared" si="39"/>
        <v>9.9289917143657682</v>
      </c>
      <c r="AC252" s="35">
        <f t="shared" si="40"/>
        <v>9.8042669014930155</v>
      </c>
      <c r="AD252" s="35">
        <f t="shared" si="41"/>
        <v>0.1237161269663371</v>
      </c>
      <c r="AE252" s="36"/>
      <c r="AF252" s="35">
        <f t="shared" si="42"/>
        <v>9.9289917143657682</v>
      </c>
      <c r="AG252" s="37">
        <v>499660</v>
      </c>
      <c r="AH252" s="38">
        <v>4961120</v>
      </c>
      <c r="AI252" s="38">
        <v>4898800</v>
      </c>
      <c r="AJ252" s="38">
        <v>61816</v>
      </c>
      <c r="AK252" s="39"/>
      <c r="AL252" s="40">
        <v>23.968499999999999</v>
      </c>
      <c r="AM252" s="40">
        <v>30.996400000000001</v>
      </c>
      <c r="AN252" s="40">
        <v>32.752499999999998</v>
      </c>
      <c r="AO252" s="41"/>
      <c r="AP252" s="42"/>
      <c r="AQ252" s="42"/>
      <c r="AS252" s="43">
        <f t="shared" si="43"/>
        <v>1.2386649885748224E-2</v>
      </c>
      <c r="AT252" s="43"/>
      <c r="AV252" s="44"/>
      <c r="AW252" s="44"/>
      <c r="AX252" s="44"/>
      <c r="AY252" s="45"/>
      <c r="BA252" s="44"/>
      <c r="BB252" s="44"/>
      <c r="BC252" s="44"/>
      <c r="BD252" s="45"/>
    </row>
    <row r="253" spans="1:56" outlineLevel="1" x14ac:dyDescent="0.15">
      <c r="A253" s="16"/>
      <c r="B253" s="16" t="s">
        <v>354</v>
      </c>
      <c r="C253" s="17" t="s">
        <v>227</v>
      </c>
      <c r="D253" s="16">
        <v>499660</v>
      </c>
      <c r="E253" s="18">
        <v>12</v>
      </c>
      <c r="F253" s="17">
        <v>1</v>
      </c>
      <c r="G253" s="17"/>
      <c r="I253" s="19" t="str">
        <f t="shared" si="33"/>
        <v>·</v>
      </c>
      <c r="J253" s="20">
        <f t="shared" si="34"/>
        <v>10.394460232958412</v>
      </c>
      <c r="K253" s="20">
        <f t="shared" si="35"/>
        <v>9.8042669014930155</v>
      </c>
      <c r="L253" s="20">
        <f t="shared" si="36"/>
        <v>0.58916863467157665</v>
      </c>
      <c r="M253" s="21"/>
      <c r="N253" s="20">
        <f t="shared" si="37"/>
        <v>10.394460232958412</v>
      </c>
      <c r="O253" s="22">
        <v>499660</v>
      </c>
      <c r="P253" s="23">
        <v>5193696</v>
      </c>
      <c r="Q253" s="23">
        <v>4898800</v>
      </c>
      <c r="R253" s="23">
        <v>294384</v>
      </c>
      <c r="S253" s="24"/>
      <c r="T253" s="25">
        <v>28.715900000000001</v>
      </c>
      <c r="U253" s="25">
        <v>35.105699999999999</v>
      </c>
      <c r="V253" s="25">
        <v>36.383400000000002</v>
      </c>
      <c r="W253" s="26"/>
      <c r="X253" s="27"/>
      <c r="Y253" s="27"/>
      <c r="AA253" s="19" t="str">
        <f t="shared" si="38"/>
        <v>·</v>
      </c>
      <c r="AB253" s="20">
        <f t="shared" si="39"/>
        <v>10.154537085217948</v>
      </c>
      <c r="AC253" s="20">
        <f t="shared" si="40"/>
        <v>9.8042669014930155</v>
      </c>
      <c r="AD253" s="20">
        <f t="shared" si="41"/>
        <v>0.34926149781851656</v>
      </c>
      <c r="AE253" s="21"/>
      <c r="AF253" s="20">
        <f t="shared" si="42"/>
        <v>10.154537085217948</v>
      </c>
      <c r="AG253" s="22">
        <v>499660</v>
      </c>
      <c r="AH253" s="23">
        <v>5073816</v>
      </c>
      <c r="AI253" s="23">
        <v>4898800</v>
      </c>
      <c r="AJ253" s="23">
        <v>174512</v>
      </c>
      <c r="AK253" s="24"/>
      <c r="AL253" s="25">
        <v>26.904</v>
      </c>
      <c r="AM253" s="25">
        <v>33.182000000000002</v>
      </c>
      <c r="AN253" s="25">
        <v>34.561799999999998</v>
      </c>
      <c r="AO253" s="26"/>
      <c r="AP253" s="27"/>
      <c r="AQ253" s="27"/>
      <c r="AS253" s="28">
        <f t="shared" si="43"/>
        <v>2.2285644793330062E-2</v>
      </c>
      <c r="AT253" s="28"/>
      <c r="AV253" s="29"/>
      <c r="AW253" s="29"/>
      <c r="AX253" s="29"/>
      <c r="AY253" s="30"/>
      <c r="BA253" s="29"/>
      <c r="BB253" s="29"/>
      <c r="BC253" s="29"/>
      <c r="BD253" s="30"/>
    </row>
    <row r="254" spans="1:56" outlineLevel="1" x14ac:dyDescent="0.15">
      <c r="A254" s="31"/>
      <c r="B254" s="31" t="s">
        <v>354</v>
      </c>
      <c r="C254" s="32" t="s">
        <v>228</v>
      </c>
      <c r="D254" s="31">
        <v>499660</v>
      </c>
      <c r="E254" s="33">
        <v>12</v>
      </c>
      <c r="F254" s="32">
        <v>1</v>
      </c>
      <c r="G254" s="32"/>
      <c r="I254" s="34" t="str">
        <f t="shared" si="33"/>
        <v>·</v>
      </c>
      <c r="J254" s="35">
        <f t="shared" si="34"/>
        <v>11.069831485410079</v>
      </c>
      <c r="K254" s="35">
        <f t="shared" si="35"/>
        <v>9.8042669014930155</v>
      </c>
      <c r="L254" s="35">
        <f t="shared" si="36"/>
        <v>1.2645398871232438</v>
      </c>
      <c r="M254" s="36"/>
      <c r="N254" s="35">
        <f t="shared" si="37"/>
        <v>11.069831485410079</v>
      </c>
      <c r="O254" s="37">
        <v>499660</v>
      </c>
      <c r="P254" s="38">
        <v>5531152</v>
      </c>
      <c r="Q254" s="38">
        <v>4898800</v>
      </c>
      <c r="R254" s="38">
        <v>631840</v>
      </c>
      <c r="S254" s="39"/>
      <c r="T254" s="40">
        <v>32.537599999999998</v>
      </c>
      <c r="U254" s="40">
        <v>37.481099999999998</v>
      </c>
      <c r="V254" s="40">
        <v>38.634300000000003</v>
      </c>
      <c r="W254" s="41"/>
      <c r="X254" s="42"/>
      <c r="Y254" s="42"/>
      <c r="AA254" s="34" t="str">
        <f t="shared" si="38"/>
        <v>·</v>
      </c>
      <c r="AB254" s="35">
        <f t="shared" si="39"/>
        <v>10.668550614417804</v>
      </c>
      <c r="AC254" s="35">
        <f t="shared" si="40"/>
        <v>9.8042669014930155</v>
      </c>
      <c r="AD254" s="35">
        <f t="shared" si="41"/>
        <v>0.86327502701837244</v>
      </c>
      <c r="AE254" s="36"/>
      <c r="AF254" s="35">
        <f t="shared" si="42"/>
        <v>10.668550614417804</v>
      </c>
      <c r="AG254" s="37">
        <v>499660</v>
      </c>
      <c r="AH254" s="38">
        <v>5330648</v>
      </c>
      <c r="AI254" s="38">
        <v>4898800</v>
      </c>
      <c r="AJ254" s="38">
        <v>431344</v>
      </c>
      <c r="AK254" s="39"/>
      <c r="AL254" s="40">
        <v>30.727599999999999</v>
      </c>
      <c r="AM254" s="40">
        <v>35.549399999999999</v>
      </c>
      <c r="AN254" s="40">
        <v>36.761200000000002</v>
      </c>
      <c r="AO254" s="41"/>
      <c r="AP254" s="42"/>
      <c r="AQ254" s="42"/>
      <c r="AS254" s="43">
        <f t="shared" si="43"/>
        <v>3.3313261300435437E-2</v>
      </c>
      <c r="AT254" s="43"/>
      <c r="AV254" s="44"/>
      <c r="AW254" s="44"/>
      <c r="AX254" s="44"/>
      <c r="AY254" s="45"/>
      <c r="BA254" s="44"/>
      <c r="BB254" s="44"/>
      <c r="BC254" s="44"/>
      <c r="BD254" s="45"/>
    </row>
    <row r="255" spans="1:56" outlineLevel="1" x14ac:dyDescent="0.15">
      <c r="A255" s="16"/>
      <c r="B255" s="16" t="s">
        <v>354</v>
      </c>
      <c r="C255" s="17" t="s">
        <v>229</v>
      </c>
      <c r="D255" s="16">
        <v>499660</v>
      </c>
      <c r="E255" s="18">
        <v>12</v>
      </c>
      <c r="F255" s="17">
        <v>1</v>
      </c>
      <c r="G255" s="17"/>
      <c r="I255" s="19" t="str">
        <f t="shared" si="33"/>
        <v>·</v>
      </c>
      <c r="J255" s="20">
        <f t="shared" si="34"/>
        <v>12.203610455109475</v>
      </c>
      <c r="K255" s="20">
        <f t="shared" si="35"/>
        <v>9.8042669014930155</v>
      </c>
      <c r="L255" s="20">
        <f t="shared" si="36"/>
        <v>2.3983188568226392</v>
      </c>
      <c r="M255" s="21"/>
      <c r="N255" s="20">
        <f t="shared" si="37"/>
        <v>12.203610455109475</v>
      </c>
      <c r="O255" s="22">
        <v>499660</v>
      </c>
      <c r="P255" s="23">
        <v>6097656</v>
      </c>
      <c r="Q255" s="23">
        <v>4898800</v>
      </c>
      <c r="R255" s="23">
        <v>1198344</v>
      </c>
      <c r="S255" s="24"/>
      <c r="T255" s="25">
        <v>36.8733</v>
      </c>
      <c r="U255" s="25">
        <v>40.239699999999999</v>
      </c>
      <c r="V255" s="25">
        <v>41.303800000000003</v>
      </c>
      <c r="W255" s="26"/>
      <c r="X255" s="27"/>
      <c r="Y255" s="27"/>
      <c r="AA255" s="19" t="str">
        <f t="shared" si="38"/>
        <v>·</v>
      </c>
      <c r="AB255" s="20">
        <f t="shared" si="39"/>
        <v>11.642540927830925</v>
      </c>
      <c r="AC255" s="20">
        <f t="shared" si="40"/>
        <v>9.8042669014930155</v>
      </c>
      <c r="AD255" s="20">
        <f t="shared" si="41"/>
        <v>1.8372653404314934</v>
      </c>
      <c r="AE255" s="21"/>
      <c r="AF255" s="20">
        <f t="shared" si="42"/>
        <v>11.642540927830925</v>
      </c>
      <c r="AG255" s="22">
        <v>499660</v>
      </c>
      <c r="AH255" s="23">
        <v>5817312</v>
      </c>
      <c r="AI255" s="23">
        <v>4898800</v>
      </c>
      <c r="AJ255" s="23">
        <v>918008</v>
      </c>
      <c r="AK255" s="24"/>
      <c r="AL255" s="25">
        <v>35.330199999999998</v>
      </c>
      <c r="AM255" s="25">
        <v>38.525700000000001</v>
      </c>
      <c r="AN255" s="25">
        <v>39.587200000000003</v>
      </c>
      <c r="AO255" s="26"/>
      <c r="AP255" s="27"/>
      <c r="AQ255" s="27"/>
      <c r="AS255" s="28">
        <f t="shared" si="43"/>
        <v>3.8716465058536653E-2</v>
      </c>
      <c r="AT255" s="28"/>
      <c r="AV255" s="29"/>
      <c r="AW255" s="29"/>
      <c r="AX255" s="29"/>
      <c r="AY255" s="30"/>
      <c r="BA255" s="29"/>
      <c r="BB255" s="29"/>
      <c r="BC255" s="29"/>
      <c r="BD255" s="30"/>
    </row>
    <row r="256" spans="1:56" outlineLevel="1" x14ac:dyDescent="0.15">
      <c r="A256" s="31"/>
      <c r="B256" s="46" t="s">
        <v>354</v>
      </c>
      <c r="C256" s="47" t="s">
        <v>230</v>
      </c>
      <c r="D256" s="46">
        <v>499660</v>
      </c>
      <c r="E256" s="48">
        <v>12</v>
      </c>
      <c r="F256" s="47">
        <v>1</v>
      </c>
      <c r="G256" s="47"/>
      <c r="I256" s="49" t="str">
        <f t="shared" si="33"/>
        <v>·</v>
      </c>
      <c r="J256" s="50">
        <f t="shared" si="34"/>
        <v>13.950142096625706</v>
      </c>
      <c r="K256" s="50">
        <f t="shared" si="35"/>
        <v>9.8042669014930155</v>
      </c>
      <c r="L256" s="50">
        <f t="shared" si="36"/>
        <v>4.1448504983388705</v>
      </c>
      <c r="M256" s="51"/>
      <c r="N256" s="50">
        <f t="shared" si="37"/>
        <v>13.950142096625706</v>
      </c>
      <c r="O256" s="52">
        <v>499660</v>
      </c>
      <c r="P256" s="53">
        <v>6970328</v>
      </c>
      <c r="Q256" s="53">
        <v>4898800</v>
      </c>
      <c r="R256" s="53">
        <v>2071016</v>
      </c>
      <c r="S256" s="54"/>
      <c r="T256" s="55">
        <v>41.762500000000003</v>
      </c>
      <c r="U256" s="55">
        <v>43.688600000000001</v>
      </c>
      <c r="V256" s="55">
        <v>44.495399999999997</v>
      </c>
      <c r="W256" s="56"/>
      <c r="X256" s="57"/>
      <c r="Y256" s="57"/>
      <c r="AA256" s="49" t="str">
        <f t="shared" si="38"/>
        <v>·</v>
      </c>
      <c r="AB256" s="50">
        <f t="shared" si="39"/>
        <v>13.122026978345275</v>
      </c>
      <c r="AC256" s="50">
        <f t="shared" si="40"/>
        <v>9.8042669014930155</v>
      </c>
      <c r="AD256" s="50">
        <f t="shared" si="41"/>
        <v>3.3167513909458433</v>
      </c>
      <c r="AE256" s="51"/>
      <c r="AF256" s="50">
        <f t="shared" si="42"/>
        <v>13.122026978345275</v>
      </c>
      <c r="AG256" s="52">
        <v>499660</v>
      </c>
      <c r="AH256" s="53">
        <v>6556552</v>
      </c>
      <c r="AI256" s="53">
        <v>4898800</v>
      </c>
      <c r="AJ256" s="53">
        <v>1657248</v>
      </c>
      <c r="AK256" s="54"/>
      <c r="AL256" s="55">
        <v>40.08</v>
      </c>
      <c r="AM256" s="55">
        <v>41.942900000000002</v>
      </c>
      <c r="AN256" s="55">
        <v>42.788699999999999</v>
      </c>
      <c r="AO256" s="56"/>
      <c r="AP256" s="57"/>
      <c r="AQ256" s="57"/>
      <c r="AS256" s="58">
        <f t="shared" si="43"/>
        <v>4.4353335045728914E-2</v>
      </c>
      <c r="AT256" s="58"/>
      <c r="AV256" s="59"/>
      <c r="AW256" s="59"/>
      <c r="AX256" s="59"/>
      <c r="AY256" s="60"/>
      <c r="BA256" s="59"/>
      <c r="BB256" s="59"/>
      <c r="BC256" s="59"/>
      <c r="BD256" s="60"/>
    </row>
    <row r="257" spans="1:56" collapsed="1" x14ac:dyDescent="0.15">
      <c r="A257" s="16"/>
      <c r="B257" s="16" t="s">
        <v>357</v>
      </c>
      <c r="C257" s="17" t="s">
        <v>225</v>
      </c>
      <c r="D257" s="16">
        <v>499886</v>
      </c>
      <c r="E257" s="18">
        <v>20</v>
      </c>
      <c r="F257" s="17">
        <v>1</v>
      </c>
      <c r="G257" s="17"/>
      <c r="I257" s="19" t="str">
        <f t="shared" si="33"/>
        <v>·</v>
      </c>
      <c r="J257" s="20">
        <f t="shared" si="34"/>
        <v>34.34158988249321</v>
      </c>
      <c r="K257" s="20">
        <f t="shared" si="35"/>
        <v>34.227515873619183</v>
      </c>
      <c r="L257" s="20">
        <f t="shared" si="36"/>
        <v>0.11300176440228372</v>
      </c>
      <c r="M257" s="21"/>
      <c r="N257" s="20">
        <f t="shared" si="37"/>
        <v>34.34158988249321</v>
      </c>
      <c r="O257" s="22">
        <v>499886</v>
      </c>
      <c r="P257" s="23">
        <v>17166880</v>
      </c>
      <c r="Q257" s="23">
        <v>17109856</v>
      </c>
      <c r="R257" s="23">
        <v>56488</v>
      </c>
      <c r="S257" s="24"/>
      <c r="T257" s="25">
        <v>23.796099999999999</v>
      </c>
      <c r="U257" s="25">
        <v>30.908100000000001</v>
      </c>
      <c r="V257" s="25">
        <v>32.816200000000002</v>
      </c>
      <c r="W257" s="26"/>
      <c r="X257" s="27"/>
      <c r="Y257" s="27"/>
      <c r="AA257" s="19" t="str">
        <f t="shared" si="38"/>
        <v>·</v>
      </c>
      <c r="AB257" s="20">
        <f t="shared" si="39"/>
        <v>34.276294995258922</v>
      </c>
      <c r="AC257" s="20">
        <f t="shared" si="40"/>
        <v>34.227515873619183</v>
      </c>
      <c r="AD257" s="20">
        <f t="shared" si="41"/>
        <v>4.7722880816826234E-2</v>
      </c>
      <c r="AE257" s="21"/>
      <c r="AF257" s="20">
        <f t="shared" si="42"/>
        <v>34.276294995258922</v>
      </c>
      <c r="AG257" s="22">
        <v>499886</v>
      </c>
      <c r="AH257" s="23">
        <v>17134240</v>
      </c>
      <c r="AI257" s="23">
        <v>17109856</v>
      </c>
      <c r="AJ257" s="23">
        <v>23856</v>
      </c>
      <c r="AK257" s="24"/>
      <c r="AL257" s="25">
        <v>21.936299999999999</v>
      </c>
      <c r="AM257" s="25">
        <v>29.2636</v>
      </c>
      <c r="AN257" s="25">
        <v>31.361499999999999</v>
      </c>
      <c r="AO257" s="26"/>
      <c r="AP257" s="27"/>
      <c r="AQ257" s="27"/>
      <c r="AS257" s="28">
        <f t="shared" si="43"/>
        <v>1.8986297751769632E-3</v>
      </c>
      <c r="AT257" s="28">
        <f t="array" ref="AT257">AVERAGE(AI257:AI262/AH257:AH262) - AVERAGE(Q257:Q262/P257:P262)</f>
        <v>9.4593892524924561E-3</v>
      </c>
      <c r="AV257" s="29">
        <f>IF( OR(ISBLANK(R257:R262),ISBLANK(AJ257:AJ262), ISBLANK(T257:T262),ISBLANK(AL257:AL262)), "·", bdRateExtend( R257:R262,T257:T262, AJ257:AJ262,AL257:AL262))</f>
        <v>-3.1063787889925476E-2</v>
      </c>
      <c r="AW257" s="29">
        <f>IF( OR(ISBLANK(R257:R262),ISBLANK(AJ257:AJ262), ISBLANK(U257:U262),ISBLANK(AM257:AM262)), "·", bdRateExtend( R257:R262,U257:U262, AJ257:AJ262,AM257:AM262))</f>
        <v>0.17631567720182595</v>
      </c>
      <c r="AX257" s="29">
        <f>IF( OR(ISBLANK(R257:R262),ISBLANK(AJ257:AJ262), ISBLANK(V257:V262),ISBLANK(AN257:AN262)), "·", bdRateExtend( R257:R262,V257:V262, AJ257:AJ262,AN257:AN262))</f>
        <v>0.19385005729939642</v>
      </c>
      <c r="AY257" s="30"/>
      <c r="BA257" s="29">
        <f>IF( OR(ISBLANK(P257:P262),ISBLANK(AH257:AH262), ISBLANK(T257:T262),ISBLANK(AL257:AL262)), "·", bdRateExtend( P257:P262,T257:T262, AH257:AH262,AL257:AL262))</f>
        <v>-1.6973282980743409E-3</v>
      </c>
      <c r="BB257" s="29">
        <f>IF( OR(ISBLANK(P257:P262),ISBLANK(AH257:AH262), ISBLANK(U257:U262),ISBLANK(AM257:AM262)), "·", bdRateExtend( P257:P262,U257:U262, AH257:AH262,AM257:AM262))</f>
        <v>4.0699590465886892E-3</v>
      </c>
      <c r="BC257" s="29">
        <f>IF( OR(ISBLANK(P257:P262),ISBLANK(AH257:AH262), ISBLANK(V257:V262),ISBLANK(AN257:AN262)), "·", bdRateExtend( P257:P262,V257:V262, AH257:AH262,AN257:AN262))</f>
        <v>4.639073672051186E-3</v>
      </c>
      <c r="BD257" s="30"/>
    </row>
    <row r="258" spans="1:56" outlineLevel="1" x14ac:dyDescent="0.15">
      <c r="A258" s="31"/>
      <c r="B258" s="31" t="s">
        <v>357</v>
      </c>
      <c r="C258" s="32" t="s">
        <v>226</v>
      </c>
      <c r="D258" s="31">
        <v>499886</v>
      </c>
      <c r="E258" s="33">
        <v>20</v>
      </c>
      <c r="F258" s="32">
        <v>1</v>
      </c>
      <c r="G258" s="32"/>
      <c r="I258" s="34" t="str">
        <f t="shared" si="33"/>
        <v>·</v>
      </c>
      <c r="J258" s="35">
        <f t="shared" si="34"/>
        <v>34.477140788099689</v>
      </c>
      <c r="K258" s="35">
        <f t="shared" si="35"/>
        <v>34.227515873619183</v>
      </c>
      <c r="L258" s="35">
        <f t="shared" si="36"/>
        <v>0.24855267000876199</v>
      </c>
      <c r="M258" s="36"/>
      <c r="N258" s="35">
        <f t="shared" si="37"/>
        <v>34.477140788099689</v>
      </c>
      <c r="O258" s="37">
        <v>499886</v>
      </c>
      <c r="P258" s="38">
        <v>17234640</v>
      </c>
      <c r="Q258" s="38">
        <v>17109856</v>
      </c>
      <c r="R258" s="38">
        <v>124248</v>
      </c>
      <c r="S258" s="39"/>
      <c r="T258" s="40">
        <v>25.923300000000001</v>
      </c>
      <c r="U258" s="40">
        <v>32.947699999999998</v>
      </c>
      <c r="V258" s="40">
        <v>34.374400000000001</v>
      </c>
      <c r="W258" s="41"/>
      <c r="X258" s="42"/>
      <c r="Y258" s="42"/>
      <c r="AA258" s="34" t="str">
        <f t="shared" si="38"/>
        <v>·</v>
      </c>
      <c r="AB258" s="35">
        <f t="shared" si="39"/>
        <v>34.35268041113374</v>
      </c>
      <c r="AC258" s="35">
        <f t="shared" si="40"/>
        <v>34.227515873619183</v>
      </c>
      <c r="AD258" s="35">
        <f t="shared" si="41"/>
        <v>0.12410829669164569</v>
      </c>
      <c r="AE258" s="36"/>
      <c r="AF258" s="35">
        <f t="shared" si="42"/>
        <v>34.35268041113374</v>
      </c>
      <c r="AG258" s="37">
        <v>499886</v>
      </c>
      <c r="AH258" s="38">
        <v>17172424</v>
      </c>
      <c r="AI258" s="38">
        <v>17109856</v>
      </c>
      <c r="AJ258" s="38">
        <v>62040</v>
      </c>
      <c r="AK258" s="39"/>
      <c r="AL258" s="40">
        <v>23.971499999999999</v>
      </c>
      <c r="AM258" s="40">
        <v>30.989699999999999</v>
      </c>
      <c r="AN258" s="40">
        <v>32.760399999999997</v>
      </c>
      <c r="AO258" s="41"/>
      <c r="AP258" s="42"/>
      <c r="AQ258" s="42"/>
      <c r="AS258" s="43">
        <f t="shared" si="43"/>
        <v>3.5967861826153857E-3</v>
      </c>
      <c r="AT258" s="43"/>
      <c r="AV258" s="44"/>
      <c r="AW258" s="44"/>
      <c r="AX258" s="44"/>
      <c r="AY258" s="45"/>
      <c r="BA258" s="44"/>
      <c r="BB258" s="44"/>
      <c r="BC258" s="44"/>
      <c r="BD258" s="45"/>
    </row>
    <row r="259" spans="1:56" outlineLevel="1" x14ac:dyDescent="0.15">
      <c r="A259" s="16"/>
      <c r="B259" s="16" t="s">
        <v>357</v>
      </c>
      <c r="C259" s="17" t="s">
        <v>227</v>
      </c>
      <c r="D259" s="16">
        <v>499886</v>
      </c>
      <c r="E259" s="18">
        <v>20</v>
      </c>
      <c r="F259" s="17">
        <v>1</v>
      </c>
      <c r="G259" s="17"/>
      <c r="I259" s="19" t="str">
        <f t="shared" si="33"/>
        <v>·</v>
      </c>
      <c r="J259" s="20">
        <f t="shared" si="34"/>
        <v>34.818290570250014</v>
      </c>
      <c r="K259" s="20">
        <f t="shared" si="35"/>
        <v>34.227515873619183</v>
      </c>
      <c r="L259" s="20">
        <f t="shared" si="36"/>
        <v>0.58970245215909223</v>
      </c>
      <c r="M259" s="21"/>
      <c r="N259" s="20">
        <f t="shared" si="37"/>
        <v>34.818290570250014</v>
      </c>
      <c r="O259" s="22">
        <v>499886</v>
      </c>
      <c r="P259" s="23">
        <v>17405176</v>
      </c>
      <c r="Q259" s="23">
        <v>17109856</v>
      </c>
      <c r="R259" s="23">
        <v>294784</v>
      </c>
      <c r="S259" s="24"/>
      <c r="T259" s="25">
        <v>28.747</v>
      </c>
      <c r="U259" s="25">
        <v>35.143700000000003</v>
      </c>
      <c r="V259" s="25">
        <v>36.400100000000002</v>
      </c>
      <c r="W259" s="26"/>
      <c r="X259" s="27"/>
      <c r="Y259" s="27"/>
      <c r="AA259" s="19" t="str">
        <f t="shared" si="38"/>
        <v>·</v>
      </c>
      <c r="AB259" s="20">
        <f t="shared" si="39"/>
        <v>34.577467662627079</v>
      </c>
      <c r="AC259" s="20">
        <f t="shared" si="40"/>
        <v>34.227515873619183</v>
      </c>
      <c r="AD259" s="20">
        <f t="shared" si="41"/>
        <v>0.34889554818498619</v>
      </c>
      <c r="AE259" s="21"/>
      <c r="AF259" s="20">
        <f t="shared" si="42"/>
        <v>34.577467662627079</v>
      </c>
      <c r="AG259" s="22">
        <v>499886</v>
      </c>
      <c r="AH259" s="23">
        <v>17284792</v>
      </c>
      <c r="AI259" s="23">
        <v>17109856</v>
      </c>
      <c r="AJ259" s="23">
        <v>174408</v>
      </c>
      <c r="AK259" s="24"/>
      <c r="AL259" s="25">
        <v>26.8996</v>
      </c>
      <c r="AM259" s="25">
        <v>33.172499999999999</v>
      </c>
      <c r="AN259" s="25">
        <v>34.54</v>
      </c>
      <c r="AO259" s="26"/>
      <c r="AP259" s="27"/>
      <c r="AQ259" s="27"/>
      <c r="AS259" s="28">
        <f t="shared" si="43"/>
        <v>6.8465620270449223E-3</v>
      </c>
      <c r="AT259" s="28"/>
      <c r="AV259" s="29"/>
      <c r="AW259" s="29"/>
      <c r="AX259" s="29"/>
      <c r="AY259" s="30"/>
      <c r="BA259" s="29"/>
      <c r="BB259" s="29"/>
      <c r="BC259" s="29"/>
      <c r="BD259" s="30"/>
    </row>
    <row r="260" spans="1:56" outlineLevel="1" x14ac:dyDescent="0.15">
      <c r="A260" s="31"/>
      <c r="B260" s="31" t="s">
        <v>357</v>
      </c>
      <c r="C260" s="32" t="s">
        <v>228</v>
      </c>
      <c r="D260" s="31">
        <v>499886</v>
      </c>
      <c r="E260" s="33">
        <v>20</v>
      </c>
      <c r="F260" s="32">
        <v>1</v>
      </c>
      <c r="G260" s="32"/>
      <c r="I260" s="34" t="str">
        <f t="shared" si="33"/>
        <v>·</v>
      </c>
      <c r="J260" s="35">
        <f t="shared" si="34"/>
        <v>35.490043729970431</v>
      </c>
      <c r="K260" s="35">
        <f t="shared" si="35"/>
        <v>34.227515873619183</v>
      </c>
      <c r="L260" s="35">
        <f t="shared" si="36"/>
        <v>1.2614556118795086</v>
      </c>
      <c r="M260" s="36"/>
      <c r="N260" s="35">
        <f t="shared" si="37"/>
        <v>35.490043729970431</v>
      </c>
      <c r="O260" s="37">
        <v>499886</v>
      </c>
      <c r="P260" s="38">
        <v>17740976</v>
      </c>
      <c r="Q260" s="38">
        <v>17109856</v>
      </c>
      <c r="R260" s="38">
        <v>630584</v>
      </c>
      <c r="S260" s="39"/>
      <c r="T260" s="40">
        <v>32.543700000000001</v>
      </c>
      <c r="U260" s="40">
        <v>37.544699999999999</v>
      </c>
      <c r="V260" s="40">
        <v>38.677300000000002</v>
      </c>
      <c r="W260" s="41"/>
      <c r="X260" s="42"/>
      <c r="Y260" s="42"/>
      <c r="AA260" s="34" t="str">
        <f t="shared" si="38"/>
        <v>·</v>
      </c>
      <c r="AB260" s="35">
        <f t="shared" si="39"/>
        <v>35.091120775536822</v>
      </c>
      <c r="AC260" s="35">
        <f t="shared" si="40"/>
        <v>34.227515873619183</v>
      </c>
      <c r="AD260" s="35">
        <f t="shared" si="41"/>
        <v>0.86254866109472961</v>
      </c>
      <c r="AE260" s="36"/>
      <c r="AF260" s="35">
        <f t="shared" si="42"/>
        <v>35.091120775536822</v>
      </c>
      <c r="AG260" s="37">
        <v>499886</v>
      </c>
      <c r="AH260" s="38">
        <v>17541560</v>
      </c>
      <c r="AI260" s="38">
        <v>17109856</v>
      </c>
      <c r="AJ260" s="38">
        <v>431176</v>
      </c>
      <c r="AK260" s="39"/>
      <c r="AL260" s="40">
        <v>30.728400000000001</v>
      </c>
      <c r="AM260" s="40">
        <v>35.549399999999999</v>
      </c>
      <c r="AN260" s="40">
        <v>36.7562</v>
      </c>
      <c r="AO260" s="41"/>
      <c r="AP260" s="42"/>
      <c r="AQ260" s="42"/>
      <c r="AS260" s="43">
        <f t="shared" si="43"/>
        <v>1.0963788106226779E-2</v>
      </c>
      <c r="AT260" s="43"/>
      <c r="AV260" s="44"/>
      <c r="AW260" s="44"/>
      <c r="AX260" s="44"/>
      <c r="AY260" s="45"/>
      <c r="BA260" s="44"/>
      <c r="BB260" s="44"/>
      <c r="BC260" s="44"/>
      <c r="BD260" s="45"/>
    </row>
    <row r="261" spans="1:56" outlineLevel="1" x14ac:dyDescent="0.15">
      <c r="A261" s="16"/>
      <c r="B261" s="16" t="s">
        <v>357</v>
      </c>
      <c r="C261" s="17" t="s">
        <v>229</v>
      </c>
      <c r="D261" s="16">
        <v>499886</v>
      </c>
      <c r="E261" s="18">
        <v>20</v>
      </c>
      <c r="F261" s="17">
        <v>1</v>
      </c>
      <c r="G261" s="17"/>
      <c r="I261" s="19" t="str">
        <f t="shared" ref="I261:I324" si="44">IF(OR(ISBLANK(P261),ISBLANK(G261)),"·",P261*G261/F261/1000000)</f>
        <v>·</v>
      </c>
      <c r="J261" s="20">
        <f t="shared" ref="J261:J324" si="45">IF(ISBLANK(P261),"·",P261/D261)</f>
        <v>36.617740844912639</v>
      </c>
      <c r="K261" s="20">
        <f t="shared" ref="K261:K324" si="46">IF(Q261="","·",Q261/D261)</f>
        <v>34.227515873619183</v>
      </c>
      <c r="L261" s="20">
        <f t="shared" ref="L261:L298" si="47">IF(ISBLANK(R261),"·",R261/D261)</f>
        <v>2.3891527268217154</v>
      </c>
      <c r="M261" s="21"/>
      <c r="N261" s="20">
        <f t="shared" ref="N261:N324" si="48">IF(ISBLANK(P261),"·",P261/O261)</f>
        <v>36.617740844912639</v>
      </c>
      <c r="O261" s="22">
        <v>499886</v>
      </c>
      <c r="P261" s="23">
        <v>18304696</v>
      </c>
      <c r="Q261" s="23">
        <v>17109856</v>
      </c>
      <c r="R261" s="23">
        <v>1194304</v>
      </c>
      <c r="S261" s="24"/>
      <c r="T261" s="25">
        <v>36.89</v>
      </c>
      <c r="U261" s="25">
        <v>40.277099999999997</v>
      </c>
      <c r="V261" s="25">
        <v>41.337699999999998</v>
      </c>
      <c r="W261" s="26"/>
      <c r="X261" s="27"/>
      <c r="Y261" s="27"/>
      <c r="AA261" s="19" t="str">
        <f t="shared" ref="AA261:AA324" si="49">IF(OR(ISBLANK(AH261),ISBLANK(G261)),"·",AH261*G261/F261/1000000)</f>
        <v>·</v>
      </c>
      <c r="AB261" s="20">
        <f t="shared" ref="AB261:AB324" si="50">IF(ISBLANK(AH261),"·",AH261/D261)</f>
        <v>36.065598956562098</v>
      </c>
      <c r="AC261" s="20">
        <f t="shared" ref="AC261:AC324" si="51">IF(AI261="","·",AI261/D261)</f>
        <v>34.227515873619183</v>
      </c>
      <c r="AD261" s="20">
        <f t="shared" ref="AD261:AD298" si="52">IF(ISBLANK(AJ261),"·",AJ261/D261)</f>
        <v>1.8370268421200033</v>
      </c>
      <c r="AE261" s="21"/>
      <c r="AF261" s="20">
        <f t="shared" ref="AF261:AF324" si="53">IF(ISBLANK(AH261),"·",AH261/AG261)</f>
        <v>36.065598956562098</v>
      </c>
      <c r="AG261" s="22">
        <v>499886</v>
      </c>
      <c r="AH261" s="23">
        <v>18028688</v>
      </c>
      <c r="AI261" s="23">
        <v>17109856</v>
      </c>
      <c r="AJ261" s="23">
        <v>918304</v>
      </c>
      <c r="AK261" s="24"/>
      <c r="AL261" s="25">
        <v>35.326700000000002</v>
      </c>
      <c r="AM261" s="25">
        <v>38.512500000000003</v>
      </c>
      <c r="AN261" s="25">
        <v>39.593499999999999</v>
      </c>
      <c r="AO261" s="26"/>
      <c r="AP261" s="27"/>
      <c r="AQ261" s="27"/>
      <c r="AS261" s="28">
        <f t="shared" ref="AS261:AS324" si="54">(AI261/AH261) - (Q261/P261)</f>
        <v>1.4310057570186552E-2</v>
      </c>
      <c r="AT261" s="28"/>
      <c r="AV261" s="29"/>
      <c r="AW261" s="29"/>
      <c r="AX261" s="29"/>
      <c r="AY261" s="30"/>
      <c r="BA261" s="29"/>
      <c r="BB261" s="29"/>
      <c r="BC261" s="29"/>
      <c r="BD261" s="30"/>
    </row>
    <row r="262" spans="1:56" outlineLevel="1" x14ac:dyDescent="0.15">
      <c r="A262" s="31"/>
      <c r="B262" s="46" t="s">
        <v>357</v>
      </c>
      <c r="C262" s="47" t="s">
        <v>230</v>
      </c>
      <c r="D262" s="46">
        <v>499886</v>
      </c>
      <c r="E262" s="48">
        <v>20</v>
      </c>
      <c r="F262" s="47">
        <v>1</v>
      </c>
      <c r="G262" s="47"/>
      <c r="I262" s="49" t="str">
        <f t="shared" si="44"/>
        <v>·</v>
      </c>
      <c r="J262" s="50">
        <f t="shared" si="45"/>
        <v>38.35410473587978</v>
      </c>
      <c r="K262" s="50">
        <f t="shared" si="46"/>
        <v>34.227515873619183</v>
      </c>
      <c r="L262" s="50">
        <f t="shared" si="47"/>
        <v>4.1255166177888558</v>
      </c>
      <c r="M262" s="51"/>
      <c r="N262" s="50">
        <f t="shared" si="48"/>
        <v>38.35410473587978</v>
      </c>
      <c r="O262" s="52">
        <v>499886</v>
      </c>
      <c r="P262" s="53">
        <v>19172680</v>
      </c>
      <c r="Q262" s="53">
        <v>17109856</v>
      </c>
      <c r="R262" s="53">
        <v>2062288</v>
      </c>
      <c r="S262" s="54"/>
      <c r="T262" s="55">
        <v>41.777299999999997</v>
      </c>
      <c r="U262" s="55">
        <v>43.715200000000003</v>
      </c>
      <c r="V262" s="55">
        <v>44.513100000000001</v>
      </c>
      <c r="W262" s="56"/>
      <c r="X262" s="57"/>
      <c r="Y262" s="57"/>
      <c r="AA262" s="49" t="str">
        <f t="shared" si="49"/>
        <v>·</v>
      </c>
      <c r="AB262" s="50">
        <f t="shared" si="50"/>
        <v>37.548753115710383</v>
      </c>
      <c r="AC262" s="50">
        <f t="shared" si="51"/>
        <v>34.227515873619183</v>
      </c>
      <c r="AD262" s="50">
        <f t="shared" si="52"/>
        <v>3.3201810012682893</v>
      </c>
      <c r="AE262" s="51"/>
      <c r="AF262" s="50">
        <f t="shared" si="53"/>
        <v>37.548753115710383</v>
      </c>
      <c r="AG262" s="52">
        <v>499886</v>
      </c>
      <c r="AH262" s="53">
        <v>18770096</v>
      </c>
      <c r="AI262" s="53">
        <v>17109856</v>
      </c>
      <c r="AJ262" s="53">
        <v>1659712</v>
      </c>
      <c r="AK262" s="54"/>
      <c r="AL262" s="55">
        <v>40.089399999999998</v>
      </c>
      <c r="AM262" s="55">
        <v>41.944099999999999</v>
      </c>
      <c r="AN262" s="55">
        <v>42.795499999999997</v>
      </c>
      <c r="AO262" s="56"/>
      <c r="AP262" s="57"/>
      <c r="AQ262" s="57"/>
      <c r="AS262" s="58">
        <f t="shared" si="54"/>
        <v>1.9140511853704578E-2</v>
      </c>
      <c r="AT262" s="58"/>
      <c r="AV262" s="59"/>
      <c r="AW262" s="59"/>
      <c r="AX262" s="59"/>
      <c r="AY262" s="60"/>
      <c r="BA262" s="59"/>
      <c r="BB262" s="59"/>
      <c r="BC262" s="59"/>
      <c r="BD262" s="60"/>
    </row>
    <row r="263" spans="1:56" collapsed="1" x14ac:dyDescent="0.15">
      <c r="A263" s="16"/>
      <c r="B263" s="16" t="s">
        <v>360</v>
      </c>
      <c r="C263" s="17" t="s">
        <v>225</v>
      </c>
      <c r="D263" s="16">
        <v>63787119</v>
      </c>
      <c r="E263" s="18">
        <v>15</v>
      </c>
      <c r="F263" s="17">
        <v>1</v>
      </c>
      <c r="G263" s="17"/>
      <c r="I263" s="19" t="str">
        <f t="shared" si="44"/>
        <v>·</v>
      </c>
      <c r="J263" s="20">
        <f t="shared" si="45"/>
        <v>8.4235514696940612</v>
      </c>
      <c r="K263" s="20">
        <f t="shared" si="46"/>
        <v>8.3884078225887588</v>
      </c>
      <c r="L263" s="20">
        <f t="shared" si="47"/>
        <v>3.5061498858413719E-2</v>
      </c>
      <c r="M263" s="21"/>
      <c r="N263" s="20">
        <f t="shared" si="48"/>
        <v>8.4235514696940612</v>
      </c>
      <c r="O263" s="22">
        <v>63787119</v>
      </c>
      <c r="P263" s="23">
        <v>537314080</v>
      </c>
      <c r="Q263" s="23">
        <v>535072368</v>
      </c>
      <c r="R263" s="23">
        <v>2236472</v>
      </c>
      <c r="S263" s="24"/>
      <c r="T263" s="25">
        <v>29.829000000000001</v>
      </c>
      <c r="U263" s="25">
        <v>39.467199999999998</v>
      </c>
      <c r="V263" s="25">
        <v>39.1402</v>
      </c>
      <c r="W263" s="26"/>
      <c r="X263" s="27"/>
      <c r="Y263" s="27"/>
      <c r="AA263" s="19" t="str">
        <f t="shared" si="49"/>
        <v>·</v>
      </c>
      <c r="AB263" s="20">
        <f t="shared" si="50"/>
        <v>8.40502384188256</v>
      </c>
      <c r="AC263" s="20">
        <f t="shared" si="51"/>
        <v>8.3884078225887588</v>
      </c>
      <c r="AD263" s="20">
        <f t="shared" si="52"/>
        <v>1.6533996464082348E-2</v>
      </c>
      <c r="AE263" s="21"/>
      <c r="AF263" s="20">
        <f t="shared" si="53"/>
        <v>8.40502384188256</v>
      </c>
      <c r="AG263" s="22">
        <v>63787119</v>
      </c>
      <c r="AH263" s="23">
        <v>536132256</v>
      </c>
      <c r="AI263" s="23">
        <v>535072368</v>
      </c>
      <c r="AJ263" s="23">
        <v>1054656</v>
      </c>
      <c r="AK263" s="24"/>
      <c r="AL263" s="25">
        <v>27.9041</v>
      </c>
      <c r="AM263" s="25">
        <v>38.657200000000003</v>
      </c>
      <c r="AN263" s="25">
        <v>36.9497</v>
      </c>
      <c r="AO263" s="26"/>
      <c r="AP263" s="27"/>
      <c r="AQ263" s="27"/>
      <c r="AS263" s="28">
        <f t="shared" si="54"/>
        <v>2.1951548974560309E-3</v>
      </c>
      <c r="AT263" s="28">
        <f t="array" ref="AT263">AVERAGE(AI263:AI268/AH263:AH268) - AVERAGE(Q263:Q268/P263:P268)</f>
        <v>1.2545230138670704E-2</v>
      </c>
      <c r="AV263" s="29">
        <f>IF( OR(ISBLANK(R263:R268),ISBLANK(AJ263:AJ268), ISBLANK(T263:T268),ISBLANK(AL263:AL268)), "·", bdRateExtend( R263:R268,T263:T268, AJ263:AJ268,AL263:AL268))</f>
        <v>-3.0656303622308756E-2</v>
      </c>
      <c r="AW263" s="29">
        <f>IF( OR(ISBLANK(R263:R268),ISBLANK(AJ263:AJ268), ISBLANK(U263:U268),ISBLANK(AM263:AM268)), "·", bdRateExtend( R263:R268,U263:U268, AJ263:AJ268,AM263:AM268))</f>
        <v>0.12264263064480585</v>
      </c>
      <c r="AX263" s="29">
        <f>IF( OR(ISBLANK(R263:R268),ISBLANK(AJ263:AJ268), ISBLANK(V263:V268),ISBLANK(AN263:AN268)), "·", bdRateExtend( R263:R268,V263:V268, AJ263:AJ268,AN263:AN268))</f>
        <v>0.16982855752651815</v>
      </c>
      <c r="AY263" s="30"/>
      <c r="BA263" s="29">
        <f>IF( OR(ISBLANK(P263:P268),ISBLANK(AH263:AH268), ISBLANK(T263:T268),ISBLANK(AL263:AL268)), "·", bdRateExtend( P263:P268,T263:T268, AH263:AH268,AL263:AL268))</f>
        <v>-1.6352215842226903E-3</v>
      </c>
      <c r="BB263" s="29">
        <f>IF( OR(ISBLANK(P263:P268),ISBLANK(AH263:AH268), ISBLANK(U263:U268),ISBLANK(AM263:AM268)), "·", bdRateExtend( P263:P268,U263:U268, AH263:AH268,AM263:AM268))</f>
        <v>5.3275494562894377E-3</v>
      </c>
      <c r="BC263" s="29">
        <f>IF( OR(ISBLANK(P263:P268),ISBLANK(AH263:AH268), ISBLANK(V263:V268),ISBLANK(AN263:AN268)), "·", bdRateExtend( P263:P268,V263:V268, AH263:AH268,AN263:AN268))</f>
        <v>5.6437163457310202E-3</v>
      </c>
      <c r="BD263" s="30"/>
    </row>
    <row r="264" spans="1:56" outlineLevel="1" x14ac:dyDescent="0.15">
      <c r="A264" s="31"/>
      <c r="B264" s="31" t="s">
        <v>360</v>
      </c>
      <c r="C264" s="32" t="s">
        <v>226</v>
      </c>
      <c r="D264" s="31">
        <v>63787119</v>
      </c>
      <c r="E264" s="33">
        <v>15</v>
      </c>
      <c r="F264" s="32">
        <v>1</v>
      </c>
      <c r="G264" s="32"/>
      <c r="I264" s="34" t="str">
        <f t="shared" si="44"/>
        <v>·</v>
      </c>
      <c r="J264" s="35">
        <f t="shared" si="45"/>
        <v>8.4566613519572815</v>
      </c>
      <c r="K264" s="35">
        <f t="shared" si="46"/>
        <v>8.3884078225887588</v>
      </c>
      <c r="L264" s="35">
        <f t="shared" si="47"/>
        <v>6.8171381121633665E-2</v>
      </c>
      <c r="M264" s="36"/>
      <c r="N264" s="35">
        <f t="shared" si="48"/>
        <v>8.4566613519572815</v>
      </c>
      <c r="O264" s="37">
        <v>63787119</v>
      </c>
      <c r="P264" s="38">
        <v>539426064</v>
      </c>
      <c r="Q264" s="38">
        <v>535072368</v>
      </c>
      <c r="R264" s="38">
        <v>4348456</v>
      </c>
      <c r="S264" s="39"/>
      <c r="T264" s="40">
        <v>32.067900000000002</v>
      </c>
      <c r="U264" s="40">
        <v>43.203000000000003</v>
      </c>
      <c r="V264" s="40">
        <v>41.448700000000002</v>
      </c>
      <c r="W264" s="41"/>
      <c r="X264" s="42"/>
      <c r="Y264" s="42"/>
      <c r="AA264" s="34" t="str">
        <f t="shared" si="49"/>
        <v>·</v>
      </c>
      <c r="AB264" s="35">
        <f t="shared" si="50"/>
        <v>8.4228229213487449</v>
      </c>
      <c r="AC264" s="35">
        <f t="shared" si="51"/>
        <v>8.3884078225887588</v>
      </c>
      <c r="AD264" s="35">
        <f t="shared" si="52"/>
        <v>3.4333075930267361E-2</v>
      </c>
      <c r="AE264" s="36"/>
      <c r="AF264" s="35">
        <f t="shared" si="53"/>
        <v>8.4228229213487449</v>
      </c>
      <c r="AG264" s="37">
        <v>63787119</v>
      </c>
      <c r="AH264" s="38">
        <v>537267608</v>
      </c>
      <c r="AI264" s="38">
        <v>535072368</v>
      </c>
      <c r="AJ264" s="38">
        <v>2190008</v>
      </c>
      <c r="AK264" s="39"/>
      <c r="AL264" s="40">
        <v>29.9709</v>
      </c>
      <c r="AM264" s="40">
        <v>40.732900000000001</v>
      </c>
      <c r="AN264" s="40">
        <v>39.065800000000003</v>
      </c>
      <c r="AO264" s="41"/>
      <c r="AP264" s="42"/>
      <c r="AQ264" s="42"/>
      <c r="AS264" s="43">
        <f t="shared" si="54"/>
        <v>3.9850441694422312E-3</v>
      </c>
      <c r="AT264" s="43"/>
      <c r="AV264" s="44"/>
      <c r="AW264" s="44"/>
      <c r="AX264" s="44"/>
      <c r="AY264" s="45"/>
      <c r="BA264" s="44"/>
      <c r="BB264" s="44"/>
      <c r="BC264" s="44"/>
      <c r="BD264" s="45"/>
    </row>
    <row r="265" spans="1:56" outlineLevel="1" x14ac:dyDescent="0.15">
      <c r="A265" s="16"/>
      <c r="B265" s="16" t="s">
        <v>360</v>
      </c>
      <c r="C265" s="17" t="s">
        <v>227</v>
      </c>
      <c r="D265" s="16">
        <v>63787119</v>
      </c>
      <c r="E265" s="18">
        <v>15</v>
      </c>
      <c r="F265" s="17">
        <v>1</v>
      </c>
      <c r="G265" s="17"/>
      <c r="I265" s="19" t="str">
        <f t="shared" si="44"/>
        <v>·</v>
      </c>
      <c r="J265" s="20">
        <f t="shared" si="45"/>
        <v>8.5317007027704133</v>
      </c>
      <c r="K265" s="20">
        <f t="shared" si="46"/>
        <v>8.3884078225887588</v>
      </c>
      <c r="L265" s="20">
        <f t="shared" si="47"/>
        <v>0.14321073193476569</v>
      </c>
      <c r="M265" s="21"/>
      <c r="N265" s="20">
        <f t="shared" si="48"/>
        <v>8.5317007027704133</v>
      </c>
      <c r="O265" s="22">
        <v>63787119</v>
      </c>
      <c r="P265" s="23">
        <v>544212608</v>
      </c>
      <c r="Q265" s="23">
        <v>535072368</v>
      </c>
      <c r="R265" s="23">
        <v>9135000</v>
      </c>
      <c r="S265" s="24"/>
      <c r="T265" s="25">
        <v>34.547699999999999</v>
      </c>
      <c r="U265" s="25">
        <v>45.644599999999997</v>
      </c>
      <c r="V265" s="25">
        <v>44.133800000000001</v>
      </c>
      <c r="W265" s="26"/>
      <c r="X265" s="27"/>
      <c r="Y265" s="27"/>
      <c r="AA265" s="19" t="str">
        <f t="shared" si="49"/>
        <v>·</v>
      </c>
      <c r="AB265" s="20">
        <f t="shared" si="50"/>
        <v>8.4695514779402412</v>
      </c>
      <c r="AC265" s="20">
        <f t="shared" si="51"/>
        <v>8.3884078225887588</v>
      </c>
      <c r="AD265" s="20">
        <f t="shared" si="52"/>
        <v>8.106163252176353E-2</v>
      </c>
      <c r="AE265" s="21"/>
      <c r="AF265" s="20">
        <f t="shared" si="53"/>
        <v>8.4695514779402412</v>
      </c>
      <c r="AG265" s="22">
        <v>63787119</v>
      </c>
      <c r="AH265" s="23">
        <v>540248288</v>
      </c>
      <c r="AI265" s="23">
        <v>535072368</v>
      </c>
      <c r="AJ265" s="23">
        <v>5170688</v>
      </c>
      <c r="AK265" s="24"/>
      <c r="AL265" s="25">
        <v>32.615699999999997</v>
      </c>
      <c r="AM265" s="25">
        <v>43.273899999999998</v>
      </c>
      <c r="AN265" s="25">
        <v>41.744399999999999</v>
      </c>
      <c r="AO265" s="26"/>
      <c r="AP265" s="27"/>
      <c r="AQ265" s="27"/>
      <c r="AS265" s="28">
        <f t="shared" si="54"/>
        <v>7.2147158141797618E-3</v>
      </c>
      <c r="AT265" s="28"/>
      <c r="AV265" s="29"/>
      <c r="AW265" s="29"/>
      <c r="AX265" s="29"/>
      <c r="AY265" s="30"/>
      <c r="BA265" s="29"/>
      <c r="BB265" s="29"/>
      <c r="BC265" s="29"/>
      <c r="BD265" s="30"/>
    </row>
    <row r="266" spans="1:56" outlineLevel="1" x14ac:dyDescent="0.15">
      <c r="A266" s="31"/>
      <c r="B266" s="31" t="s">
        <v>360</v>
      </c>
      <c r="C266" s="32" t="s">
        <v>228</v>
      </c>
      <c r="D266" s="31">
        <v>63787119</v>
      </c>
      <c r="E266" s="33">
        <v>15</v>
      </c>
      <c r="F266" s="32">
        <v>1</v>
      </c>
      <c r="G266" s="32"/>
      <c r="I266" s="34" t="str">
        <f t="shared" si="44"/>
        <v>·</v>
      </c>
      <c r="J266" s="35">
        <f t="shared" si="45"/>
        <v>8.6841203158901088</v>
      </c>
      <c r="K266" s="35">
        <f t="shared" si="46"/>
        <v>8.3884078225887588</v>
      </c>
      <c r="L266" s="35">
        <f t="shared" si="47"/>
        <v>0.29563034505446156</v>
      </c>
      <c r="M266" s="36"/>
      <c r="N266" s="35">
        <f t="shared" si="48"/>
        <v>8.6841203158901088</v>
      </c>
      <c r="O266" s="37">
        <v>63787119</v>
      </c>
      <c r="P266" s="38">
        <v>553935016</v>
      </c>
      <c r="Q266" s="38">
        <v>535072368</v>
      </c>
      <c r="R266" s="38">
        <v>18857408</v>
      </c>
      <c r="S266" s="39"/>
      <c r="T266" s="40">
        <v>37.098300000000002</v>
      </c>
      <c r="U266" s="40">
        <v>47.947400000000002</v>
      </c>
      <c r="V266" s="40">
        <v>46.688600000000001</v>
      </c>
      <c r="W266" s="41"/>
      <c r="X266" s="42"/>
      <c r="Y266" s="42"/>
      <c r="AA266" s="34" t="str">
        <f t="shared" si="49"/>
        <v>·</v>
      </c>
      <c r="AB266" s="35">
        <f t="shared" si="50"/>
        <v>8.5722855738319197</v>
      </c>
      <c r="AC266" s="35">
        <f t="shared" si="51"/>
        <v>8.3884078225887588</v>
      </c>
      <c r="AD266" s="35">
        <f t="shared" si="52"/>
        <v>0.18379572841344347</v>
      </c>
      <c r="AE266" s="36"/>
      <c r="AF266" s="35">
        <f t="shared" si="53"/>
        <v>8.5722855738319197</v>
      </c>
      <c r="AG266" s="37">
        <v>63787119</v>
      </c>
      <c r="AH266" s="38">
        <v>546801400</v>
      </c>
      <c r="AI266" s="38">
        <v>535072368</v>
      </c>
      <c r="AJ266" s="38">
        <v>11723800</v>
      </c>
      <c r="AK266" s="39"/>
      <c r="AL266" s="40">
        <v>35.434600000000003</v>
      </c>
      <c r="AM266" s="40">
        <v>45.734000000000002</v>
      </c>
      <c r="AN266" s="40">
        <v>44.379199999999997</v>
      </c>
      <c r="AO266" s="41"/>
      <c r="AP266" s="42"/>
      <c r="AQ266" s="42"/>
      <c r="AS266" s="43">
        <f t="shared" si="54"/>
        <v>1.2601835744299072E-2</v>
      </c>
      <c r="AT266" s="43"/>
      <c r="AV266" s="44"/>
      <c r="AW266" s="44"/>
      <c r="AX266" s="44"/>
      <c r="AY266" s="45"/>
      <c r="BA266" s="44"/>
      <c r="BB266" s="44"/>
      <c r="BC266" s="44"/>
      <c r="BD266" s="45"/>
    </row>
    <row r="267" spans="1:56" outlineLevel="1" x14ac:dyDescent="0.15">
      <c r="A267" s="16"/>
      <c r="B267" s="16" t="s">
        <v>360</v>
      </c>
      <c r="C267" s="17" t="s">
        <v>229</v>
      </c>
      <c r="D267" s="16">
        <v>63787119</v>
      </c>
      <c r="E267" s="18">
        <v>15</v>
      </c>
      <c r="F267" s="17">
        <v>1</v>
      </c>
      <c r="G267" s="17"/>
      <c r="I267" s="19" t="str">
        <f t="shared" si="44"/>
        <v>·</v>
      </c>
      <c r="J267" s="20">
        <f t="shared" si="45"/>
        <v>8.9871408677353806</v>
      </c>
      <c r="K267" s="20">
        <f t="shared" si="46"/>
        <v>8.3884078225887588</v>
      </c>
      <c r="L267" s="20">
        <f t="shared" si="47"/>
        <v>0.59865089689973305</v>
      </c>
      <c r="M267" s="21"/>
      <c r="N267" s="20">
        <f t="shared" si="48"/>
        <v>8.9871408677353806</v>
      </c>
      <c r="O267" s="22">
        <v>63787119</v>
      </c>
      <c r="P267" s="23">
        <v>573263824</v>
      </c>
      <c r="Q267" s="23">
        <v>535072368</v>
      </c>
      <c r="R267" s="23">
        <v>38186216</v>
      </c>
      <c r="S267" s="24"/>
      <c r="T267" s="25">
        <v>39.981099999999998</v>
      </c>
      <c r="U267" s="25">
        <v>50.055300000000003</v>
      </c>
      <c r="V267" s="25">
        <v>49.021500000000003</v>
      </c>
      <c r="W267" s="26"/>
      <c r="X267" s="27"/>
      <c r="Y267" s="27"/>
      <c r="AA267" s="19" t="str">
        <f t="shared" si="49"/>
        <v>·</v>
      </c>
      <c r="AB267" s="20">
        <f t="shared" si="50"/>
        <v>8.8067779327045645</v>
      </c>
      <c r="AC267" s="20">
        <f t="shared" si="51"/>
        <v>8.3884078225887588</v>
      </c>
      <c r="AD267" s="20">
        <f t="shared" si="52"/>
        <v>0.41828808728608668</v>
      </c>
      <c r="AE267" s="21"/>
      <c r="AF267" s="20">
        <f t="shared" si="53"/>
        <v>8.8067779327045645</v>
      </c>
      <c r="AG267" s="22">
        <v>63787119</v>
      </c>
      <c r="AH267" s="23">
        <v>561758992</v>
      </c>
      <c r="AI267" s="23">
        <v>535072368</v>
      </c>
      <c r="AJ267" s="23">
        <v>26681392</v>
      </c>
      <c r="AK267" s="24"/>
      <c r="AL267" s="25">
        <v>38.668500000000002</v>
      </c>
      <c r="AM267" s="25">
        <v>48.219099999999997</v>
      </c>
      <c r="AN267" s="25">
        <v>47.077100000000002</v>
      </c>
      <c r="AO267" s="26"/>
      <c r="AP267" s="27"/>
      <c r="AQ267" s="27"/>
      <c r="AS267" s="28">
        <f t="shared" si="54"/>
        <v>1.911561328149447E-2</v>
      </c>
      <c r="AT267" s="28"/>
      <c r="AV267" s="29"/>
      <c r="AW267" s="29"/>
      <c r="AX267" s="29"/>
      <c r="AY267" s="30"/>
      <c r="BA267" s="29"/>
      <c r="BB267" s="29"/>
      <c r="BC267" s="29"/>
      <c r="BD267" s="30"/>
    </row>
    <row r="268" spans="1:56" outlineLevel="1" x14ac:dyDescent="0.15">
      <c r="A268" s="31"/>
      <c r="B268" s="46" t="s">
        <v>360</v>
      </c>
      <c r="C268" s="47" t="s">
        <v>230</v>
      </c>
      <c r="D268" s="46">
        <v>63787119</v>
      </c>
      <c r="E268" s="48">
        <v>15</v>
      </c>
      <c r="F268" s="47">
        <v>1</v>
      </c>
      <c r="G268" s="47"/>
      <c r="I268" s="49" t="str">
        <f t="shared" si="44"/>
        <v>·</v>
      </c>
      <c r="J268" s="50">
        <f t="shared" si="45"/>
        <v>9.5607996341706549</v>
      </c>
      <c r="K268" s="50">
        <f t="shared" si="46"/>
        <v>8.3884078225887588</v>
      </c>
      <c r="L268" s="50">
        <f t="shared" si="47"/>
        <v>1.1723096633350065</v>
      </c>
      <c r="M268" s="51"/>
      <c r="N268" s="50">
        <f t="shared" si="48"/>
        <v>9.5607996341706549</v>
      </c>
      <c r="O268" s="52">
        <v>63787119</v>
      </c>
      <c r="P268" s="53">
        <v>609855864</v>
      </c>
      <c r="Q268" s="53">
        <v>535072368</v>
      </c>
      <c r="R268" s="53">
        <v>74778256</v>
      </c>
      <c r="S268" s="54"/>
      <c r="T268" s="55">
        <v>43.333399999999997</v>
      </c>
      <c r="U268" s="55">
        <v>51.891300000000001</v>
      </c>
      <c r="V268" s="55">
        <v>51.014000000000003</v>
      </c>
      <c r="W268" s="56"/>
      <c r="X268" s="57"/>
      <c r="Y268" s="57"/>
      <c r="AA268" s="49" t="str">
        <f t="shared" si="49"/>
        <v>·</v>
      </c>
      <c r="AB268" s="50">
        <f t="shared" si="50"/>
        <v>9.2430768036411859</v>
      </c>
      <c r="AC268" s="50">
        <f t="shared" si="51"/>
        <v>8.3884078225887588</v>
      </c>
      <c r="AD268" s="50">
        <f t="shared" si="52"/>
        <v>0.85458695822270947</v>
      </c>
      <c r="AE268" s="51"/>
      <c r="AF268" s="50">
        <f t="shared" si="53"/>
        <v>9.2430768036411859</v>
      </c>
      <c r="AG268" s="52">
        <v>63787119</v>
      </c>
      <c r="AH268" s="53">
        <v>589589240</v>
      </c>
      <c r="AI268" s="53">
        <v>535072368</v>
      </c>
      <c r="AJ268" s="53">
        <v>54511640</v>
      </c>
      <c r="AK268" s="54"/>
      <c r="AL268" s="55">
        <v>42.057200000000002</v>
      </c>
      <c r="AM268" s="55">
        <v>50.3339</v>
      </c>
      <c r="AN268" s="55">
        <v>49.415700000000001</v>
      </c>
      <c r="AO268" s="56"/>
      <c r="AP268" s="57"/>
      <c r="AQ268" s="57"/>
      <c r="AS268" s="58">
        <f t="shared" si="54"/>
        <v>3.0159016925153104E-2</v>
      </c>
      <c r="AT268" s="58"/>
      <c r="AV268" s="59"/>
      <c r="AW268" s="59"/>
      <c r="AX268" s="59"/>
      <c r="AY268" s="60"/>
      <c r="BA268" s="59"/>
      <c r="BB268" s="59"/>
      <c r="BC268" s="59"/>
      <c r="BD268" s="60"/>
    </row>
    <row r="269" spans="1:56" collapsed="1" x14ac:dyDescent="0.15">
      <c r="A269" s="16"/>
      <c r="B269" s="16" t="s">
        <v>363</v>
      </c>
      <c r="C269" s="17" t="s">
        <v>225</v>
      </c>
      <c r="D269" s="16">
        <v>63864641</v>
      </c>
      <c r="E269" s="18">
        <v>20</v>
      </c>
      <c r="F269" s="17">
        <v>1</v>
      </c>
      <c r="G269" s="17"/>
      <c r="I269" s="19" t="str">
        <f t="shared" si="44"/>
        <v>·</v>
      </c>
      <c r="J269" s="20">
        <f t="shared" si="45"/>
        <v>23.412592642617376</v>
      </c>
      <c r="K269" s="20">
        <f t="shared" si="46"/>
        <v>23.377496539908524</v>
      </c>
      <c r="L269" s="20">
        <f t="shared" si="47"/>
        <v>3.5013803647624041E-2</v>
      </c>
      <c r="M269" s="21"/>
      <c r="N269" s="20">
        <f t="shared" si="48"/>
        <v>23.412592642617376</v>
      </c>
      <c r="O269" s="22">
        <v>63864641</v>
      </c>
      <c r="P269" s="23">
        <v>1495236824</v>
      </c>
      <c r="Q269" s="23">
        <v>1492995424</v>
      </c>
      <c r="R269" s="23">
        <v>2236144</v>
      </c>
      <c r="S269" s="24"/>
      <c r="T269" s="25">
        <v>29.907499999999999</v>
      </c>
      <c r="U269" s="25">
        <v>39.536499999999997</v>
      </c>
      <c r="V269" s="25">
        <v>39.173099999999998</v>
      </c>
      <c r="W269" s="26"/>
      <c r="X269" s="27"/>
      <c r="Y269" s="27"/>
      <c r="AA269" s="19" t="str">
        <f t="shared" si="49"/>
        <v>·</v>
      </c>
      <c r="AB269" s="20">
        <f t="shared" si="50"/>
        <v>23.394004954948389</v>
      </c>
      <c r="AC269" s="20">
        <f t="shared" si="51"/>
        <v>23.377496539908524</v>
      </c>
      <c r="AD269" s="20">
        <f t="shared" si="52"/>
        <v>1.642624124357013E-2</v>
      </c>
      <c r="AE269" s="21"/>
      <c r="AF269" s="20">
        <f t="shared" si="53"/>
        <v>23.394004954948389</v>
      </c>
      <c r="AG269" s="22">
        <v>63864641</v>
      </c>
      <c r="AH269" s="23">
        <v>1494049728</v>
      </c>
      <c r="AI269" s="23">
        <v>1492995424</v>
      </c>
      <c r="AJ269" s="23">
        <v>1049056</v>
      </c>
      <c r="AK269" s="24"/>
      <c r="AL269" s="25">
        <v>27.961400000000001</v>
      </c>
      <c r="AM269" s="25">
        <v>38.7117</v>
      </c>
      <c r="AN269" s="25">
        <v>37.017099999999999</v>
      </c>
      <c r="AO269" s="26"/>
      <c r="AP269" s="27"/>
      <c r="AQ269" s="27"/>
      <c r="AS269" s="28">
        <f t="shared" si="54"/>
        <v>7.9335813870484717E-4</v>
      </c>
      <c r="AT269" s="28">
        <f t="array" ref="AT269">AVERAGE(AI269:AI274/AH269:AH274) - AVERAGE(Q269:Q274/P269:P274)</f>
        <v>4.788156918011599E-3</v>
      </c>
      <c r="AV269" s="29">
        <f>IF( OR(ISBLANK(R269:R274),ISBLANK(AJ269:AJ274), ISBLANK(T269:T274),ISBLANK(AL269:AL274)), "·", bdRateExtend( R269:R274,T269:T274, AJ269:AJ274,AL269:AL274))</f>
        <v>-1.5289730341050745E-2</v>
      </c>
      <c r="AW269" s="29">
        <f>IF( OR(ISBLANK(R269:R274),ISBLANK(AJ269:AJ274), ISBLANK(U269:U274),ISBLANK(AM269:AM274)), "·", bdRateExtend( R269:R274,U269:U274, AJ269:AJ274,AM269:AM274))</f>
        <v>0.12738901238641298</v>
      </c>
      <c r="AX269" s="29">
        <f>IF( OR(ISBLANK(R269:R274),ISBLANK(AJ269:AJ274), ISBLANK(V269:V274),ISBLANK(AN269:AN274)), "·", bdRateExtend( R269:R274,V269:V274, AJ269:AJ274,AN269:AN274))</f>
        <v>0.17099040567541524</v>
      </c>
      <c r="AY269" s="30"/>
      <c r="BA269" s="29">
        <f>IF( OR(ISBLANK(P269:P274),ISBLANK(AH269:AH274), ISBLANK(T269:T274),ISBLANK(AL269:AL274)), "·", bdRateExtend( P269:P274,T269:T274, AH269:AH274,AL269:AL274))</f>
        <v>-3.8615712570788663E-4</v>
      </c>
      <c r="BB269" s="29">
        <f>IF( OR(ISBLANK(P269:P274),ISBLANK(AH269:AH274), ISBLANK(U269:U274),ISBLANK(AM269:AM274)), "·", bdRateExtend( P269:P274,U269:U274, AH269:AH274,AM269:AM274))</f>
        <v>2.0449822441410692E-3</v>
      </c>
      <c r="BC269" s="29">
        <f>IF( OR(ISBLANK(P269:P274),ISBLANK(AH269:AH274), ISBLANK(V269:V274),ISBLANK(AN269:AN274)), "·", bdRateExtend( P269:P274,V269:V274, AH269:AH274,AN269:AN274))</f>
        <v>2.1291529192000169E-3</v>
      </c>
      <c r="BD269" s="30"/>
    </row>
    <row r="270" spans="1:56" outlineLevel="1" x14ac:dyDescent="0.15">
      <c r="A270" s="31"/>
      <c r="B270" s="31" t="s">
        <v>363</v>
      </c>
      <c r="C270" s="32" t="s">
        <v>226</v>
      </c>
      <c r="D270" s="31">
        <v>63864641</v>
      </c>
      <c r="E270" s="33">
        <v>20</v>
      </c>
      <c r="F270" s="32">
        <v>1</v>
      </c>
      <c r="G270" s="32"/>
      <c r="I270" s="34" t="str">
        <f t="shared" si="44"/>
        <v>·</v>
      </c>
      <c r="J270" s="35">
        <f t="shared" si="45"/>
        <v>23.445299441987</v>
      </c>
      <c r="K270" s="35">
        <f t="shared" si="46"/>
        <v>23.377496539908524</v>
      </c>
      <c r="L270" s="35">
        <f t="shared" si="47"/>
        <v>6.7720603017247055E-2</v>
      </c>
      <c r="M270" s="36"/>
      <c r="N270" s="35">
        <f t="shared" si="48"/>
        <v>23.445299441987</v>
      </c>
      <c r="O270" s="37">
        <v>63864641</v>
      </c>
      <c r="P270" s="38">
        <v>1497325632</v>
      </c>
      <c r="Q270" s="38">
        <v>1492995424</v>
      </c>
      <c r="R270" s="38">
        <v>4324952</v>
      </c>
      <c r="S270" s="39"/>
      <c r="T270" s="40">
        <v>32.145299999999999</v>
      </c>
      <c r="U270" s="40">
        <v>43.247300000000003</v>
      </c>
      <c r="V270" s="40">
        <v>41.5304</v>
      </c>
      <c r="W270" s="41"/>
      <c r="X270" s="42"/>
      <c r="Y270" s="42"/>
      <c r="AA270" s="34" t="str">
        <f t="shared" si="49"/>
        <v>·</v>
      </c>
      <c r="AB270" s="35">
        <f t="shared" si="50"/>
        <v>23.411630106869307</v>
      </c>
      <c r="AC270" s="35">
        <f t="shared" si="51"/>
        <v>23.377496539908524</v>
      </c>
      <c r="AD270" s="35">
        <f t="shared" si="52"/>
        <v>3.4051393164489879E-2</v>
      </c>
      <c r="AE270" s="36"/>
      <c r="AF270" s="35">
        <f t="shared" si="53"/>
        <v>23.411630106869307</v>
      </c>
      <c r="AG270" s="37">
        <v>63864641</v>
      </c>
      <c r="AH270" s="38">
        <v>1495175352</v>
      </c>
      <c r="AI270" s="38">
        <v>1492995424</v>
      </c>
      <c r="AJ270" s="38">
        <v>2174680</v>
      </c>
      <c r="AK270" s="39"/>
      <c r="AL270" s="40">
        <v>30.0183</v>
      </c>
      <c r="AM270" s="40">
        <v>40.774299999999997</v>
      </c>
      <c r="AN270" s="40">
        <v>39.154699999999998</v>
      </c>
      <c r="AO270" s="41"/>
      <c r="AP270" s="42"/>
      <c r="AQ270" s="42"/>
      <c r="AS270" s="43">
        <f t="shared" si="54"/>
        <v>1.4339866359311948E-3</v>
      </c>
      <c r="AT270" s="43"/>
      <c r="AV270" s="44"/>
      <c r="AW270" s="44"/>
      <c r="AX270" s="44"/>
      <c r="AY270" s="45"/>
      <c r="BA270" s="44"/>
      <c r="BB270" s="44"/>
      <c r="BC270" s="44"/>
      <c r="BD270" s="45"/>
    </row>
    <row r="271" spans="1:56" outlineLevel="1" x14ac:dyDescent="0.15">
      <c r="A271" s="16"/>
      <c r="B271" s="16" t="s">
        <v>363</v>
      </c>
      <c r="C271" s="17" t="s">
        <v>227</v>
      </c>
      <c r="D271" s="16">
        <v>63864641</v>
      </c>
      <c r="E271" s="18">
        <v>20</v>
      </c>
      <c r="F271" s="17">
        <v>1</v>
      </c>
      <c r="G271" s="17"/>
      <c r="I271" s="19" t="str">
        <f t="shared" si="44"/>
        <v>·</v>
      </c>
      <c r="J271" s="20">
        <f t="shared" si="45"/>
        <v>23.519709944036169</v>
      </c>
      <c r="K271" s="20">
        <f t="shared" si="46"/>
        <v>23.377496539908524</v>
      </c>
      <c r="L271" s="20">
        <f t="shared" si="47"/>
        <v>0.14213110506641696</v>
      </c>
      <c r="M271" s="21"/>
      <c r="N271" s="20">
        <f t="shared" si="48"/>
        <v>23.519709944036169</v>
      </c>
      <c r="O271" s="22">
        <v>63864641</v>
      </c>
      <c r="P271" s="23">
        <v>1502077832</v>
      </c>
      <c r="Q271" s="23">
        <v>1492995424</v>
      </c>
      <c r="R271" s="23">
        <v>9077152</v>
      </c>
      <c r="S271" s="24"/>
      <c r="T271" s="25">
        <v>34.640300000000003</v>
      </c>
      <c r="U271" s="25">
        <v>45.683700000000002</v>
      </c>
      <c r="V271" s="25">
        <v>44.200400000000002</v>
      </c>
      <c r="W271" s="26"/>
      <c r="X271" s="27"/>
      <c r="Y271" s="27"/>
      <c r="AA271" s="19" t="str">
        <f t="shared" si="49"/>
        <v>·</v>
      </c>
      <c r="AB271" s="20">
        <f t="shared" si="50"/>
        <v>23.457869778051364</v>
      </c>
      <c r="AC271" s="20">
        <f t="shared" si="51"/>
        <v>23.377496539908524</v>
      </c>
      <c r="AD271" s="20">
        <f t="shared" si="52"/>
        <v>8.0291064346545066E-2</v>
      </c>
      <c r="AE271" s="21"/>
      <c r="AF271" s="20">
        <f t="shared" si="53"/>
        <v>23.457869778051364</v>
      </c>
      <c r="AG271" s="22">
        <v>63864641</v>
      </c>
      <c r="AH271" s="23">
        <v>1498128432</v>
      </c>
      <c r="AI271" s="23">
        <v>1492995424</v>
      </c>
      <c r="AJ271" s="23">
        <v>5127760</v>
      </c>
      <c r="AK271" s="24"/>
      <c r="AL271" s="25">
        <v>32.654200000000003</v>
      </c>
      <c r="AM271" s="25">
        <v>43.319899999999997</v>
      </c>
      <c r="AN271" s="25">
        <v>41.811599999999999</v>
      </c>
      <c r="AO271" s="26"/>
      <c r="AP271" s="27"/>
      <c r="AQ271" s="27"/>
      <c r="AS271" s="28">
        <f t="shared" si="54"/>
        <v>2.6202824943944991E-3</v>
      </c>
      <c r="AT271" s="28"/>
      <c r="AV271" s="29"/>
      <c r="AW271" s="29"/>
      <c r="AX271" s="29"/>
      <c r="AY271" s="30"/>
      <c r="BA271" s="29"/>
      <c r="BB271" s="29"/>
      <c r="BC271" s="29"/>
      <c r="BD271" s="30"/>
    </row>
    <row r="272" spans="1:56" outlineLevel="1" x14ac:dyDescent="0.15">
      <c r="A272" s="31"/>
      <c r="B272" s="31" t="s">
        <v>363</v>
      </c>
      <c r="C272" s="32" t="s">
        <v>228</v>
      </c>
      <c r="D272" s="31">
        <v>63864641</v>
      </c>
      <c r="E272" s="33">
        <v>20</v>
      </c>
      <c r="F272" s="32">
        <v>1</v>
      </c>
      <c r="G272" s="32"/>
      <c r="I272" s="34" t="str">
        <f t="shared" si="44"/>
        <v>·</v>
      </c>
      <c r="J272" s="35">
        <f t="shared" si="45"/>
        <v>23.670038135812899</v>
      </c>
      <c r="K272" s="35">
        <f t="shared" si="46"/>
        <v>23.377496539908524</v>
      </c>
      <c r="L272" s="35">
        <f t="shared" si="47"/>
        <v>0.29245929684314675</v>
      </c>
      <c r="M272" s="36"/>
      <c r="N272" s="35">
        <f t="shared" si="48"/>
        <v>23.670038135812899</v>
      </c>
      <c r="O272" s="37">
        <v>63864641</v>
      </c>
      <c r="P272" s="38">
        <v>1511678488</v>
      </c>
      <c r="Q272" s="38">
        <v>1492995424</v>
      </c>
      <c r="R272" s="38">
        <v>18677808</v>
      </c>
      <c r="S272" s="39"/>
      <c r="T272" s="40">
        <v>37.203299999999999</v>
      </c>
      <c r="U272" s="40">
        <v>48.008600000000001</v>
      </c>
      <c r="V272" s="40">
        <v>46.759399999999999</v>
      </c>
      <c r="W272" s="41"/>
      <c r="X272" s="42"/>
      <c r="Y272" s="42"/>
      <c r="AA272" s="34" t="str">
        <f t="shared" si="49"/>
        <v>·</v>
      </c>
      <c r="AB272" s="35">
        <f t="shared" si="50"/>
        <v>23.559556343548536</v>
      </c>
      <c r="AC272" s="35">
        <f t="shared" si="51"/>
        <v>23.377496539908524</v>
      </c>
      <c r="AD272" s="35">
        <f t="shared" si="52"/>
        <v>0.18197762984371901</v>
      </c>
      <c r="AE272" s="36"/>
      <c r="AF272" s="35">
        <f t="shared" si="53"/>
        <v>23.559556343548536</v>
      </c>
      <c r="AG272" s="37">
        <v>63864641</v>
      </c>
      <c r="AH272" s="38">
        <v>1504622608</v>
      </c>
      <c r="AI272" s="38">
        <v>1492995424</v>
      </c>
      <c r="AJ272" s="38">
        <v>11621936</v>
      </c>
      <c r="AK272" s="39"/>
      <c r="AL272" s="40">
        <v>35.459099999999999</v>
      </c>
      <c r="AM272" s="40">
        <v>45.777700000000003</v>
      </c>
      <c r="AN272" s="40">
        <v>44.439900000000002</v>
      </c>
      <c r="AO272" s="41"/>
      <c r="AP272" s="42"/>
      <c r="AQ272" s="42"/>
      <c r="AS272" s="43">
        <f t="shared" si="54"/>
        <v>4.6315104335841184E-3</v>
      </c>
      <c r="AT272" s="43"/>
      <c r="AV272" s="44"/>
      <c r="AW272" s="44"/>
      <c r="AX272" s="44"/>
      <c r="AY272" s="45"/>
      <c r="BA272" s="44"/>
      <c r="BB272" s="44"/>
      <c r="BC272" s="44"/>
      <c r="BD272" s="45"/>
    </row>
    <row r="273" spans="1:56" outlineLevel="1" x14ac:dyDescent="0.15">
      <c r="A273" s="16"/>
      <c r="B273" s="16" t="s">
        <v>363</v>
      </c>
      <c r="C273" s="17" t="s">
        <v>229</v>
      </c>
      <c r="D273" s="16">
        <v>63864641</v>
      </c>
      <c r="E273" s="18">
        <v>20</v>
      </c>
      <c r="F273" s="17">
        <v>1</v>
      </c>
      <c r="G273" s="17"/>
      <c r="I273" s="19" t="str">
        <f t="shared" si="44"/>
        <v>·</v>
      </c>
      <c r="J273" s="20">
        <f t="shared" si="45"/>
        <v>23.966739028565119</v>
      </c>
      <c r="K273" s="20">
        <f t="shared" si="46"/>
        <v>23.377496539908524</v>
      </c>
      <c r="L273" s="20">
        <f t="shared" si="47"/>
        <v>0.5891601895953662</v>
      </c>
      <c r="M273" s="21"/>
      <c r="N273" s="20">
        <f t="shared" si="48"/>
        <v>23.966739028565119</v>
      </c>
      <c r="O273" s="22">
        <v>63864641</v>
      </c>
      <c r="P273" s="23">
        <v>1530627184</v>
      </c>
      <c r="Q273" s="23">
        <v>1492995424</v>
      </c>
      <c r="R273" s="23">
        <v>37626504</v>
      </c>
      <c r="S273" s="24"/>
      <c r="T273" s="25">
        <v>40.04</v>
      </c>
      <c r="U273" s="25">
        <v>50.1128</v>
      </c>
      <c r="V273" s="25">
        <v>49.065100000000001</v>
      </c>
      <c r="W273" s="26"/>
      <c r="X273" s="27"/>
      <c r="Y273" s="27"/>
      <c r="AA273" s="19" t="str">
        <f t="shared" si="49"/>
        <v>·</v>
      </c>
      <c r="AB273" s="20">
        <f t="shared" si="50"/>
        <v>23.792255749155469</v>
      </c>
      <c r="AC273" s="20">
        <f t="shared" si="51"/>
        <v>23.377496539908524</v>
      </c>
      <c r="AD273" s="20">
        <f t="shared" si="52"/>
        <v>0.41467703545064943</v>
      </c>
      <c r="AE273" s="21"/>
      <c r="AF273" s="20">
        <f t="shared" si="53"/>
        <v>23.792255749155469</v>
      </c>
      <c r="AG273" s="22">
        <v>63864641</v>
      </c>
      <c r="AH273" s="23">
        <v>1519483872</v>
      </c>
      <c r="AI273" s="23">
        <v>1492995424</v>
      </c>
      <c r="AJ273" s="23">
        <v>26483200</v>
      </c>
      <c r="AK273" s="24"/>
      <c r="AL273" s="25">
        <v>38.684600000000003</v>
      </c>
      <c r="AM273" s="25">
        <v>48.2423</v>
      </c>
      <c r="AN273" s="25">
        <v>47.120800000000003</v>
      </c>
      <c r="AO273" s="26"/>
      <c r="AP273" s="27"/>
      <c r="AQ273" s="27"/>
      <c r="AS273" s="28">
        <f t="shared" si="54"/>
        <v>7.1533133574633867E-3</v>
      </c>
      <c r="AT273" s="28"/>
      <c r="AV273" s="29"/>
      <c r="AW273" s="29"/>
      <c r="AX273" s="29"/>
      <c r="AY273" s="30"/>
      <c r="BA273" s="29"/>
      <c r="BB273" s="29"/>
      <c r="BC273" s="29"/>
      <c r="BD273" s="30"/>
    </row>
    <row r="274" spans="1:56" outlineLevel="1" x14ac:dyDescent="0.15">
      <c r="A274" s="31"/>
      <c r="B274" s="46" t="s">
        <v>363</v>
      </c>
      <c r="C274" s="47" t="s">
        <v>230</v>
      </c>
      <c r="D274" s="46">
        <v>63864641</v>
      </c>
      <c r="E274" s="48">
        <v>20</v>
      </c>
      <c r="F274" s="47">
        <v>1</v>
      </c>
      <c r="G274" s="47"/>
      <c r="I274" s="49" t="str">
        <f t="shared" si="44"/>
        <v>·</v>
      </c>
      <c r="J274" s="50">
        <f t="shared" si="45"/>
        <v>24.53430429523592</v>
      </c>
      <c r="K274" s="50">
        <f t="shared" si="46"/>
        <v>23.377496539908524</v>
      </c>
      <c r="L274" s="50">
        <f t="shared" si="47"/>
        <v>1.1567254562661677</v>
      </c>
      <c r="M274" s="51"/>
      <c r="N274" s="50">
        <f t="shared" si="48"/>
        <v>24.53430429523592</v>
      </c>
      <c r="O274" s="52">
        <v>63864641</v>
      </c>
      <c r="P274" s="53">
        <v>1566874536</v>
      </c>
      <c r="Q274" s="53">
        <v>1492995424</v>
      </c>
      <c r="R274" s="53">
        <v>73873856</v>
      </c>
      <c r="S274" s="54"/>
      <c r="T274" s="55">
        <v>43.345199999999998</v>
      </c>
      <c r="U274" s="55">
        <v>51.951700000000002</v>
      </c>
      <c r="V274" s="55">
        <v>51.026000000000003</v>
      </c>
      <c r="W274" s="56"/>
      <c r="X274" s="57"/>
      <c r="Y274" s="57"/>
      <c r="AA274" s="49" t="str">
        <f t="shared" si="49"/>
        <v>·</v>
      </c>
      <c r="AB274" s="50">
        <f t="shared" si="50"/>
        <v>24.22674406014433</v>
      </c>
      <c r="AC274" s="50">
        <f t="shared" si="51"/>
        <v>23.377496539908524</v>
      </c>
      <c r="AD274" s="50">
        <f t="shared" si="52"/>
        <v>0.84916534643951103</v>
      </c>
      <c r="AE274" s="51"/>
      <c r="AF274" s="50">
        <f t="shared" si="53"/>
        <v>24.22674406014433</v>
      </c>
      <c r="AG274" s="52">
        <v>63864641</v>
      </c>
      <c r="AH274" s="53">
        <v>1547232312</v>
      </c>
      <c r="AI274" s="53">
        <v>1492995424</v>
      </c>
      <c r="AJ274" s="53">
        <v>54231640</v>
      </c>
      <c r="AK274" s="54"/>
      <c r="AL274" s="55">
        <v>42.066899999999997</v>
      </c>
      <c r="AM274" s="55">
        <v>50.3598</v>
      </c>
      <c r="AN274" s="55">
        <v>49.4499</v>
      </c>
      <c r="AO274" s="56"/>
      <c r="AP274" s="57"/>
      <c r="AQ274" s="57"/>
      <c r="AS274" s="58">
        <f t="shared" si="54"/>
        <v>1.209649044799177E-2</v>
      </c>
      <c r="AT274" s="58"/>
      <c r="AV274" s="59"/>
      <c r="AW274" s="59"/>
      <c r="AX274" s="59"/>
      <c r="AY274" s="60"/>
      <c r="BA274" s="59"/>
      <c r="BB274" s="59"/>
      <c r="BC274" s="59"/>
      <c r="BD274" s="60"/>
    </row>
    <row r="275" spans="1:56" collapsed="1" x14ac:dyDescent="0.15">
      <c r="A275" s="16"/>
      <c r="B275" s="16" t="s">
        <v>366</v>
      </c>
      <c r="C275" s="17" t="s">
        <v>225</v>
      </c>
      <c r="D275" s="16">
        <v>2000297</v>
      </c>
      <c r="E275" s="18">
        <v>20</v>
      </c>
      <c r="F275" s="17">
        <v>1</v>
      </c>
      <c r="G275" s="17"/>
      <c r="I275" s="19" t="str">
        <f t="shared" si="44"/>
        <v>·</v>
      </c>
      <c r="J275" s="20">
        <f t="shared" si="45"/>
        <v>30.935058143865636</v>
      </c>
      <c r="K275" s="20">
        <f t="shared" si="46"/>
        <v>30.838964413784552</v>
      </c>
      <c r="L275" s="20">
        <f t="shared" si="47"/>
        <v>9.5785775812291876E-2</v>
      </c>
      <c r="M275" s="21"/>
      <c r="N275" s="20">
        <f t="shared" si="48"/>
        <v>30.935058143865636</v>
      </c>
      <c r="O275" s="22">
        <v>2000297</v>
      </c>
      <c r="P275" s="23">
        <v>61879304</v>
      </c>
      <c r="Q275" s="23">
        <v>61687088</v>
      </c>
      <c r="R275" s="23">
        <v>191600</v>
      </c>
      <c r="S275" s="24"/>
      <c r="T275" s="25">
        <v>24.716200000000001</v>
      </c>
      <c r="U275" s="25">
        <v>34.659799999999997</v>
      </c>
      <c r="V275" s="25">
        <v>33.866100000000003</v>
      </c>
      <c r="W275" s="26"/>
      <c r="X275" s="27"/>
      <c r="Y275" s="27"/>
      <c r="AA275" s="19" t="str">
        <f t="shared" si="49"/>
        <v>·</v>
      </c>
      <c r="AB275" s="20">
        <f t="shared" si="50"/>
        <v>30.888509056405123</v>
      </c>
      <c r="AC275" s="20">
        <f t="shared" si="51"/>
        <v>30.838964413784552</v>
      </c>
      <c r="AD275" s="20">
        <f t="shared" si="52"/>
        <v>4.9240687757867954E-2</v>
      </c>
      <c r="AE275" s="21"/>
      <c r="AF275" s="20">
        <f t="shared" si="53"/>
        <v>30.888509056405123</v>
      </c>
      <c r="AG275" s="22">
        <v>2000297</v>
      </c>
      <c r="AH275" s="23">
        <v>61786192</v>
      </c>
      <c r="AI275" s="23">
        <v>61687088</v>
      </c>
      <c r="AJ275" s="23">
        <v>98496</v>
      </c>
      <c r="AK275" s="24"/>
      <c r="AL275" s="25">
        <v>22.845700000000001</v>
      </c>
      <c r="AM275" s="25">
        <v>33.345599999999997</v>
      </c>
      <c r="AN275" s="25">
        <v>32.131900000000002</v>
      </c>
      <c r="AO275" s="26"/>
      <c r="AP275" s="27"/>
      <c r="AQ275" s="27"/>
      <c r="AS275" s="28">
        <f t="shared" si="54"/>
        <v>1.502322164730896E-3</v>
      </c>
      <c r="AT275" s="28">
        <f t="array" ref="AT275">AVERAGE(AI275:AI280/AH275:AH280) - AVERAGE(Q275:Q280/P275:P280)</f>
        <v>5.2126290321062863E-3</v>
      </c>
      <c r="AV275" s="29">
        <f>IF( OR(ISBLANK(R275:R280),ISBLANK(AJ275:AJ280), ISBLANK(T275:T280),ISBLANK(AL275:AL280)), "·", bdRateExtend( R275:R280,T275:T280, AJ275:AJ280,AL275:AL280))</f>
        <v>2.4270912138698808E-2</v>
      </c>
      <c r="AW275" s="29">
        <f>IF( OR(ISBLANK(R275:R280),ISBLANK(AJ275:AJ280), ISBLANK(U275:U280),ISBLANK(AM275:AM280)), "·", bdRateExtend( R275:R280,U275:U280, AJ275:AJ280,AM275:AM280))</f>
        <v>0.21122550949042518</v>
      </c>
      <c r="AX275" s="29">
        <f>IF( OR(ISBLANK(R275:R280),ISBLANK(AJ275:AJ280), ISBLANK(V275:V280),ISBLANK(AN275:AN280)), "·", bdRateExtend( R275:R280,V275:V280, AJ275:AJ280,AN275:AN280))</f>
        <v>0.21296633788323294</v>
      </c>
      <c r="AY275" s="30"/>
      <c r="BA275" s="29">
        <f>IF( OR(ISBLANK(P275:P280),ISBLANK(AH275:AH280), ISBLANK(T275:T280),ISBLANK(AL275:AL280)), "·", bdRateExtend( P275:P280,T275:T280, AH275:AH280,AL275:AL280))</f>
        <v>3.8387113010318608E-4</v>
      </c>
      <c r="BB275" s="29">
        <f>IF( OR(ISBLANK(P275:P280),ISBLANK(AH275:AH280), ISBLANK(U275:U280),ISBLANK(AM275:AM280)), "·", bdRateExtend( P275:P280,U275:U280, AH275:AH280,AM275:AM280))</f>
        <v>4.108131177992469E-3</v>
      </c>
      <c r="BC275" s="29">
        <f>IF( OR(ISBLANK(P275:P280),ISBLANK(AH275:AH280), ISBLANK(V275:V280),ISBLANK(AN275:AN280)), "·", bdRateExtend( P275:P280,V275:V280, AH275:AH280,AN275:AN280))</f>
        <v>3.9813515206761352E-3</v>
      </c>
      <c r="BD275" s="30"/>
    </row>
    <row r="276" spans="1:56" outlineLevel="1" x14ac:dyDescent="0.15">
      <c r="A276" s="31"/>
      <c r="B276" s="31" t="s">
        <v>366</v>
      </c>
      <c r="C276" s="32" t="s">
        <v>226</v>
      </c>
      <c r="D276" s="31">
        <v>2000297</v>
      </c>
      <c r="E276" s="33">
        <v>20</v>
      </c>
      <c r="F276" s="32">
        <v>1</v>
      </c>
      <c r="G276" s="32"/>
      <c r="I276" s="34" t="str">
        <f t="shared" si="44"/>
        <v>·</v>
      </c>
      <c r="J276" s="35">
        <f t="shared" si="45"/>
        <v>31.046621576695859</v>
      </c>
      <c r="K276" s="35">
        <f t="shared" si="46"/>
        <v>30.838964413784552</v>
      </c>
      <c r="L276" s="35">
        <f t="shared" si="47"/>
        <v>0.20734920864251657</v>
      </c>
      <c r="M276" s="36"/>
      <c r="N276" s="35">
        <f t="shared" si="48"/>
        <v>31.046621576695859</v>
      </c>
      <c r="O276" s="37">
        <v>2000297</v>
      </c>
      <c r="P276" s="38">
        <v>62102464</v>
      </c>
      <c r="Q276" s="38">
        <v>61687088</v>
      </c>
      <c r="R276" s="38">
        <v>414760</v>
      </c>
      <c r="S276" s="39"/>
      <c r="T276" s="40">
        <v>27.137899999999998</v>
      </c>
      <c r="U276" s="40">
        <v>37.232999999999997</v>
      </c>
      <c r="V276" s="40">
        <v>35.9694</v>
      </c>
      <c r="W276" s="41"/>
      <c r="X276" s="42"/>
      <c r="Y276" s="42"/>
      <c r="AA276" s="34" t="str">
        <f t="shared" si="49"/>
        <v>·</v>
      </c>
      <c r="AB276" s="35">
        <f t="shared" si="50"/>
        <v>30.960914304225824</v>
      </c>
      <c r="AC276" s="35">
        <f t="shared" si="51"/>
        <v>30.838964413784552</v>
      </c>
      <c r="AD276" s="35">
        <f t="shared" si="52"/>
        <v>0.12164593557856658</v>
      </c>
      <c r="AE276" s="36"/>
      <c r="AF276" s="35">
        <f t="shared" si="53"/>
        <v>30.960914304225824</v>
      </c>
      <c r="AG276" s="37">
        <v>2000297</v>
      </c>
      <c r="AH276" s="38">
        <v>61931024</v>
      </c>
      <c r="AI276" s="38">
        <v>61687088</v>
      </c>
      <c r="AJ276" s="38">
        <v>243328</v>
      </c>
      <c r="AK276" s="39"/>
      <c r="AL276" s="40">
        <v>25.1326</v>
      </c>
      <c r="AM276" s="40">
        <v>35.169899999999998</v>
      </c>
      <c r="AN276" s="40">
        <v>33.950499999999998</v>
      </c>
      <c r="AO276" s="41"/>
      <c r="AP276" s="42"/>
      <c r="AQ276" s="42"/>
      <c r="AS276" s="43">
        <f t="shared" si="54"/>
        <v>2.7497254595675313E-3</v>
      </c>
      <c r="AT276" s="43"/>
      <c r="AV276" s="44"/>
      <c r="AW276" s="44"/>
      <c r="AX276" s="44"/>
      <c r="AY276" s="45"/>
      <c r="BA276" s="44"/>
      <c r="BB276" s="44"/>
      <c r="BC276" s="44"/>
      <c r="BD276" s="45"/>
    </row>
    <row r="277" spans="1:56" outlineLevel="1" x14ac:dyDescent="0.15">
      <c r="A277" s="16"/>
      <c r="B277" s="16" t="s">
        <v>366</v>
      </c>
      <c r="C277" s="17" t="s">
        <v>227</v>
      </c>
      <c r="D277" s="16">
        <v>2000297</v>
      </c>
      <c r="E277" s="18">
        <v>20</v>
      </c>
      <c r="F277" s="17">
        <v>1</v>
      </c>
      <c r="G277" s="17"/>
      <c r="I277" s="19" t="str">
        <f t="shared" si="44"/>
        <v>·</v>
      </c>
      <c r="J277" s="20">
        <f t="shared" si="45"/>
        <v>31.290269394994844</v>
      </c>
      <c r="K277" s="20">
        <f t="shared" si="46"/>
        <v>30.838964413784552</v>
      </c>
      <c r="L277" s="20">
        <f t="shared" si="47"/>
        <v>0.45099702694149918</v>
      </c>
      <c r="M277" s="21"/>
      <c r="N277" s="20">
        <f t="shared" si="48"/>
        <v>31.290269394994844</v>
      </c>
      <c r="O277" s="22">
        <v>2000297</v>
      </c>
      <c r="P277" s="23">
        <v>62589832</v>
      </c>
      <c r="Q277" s="23">
        <v>61687088</v>
      </c>
      <c r="R277" s="23">
        <v>902128</v>
      </c>
      <c r="S277" s="24"/>
      <c r="T277" s="25">
        <v>30.727699999999999</v>
      </c>
      <c r="U277" s="25">
        <v>39.805100000000003</v>
      </c>
      <c r="V277" s="25">
        <v>38.574100000000001</v>
      </c>
      <c r="W277" s="26"/>
      <c r="X277" s="27"/>
      <c r="Y277" s="27"/>
      <c r="AA277" s="19" t="str">
        <f t="shared" si="49"/>
        <v>·</v>
      </c>
      <c r="AB277" s="20">
        <f t="shared" si="50"/>
        <v>31.157645089704179</v>
      </c>
      <c r="AC277" s="20">
        <f t="shared" si="51"/>
        <v>30.838964413784552</v>
      </c>
      <c r="AD277" s="20">
        <f t="shared" si="52"/>
        <v>0.31837672105692305</v>
      </c>
      <c r="AE277" s="21"/>
      <c r="AF277" s="20">
        <f t="shared" si="53"/>
        <v>31.157645089704179</v>
      </c>
      <c r="AG277" s="22">
        <v>2000297</v>
      </c>
      <c r="AH277" s="23">
        <v>62324544</v>
      </c>
      <c r="AI277" s="23">
        <v>61687088</v>
      </c>
      <c r="AJ277" s="23">
        <v>636848</v>
      </c>
      <c r="AK277" s="24"/>
      <c r="AL277" s="25">
        <v>28.8035</v>
      </c>
      <c r="AM277" s="25">
        <v>37.716999999999999</v>
      </c>
      <c r="AN277" s="25">
        <v>36.466299999999997</v>
      </c>
      <c r="AO277" s="26"/>
      <c r="AP277" s="27"/>
      <c r="AQ277" s="27"/>
      <c r="AS277" s="28">
        <f t="shared" si="54"/>
        <v>4.1951643509035019E-3</v>
      </c>
      <c r="AT277" s="28"/>
      <c r="AV277" s="29"/>
      <c r="AW277" s="29"/>
      <c r="AX277" s="29"/>
      <c r="AY277" s="30"/>
      <c r="BA277" s="29"/>
      <c r="BB277" s="29"/>
      <c r="BC277" s="29"/>
      <c r="BD277" s="30"/>
    </row>
    <row r="278" spans="1:56" outlineLevel="1" x14ac:dyDescent="0.15">
      <c r="A278" s="31"/>
      <c r="B278" s="31" t="s">
        <v>366</v>
      </c>
      <c r="C278" s="32" t="s">
        <v>228</v>
      </c>
      <c r="D278" s="31">
        <v>2000297</v>
      </c>
      <c r="E278" s="33">
        <v>20</v>
      </c>
      <c r="F278" s="32">
        <v>1</v>
      </c>
      <c r="G278" s="32"/>
      <c r="I278" s="34" t="str">
        <f t="shared" si="44"/>
        <v>·</v>
      </c>
      <c r="J278" s="35">
        <f t="shared" si="45"/>
        <v>31.692481666472528</v>
      </c>
      <c r="K278" s="35">
        <f t="shared" si="46"/>
        <v>30.838964413784552</v>
      </c>
      <c r="L278" s="35">
        <f t="shared" si="47"/>
        <v>0.8532092984191848</v>
      </c>
      <c r="M278" s="36"/>
      <c r="N278" s="35">
        <f t="shared" si="48"/>
        <v>31.692481666472528</v>
      </c>
      <c r="O278" s="37">
        <v>2000297</v>
      </c>
      <c r="P278" s="38">
        <v>63394376</v>
      </c>
      <c r="Q278" s="38">
        <v>61687088</v>
      </c>
      <c r="R278" s="38">
        <v>1706672</v>
      </c>
      <c r="S278" s="39"/>
      <c r="T278" s="40">
        <v>34.8337</v>
      </c>
      <c r="U278" s="40">
        <v>42.564999999999998</v>
      </c>
      <c r="V278" s="40">
        <v>41.372700000000002</v>
      </c>
      <c r="W278" s="41"/>
      <c r="X278" s="42"/>
      <c r="Y278" s="42"/>
      <c r="AA278" s="34" t="str">
        <f t="shared" si="49"/>
        <v>·</v>
      </c>
      <c r="AB278" s="35">
        <f t="shared" si="50"/>
        <v>31.494347089457214</v>
      </c>
      <c r="AC278" s="35">
        <f t="shared" si="51"/>
        <v>30.838964413784552</v>
      </c>
      <c r="AD278" s="35">
        <f t="shared" si="52"/>
        <v>0.65507872080995977</v>
      </c>
      <c r="AE278" s="36"/>
      <c r="AF278" s="35">
        <f t="shared" si="53"/>
        <v>31.494347089457214</v>
      </c>
      <c r="AG278" s="37">
        <v>2000297</v>
      </c>
      <c r="AH278" s="38">
        <v>62998048</v>
      </c>
      <c r="AI278" s="38">
        <v>61687088</v>
      </c>
      <c r="AJ278" s="38">
        <v>1310352</v>
      </c>
      <c r="AK278" s="39"/>
      <c r="AL278" s="40">
        <v>32.9039</v>
      </c>
      <c r="AM278" s="40">
        <v>40.389200000000002</v>
      </c>
      <c r="AN278" s="40">
        <v>39.186999999999998</v>
      </c>
      <c r="AO278" s="41"/>
      <c r="AP278" s="42"/>
      <c r="AQ278" s="42"/>
      <c r="AS278" s="43">
        <f t="shared" si="54"/>
        <v>6.1216881312299298E-3</v>
      </c>
      <c r="AT278" s="43"/>
      <c r="AV278" s="44"/>
      <c r="AW278" s="44"/>
      <c r="AX278" s="44"/>
      <c r="AY278" s="45"/>
      <c r="BA278" s="44"/>
      <c r="BB278" s="44"/>
      <c r="BC278" s="44"/>
      <c r="BD278" s="45"/>
    </row>
    <row r="279" spans="1:56" outlineLevel="1" x14ac:dyDescent="0.15">
      <c r="A279" s="16"/>
      <c r="B279" s="16" t="s">
        <v>366</v>
      </c>
      <c r="C279" s="17" t="s">
        <v>229</v>
      </c>
      <c r="D279" s="16">
        <v>2000297</v>
      </c>
      <c r="E279" s="18">
        <v>20</v>
      </c>
      <c r="F279" s="17">
        <v>1</v>
      </c>
      <c r="G279" s="17"/>
      <c r="I279" s="19" t="str">
        <f t="shared" si="44"/>
        <v>·</v>
      </c>
      <c r="J279" s="20">
        <f t="shared" si="45"/>
        <v>32.301635207171735</v>
      </c>
      <c r="K279" s="20">
        <f t="shared" si="46"/>
        <v>30.838964413784552</v>
      </c>
      <c r="L279" s="20">
        <f t="shared" si="47"/>
        <v>1.4623628391183909</v>
      </c>
      <c r="M279" s="21"/>
      <c r="N279" s="20">
        <f t="shared" si="48"/>
        <v>32.301635207171735</v>
      </c>
      <c r="O279" s="22">
        <v>2000297</v>
      </c>
      <c r="P279" s="23">
        <v>64612864</v>
      </c>
      <c r="Q279" s="23">
        <v>61687088</v>
      </c>
      <c r="R279" s="23">
        <v>2925160</v>
      </c>
      <c r="S279" s="24"/>
      <c r="T279" s="25">
        <v>39.351399999999998</v>
      </c>
      <c r="U279" s="25">
        <v>45.599200000000003</v>
      </c>
      <c r="V279" s="25">
        <v>44.580500000000001</v>
      </c>
      <c r="W279" s="26"/>
      <c r="X279" s="27"/>
      <c r="Y279" s="27"/>
      <c r="AA279" s="19" t="str">
        <f t="shared" si="49"/>
        <v>·</v>
      </c>
      <c r="AB279" s="20">
        <f t="shared" si="50"/>
        <v>32.058871257618243</v>
      </c>
      <c r="AC279" s="20">
        <f t="shared" si="51"/>
        <v>30.838964413784552</v>
      </c>
      <c r="AD279" s="20">
        <f t="shared" si="52"/>
        <v>1.2196028889709878</v>
      </c>
      <c r="AE279" s="21"/>
      <c r="AF279" s="20">
        <f t="shared" si="53"/>
        <v>32.058871257618243</v>
      </c>
      <c r="AG279" s="22">
        <v>2000297</v>
      </c>
      <c r="AH279" s="23">
        <v>64127264</v>
      </c>
      <c r="AI279" s="23">
        <v>61687088</v>
      </c>
      <c r="AJ279" s="23">
        <v>2439568</v>
      </c>
      <c r="AK279" s="24"/>
      <c r="AL279" s="25">
        <v>37.631599999999999</v>
      </c>
      <c r="AM279" s="25">
        <v>43.5764</v>
      </c>
      <c r="AN279" s="25">
        <v>42.538499999999999</v>
      </c>
      <c r="AO279" s="26"/>
      <c r="AP279" s="27"/>
      <c r="AQ279" s="27"/>
      <c r="AS279" s="28">
        <f t="shared" si="54"/>
        <v>7.2295496495151657E-3</v>
      </c>
      <c r="AT279" s="28"/>
      <c r="AV279" s="29"/>
      <c r="AW279" s="29"/>
      <c r="AX279" s="29"/>
      <c r="AY279" s="30"/>
      <c r="BA279" s="29"/>
      <c r="BB279" s="29"/>
      <c r="BC279" s="29"/>
      <c r="BD279" s="30"/>
    </row>
    <row r="280" spans="1:56" outlineLevel="1" x14ac:dyDescent="0.15">
      <c r="A280" s="46"/>
      <c r="B280" s="46" t="s">
        <v>366</v>
      </c>
      <c r="C280" s="47" t="s">
        <v>230</v>
      </c>
      <c r="D280" s="46">
        <v>2000297</v>
      </c>
      <c r="E280" s="48">
        <v>20</v>
      </c>
      <c r="F280" s="47">
        <v>1</v>
      </c>
      <c r="G280" s="47"/>
      <c r="I280" s="49" t="str">
        <f t="shared" si="44"/>
        <v>·</v>
      </c>
      <c r="J280" s="50">
        <f t="shared" si="45"/>
        <v>33.165694894308196</v>
      </c>
      <c r="K280" s="50">
        <f t="shared" si="46"/>
        <v>30.838964413784552</v>
      </c>
      <c r="L280" s="50">
        <f t="shared" si="47"/>
        <v>2.3264225262548512</v>
      </c>
      <c r="M280" s="51"/>
      <c r="N280" s="50">
        <f t="shared" si="48"/>
        <v>33.165694894308196</v>
      </c>
      <c r="O280" s="52">
        <v>2000297</v>
      </c>
      <c r="P280" s="53">
        <v>66341240</v>
      </c>
      <c r="Q280" s="53">
        <v>61687088</v>
      </c>
      <c r="R280" s="53">
        <v>4653536</v>
      </c>
      <c r="S280" s="54"/>
      <c r="T280" s="55">
        <v>44.142699999999998</v>
      </c>
      <c r="U280" s="55">
        <v>48.7759</v>
      </c>
      <c r="V280" s="55">
        <v>48.015300000000003</v>
      </c>
      <c r="W280" s="56"/>
      <c r="X280" s="57"/>
      <c r="Y280" s="57"/>
      <c r="AA280" s="49" t="str">
        <f t="shared" si="49"/>
        <v>·</v>
      </c>
      <c r="AB280" s="50">
        <f t="shared" si="50"/>
        <v>32.831068586314935</v>
      </c>
      <c r="AC280" s="50">
        <f t="shared" si="51"/>
        <v>30.838964413784552</v>
      </c>
      <c r="AD280" s="50">
        <f t="shared" si="52"/>
        <v>1.9918002176676763</v>
      </c>
      <c r="AE280" s="51"/>
      <c r="AF280" s="50">
        <f t="shared" si="53"/>
        <v>32.831068586314935</v>
      </c>
      <c r="AG280" s="52">
        <v>2000297</v>
      </c>
      <c r="AH280" s="53">
        <v>65671888</v>
      </c>
      <c r="AI280" s="53">
        <v>61687088</v>
      </c>
      <c r="AJ280" s="53">
        <v>3984192</v>
      </c>
      <c r="AK280" s="54"/>
      <c r="AL280" s="55">
        <v>42.250700000000002</v>
      </c>
      <c r="AM280" s="55">
        <v>46.750599999999999</v>
      </c>
      <c r="AN280" s="55">
        <v>45.963900000000002</v>
      </c>
      <c r="AO280" s="56"/>
      <c r="AP280" s="57"/>
      <c r="AQ280" s="57"/>
      <c r="AS280" s="58">
        <f t="shared" si="54"/>
        <v>9.4773244366904708E-3</v>
      </c>
      <c r="AT280" s="58"/>
      <c r="AV280" s="59"/>
      <c r="AW280" s="59"/>
      <c r="AX280" s="59"/>
      <c r="AY280" s="60"/>
      <c r="BA280" s="59"/>
      <c r="BB280" s="59"/>
      <c r="BC280" s="59"/>
      <c r="BD280" s="60"/>
    </row>
    <row r="281" spans="1:56" collapsed="1" x14ac:dyDescent="0.15">
      <c r="A281" s="16" t="s">
        <v>370</v>
      </c>
      <c r="B281" s="16" t="s">
        <v>369</v>
      </c>
      <c r="C281" s="17" t="s">
        <v>225</v>
      </c>
      <c r="D281" s="16">
        <v>19948121</v>
      </c>
      <c r="E281" s="18">
        <v>21</v>
      </c>
      <c r="F281" s="17">
        <v>1</v>
      </c>
      <c r="G281" s="17"/>
      <c r="I281" s="19" t="str">
        <f t="shared" si="44"/>
        <v>·</v>
      </c>
      <c r="J281" s="20">
        <f t="shared" si="45"/>
        <v>17.761444699478211</v>
      </c>
      <c r="K281" s="20">
        <f t="shared" si="46"/>
        <v>17.528235366127969</v>
      </c>
      <c r="L281" s="20">
        <f t="shared" si="47"/>
        <v>0.17940737375715737</v>
      </c>
      <c r="M281" s="20">
        <f t="shared" ref="M281:M312" si="55">IF(ISBLANK(Q281),"·",S281/D281)</f>
        <v>5.3601840494149802E-2</v>
      </c>
      <c r="N281" s="20">
        <f t="shared" si="48"/>
        <v>17.761444699478211</v>
      </c>
      <c r="O281" s="22">
        <v>19948121</v>
      </c>
      <c r="P281" s="23">
        <v>354307448</v>
      </c>
      <c r="Q281" s="23">
        <v>349655360</v>
      </c>
      <c r="R281" s="23">
        <v>3578840</v>
      </c>
      <c r="S281" s="23">
        <v>1069256</v>
      </c>
      <c r="T281" s="25">
        <v>20.2698</v>
      </c>
      <c r="U281" s="25">
        <v>31.6815</v>
      </c>
      <c r="V281" s="25">
        <v>31.212499999999999</v>
      </c>
      <c r="W281" s="25">
        <v>24.314499999999999</v>
      </c>
      <c r="X281" s="27"/>
      <c r="Y281" s="27"/>
      <c r="AA281" s="19" t="str">
        <f t="shared" si="49"/>
        <v>·</v>
      </c>
      <c r="AB281" s="20">
        <f t="shared" si="50"/>
        <v>17.6440245173969</v>
      </c>
      <c r="AC281" s="20">
        <f t="shared" si="51"/>
        <v>17.528235366127969</v>
      </c>
      <c r="AD281" s="20">
        <f t="shared" si="52"/>
        <v>9.1415126266779709E-2</v>
      </c>
      <c r="AE281" s="20">
        <f t="shared" ref="AE281:AE312" si="56">IF(ISBLANK(AI281),"·",AK281/D281)</f>
        <v>2.4178317346280384E-2</v>
      </c>
      <c r="AF281" s="20">
        <f t="shared" si="53"/>
        <v>17.6440245173969</v>
      </c>
      <c r="AG281" s="22">
        <v>19948121</v>
      </c>
      <c r="AH281" s="23">
        <v>351965136</v>
      </c>
      <c r="AI281" s="23">
        <v>349655360</v>
      </c>
      <c r="AJ281" s="23">
        <v>1823560</v>
      </c>
      <c r="AK281" s="23">
        <v>482312</v>
      </c>
      <c r="AL281" s="25">
        <v>19.159600000000001</v>
      </c>
      <c r="AM281" s="25">
        <v>31.604099999999999</v>
      </c>
      <c r="AN281" s="25">
        <v>30.8749</v>
      </c>
      <c r="AO281" s="25">
        <v>23.358799999999999</v>
      </c>
      <c r="AP281" s="27"/>
      <c r="AQ281" s="27"/>
      <c r="AS281" s="28">
        <f t="shared" si="54"/>
        <v>6.5675744575075523E-3</v>
      </c>
      <c r="AT281" s="28">
        <f t="array" ref="AT281">AVERAGE(AI281:AI286/AH281:AH286) - AVERAGE(Q281:Q286/P281:P286)</f>
        <v>2.4308847864679572E-2</v>
      </c>
      <c r="AV281" s="29">
        <f>IF( OR(ISBLANK(R281:R286),ISBLANK(AJ281:AJ286), ISBLANK(T281:T286),ISBLANK(AL281:AL286)), "·", bdRateExtend( R281:R286,T281:T286, AJ281:AJ286,AL281:AL286))</f>
        <v>-0.11928710633953932</v>
      </c>
      <c r="AW281" s="29">
        <f>IF( OR(ISBLANK(R281:R286),ISBLANK(AJ281:AJ286), ISBLANK(U281:U286),ISBLANK(AM281:AM286)), "·", bdRateExtend( R281:R286,U281:U286, AJ281:AJ286,AM281:AM286))</f>
        <v>-4.7206546359647716E-2</v>
      </c>
      <c r="AX281" s="29">
        <f>IF( OR(ISBLANK(R281:R286),ISBLANK(AJ281:AJ286), ISBLANK(V281:V286),ISBLANK(AN281:AN286)), "·", bdRateExtend( R281:R286,V281:V286, AJ281:AJ286,AN281:AN286))</f>
        <v>-4.4658912319220478E-2</v>
      </c>
      <c r="AY281" s="29">
        <f>IF( OR(ISBLANK(S281:S286),ISBLANK(AK281:AK286), ISBLANK(W281:W286),ISBLANK(AO281:AO286)), "·", bdRateExtend( S281:S286,W281:W286, AK281:AK286,AO281:AO286))</f>
        <v>-7.9384186258040113E-2</v>
      </c>
      <c r="BA281" s="29">
        <f>IF( OR(ISBLANK(P281:P286),ISBLANK(AH281:AH286), ISBLANK(T281:T286),ISBLANK(AL281:AL286)), "·", bdRateExtend( P281:P286,T281:T286, AH281:AH286,AL281:AL286))</f>
        <v>-1.1307438924105018E-2</v>
      </c>
      <c r="BB281" s="29">
        <f>IF( OR(ISBLANK(P281:P286),ISBLANK(AH281:AH286), ISBLANK(U281:U286),ISBLANK(AM281:AM286)), "·", bdRateExtend( P281:P286,U281:U286, AH281:AH286,AM281:AM286))</f>
        <v>-6.8597691651776094E-3</v>
      </c>
      <c r="BC281" s="29">
        <f>IF( OR(ISBLANK(P281:P286),ISBLANK(AH281:AH286), ISBLANK(V281:V286),ISBLANK(AN281:AN286)), "·", bdRateExtend( P281:P286,V281:V286, AH281:AH286,AN281:AN286))</f>
        <v>-7.350633428509723E-3</v>
      </c>
      <c r="BD281" s="29">
        <f>IF( OR(ISBLANK(P281:P286),ISBLANK(AH281:AH286), ISBLANK(W281:W286),ISBLANK(AO281:AO286)), "·", bdRateExtend( P281:P286,W281:W286, AH281:AH286,AO281:AO286))</f>
        <v>-9.7891992989747045E-3</v>
      </c>
    </row>
    <row r="282" spans="1:56" outlineLevel="1" x14ac:dyDescent="0.15">
      <c r="A282" s="31"/>
      <c r="B282" s="31" t="s">
        <v>369</v>
      </c>
      <c r="C282" s="32" t="s">
        <v>226</v>
      </c>
      <c r="D282" s="31">
        <v>19948121</v>
      </c>
      <c r="E282" s="33">
        <v>21</v>
      </c>
      <c r="F282" s="32">
        <v>1</v>
      </c>
      <c r="G282" s="32"/>
      <c r="I282" s="34" t="str">
        <f t="shared" si="44"/>
        <v>·</v>
      </c>
      <c r="J282" s="35">
        <f t="shared" si="45"/>
        <v>18.085190880885474</v>
      </c>
      <c r="K282" s="35">
        <f t="shared" si="46"/>
        <v>17.528235366127969</v>
      </c>
      <c r="L282" s="35">
        <f t="shared" si="47"/>
        <v>0.41735058655399171</v>
      </c>
      <c r="M282" s="35">
        <f t="shared" si="55"/>
        <v>0.13940480910457681</v>
      </c>
      <c r="N282" s="35">
        <f t="shared" si="48"/>
        <v>18.085190880885474</v>
      </c>
      <c r="O282" s="37">
        <v>19948121</v>
      </c>
      <c r="P282" s="38">
        <v>360765576</v>
      </c>
      <c r="Q282" s="38">
        <v>349655360</v>
      </c>
      <c r="R282" s="38">
        <v>8325360</v>
      </c>
      <c r="S282" s="38">
        <v>2780864</v>
      </c>
      <c r="T282" s="40">
        <v>23.371700000000001</v>
      </c>
      <c r="U282" s="40">
        <v>32.442399999999999</v>
      </c>
      <c r="V282" s="40">
        <v>31.829899999999999</v>
      </c>
      <c r="W282" s="40">
        <v>26.260100000000001</v>
      </c>
      <c r="X282" s="42"/>
      <c r="Y282" s="42"/>
      <c r="AA282" s="34" t="str">
        <f t="shared" si="49"/>
        <v>·</v>
      </c>
      <c r="AB282" s="35">
        <f t="shared" si="50"/>
        <v>17.867265593586485</v>
      </c>
      <c r="AC282" s="35">
        <f t="shared" si="51"/>
        <v>17.528235366127969</v>
      </c>
      <c r="AD282" s="35">
        <f t="shared" si="52"/>
        <v>0.26667694666580377</v>
      </c>
      <c r="AE282" s="35">
        <f t="shared" si="56"/>
        <v>7.2157573136838307E-2</v>
      </c>
      <c r="AF282" s="35">
        <f t="shared" si="53"/>
        <v>17.867265593586485</v>
      </c>
      <c r="AG282" s="37">
        <v>19948121</v>
      </c>
      <c r="AH282" s="38">
        <v>356418376</v>
      </c>
      <c r="AI282" s="38">
        <v>349655360</v>
      </c>
      <c r="AJ282" s="38">
        <v>5319704</v>
      </c>
      <c r="AK282" s="38">
        <v>1439408</v>
      </c>
      <c r="AL282" s="40">
        <v>22.161799999999999</v>
      </c>
      <c r="AM282" s="40">
        <v>32.0105</v>
      </c>
      <c r="AN282" s="40">
        <v>31.341000000000001</v>
      </c>
      <c r="AO282" s="40">
        <v>25.0412</v>
      </c>
      <c r="AP282" s="42"/>
      <c r="AQ282" s="42"/>
      <c r="AS282" s="43">
        <f t="shared" si="54"/>
        <v>1.1821283515924597E-2</v>
      </c>
      <c r="AT282" s="43"/>
      <c r="AV282" s="44"/>
      <c r="AW282" s="44"/>
      <c r="AX282" s="44"/>
      <c r="AY282" s="44"/>
      <c r="BA282" s="44"/>
      <c r="BB282" s="44"/>
      <c r="BC282" s="44"/>
      <c r="BD282" s="44"/>
    </row>
    <row r="283" spans="1:56" outlineLevel="1" x14ac:dyDescent="0.15">
      <c r="A283" s="16"/>
      <c r="B283" s="16" t="s">
        <v>369</v>
      </c>
      <c r="C283" s="17" t="s">
        <v>227</v>
      </c>
      <c r="D283" s="16">
        <v>19948121</v>
      </c>
      <c r="E283" s="18">
        <v>21</v>
      </c>
      <c r="F283" s="17">
        <v>1</v>
      </c>
      <c r="G283" s="17"/>
      <c r="I283" s="19" t="str">
        <f t="shared" si="44"/>
        <v>·</v>
      </c>
      <c r="J283" s="20">
        <f t="shared" si="45"/>
        <v>18.788124655951304</v>
      </c>
      <c r="K283" s="20">
        <f t="shared" si="46"/>
        <v>17.528235366127969</v>
      </c>
      <c r="L283" s="20">
        <f t="shared" si="47"/>
        <v>0.90480381585814529</v>
      </c>
      <c r="M283" s="20">
        <f t="shared" si="55"/>
        <v>0.35488535486625533</v>
      </c>
      <c r="N283" s="20">
        <f t="shared" si="48"/>
        <v>18.788124655951304</v>
      </c>
      <c r="O283" s="22">
        <v>19948121</v>
      </c>
      <c r="P283" s="23">
        <v>374787784</v>
      </c>
      <c r="Q283" s="23">
        <v>349655360</v>
      </c>
      <c r="R283" s="23">
        <v>18049136</v>
      </c>
      <c r="S283" s="23">
        <v>7079296</v>
      </c>
      <c r="T283" s="25">
        <v>27.351400000000002</v>
      </c>
      <c r="U283" s="25">
        <v>33.722799999999999</v>
      </c>
      <c r="V283" s="25">
        <v>33.319400000000002</v>
      </c>
      <c r="W283" s="25">
        <v>29.261099999999999</v>
      </c>
      <c r="X283" s="27"/>
      <c r="Y283" s="27"/>
      <c r="AA283" s="19" t="str">
        <f t="shared" si="49"/>
        <v>·</v>
      </c>
      <c r="AB283" s="20">
        <f t="shared" si="50"/>
        <v>18.382382180256478</v>
      </c>
      <c r="AC283" s="20">
        <f t="shared" si="51"/>
        <v>17.528235366127969</v>
      </c>
      <c r="AD283" s="20">
        <f t="shared" si="52"/>
        <v>0.62325348838619943</v>
      </c>
      <c r="AE283" s="20">
        <f t="shared" si="56"/>
        <v>0.2306976180864353</v>
      </c>
      <c r="AF283" s="20">
        <f t="shared" si="53"/>
        <v>18.382382180256478</v>
      </c>
      <c r="AG283" s="22">
        <v>19948121</v>
      </c>
      <c r="AH283" s="23">
        <v>366693984</v>
      </c>
      <c r="AI283" s="23">
        <v>349655360</v>
      </c>
      <c r="AJ283" s="23">
        <v>12432736</v>
      </c>
      <c r="AK283" s="23">
        <v>4601984</v>
      </c>
      <c r="AL283" s="25">
        <v>26.141999999999999</v>
      </c>
      <c r="AM283" s="25">
        <v>32.941400000000002</v>
      </c>
      <c r="AN283" s="25">
        <v>32.4925</v>
      </c>
      <c r="AO283" s="25">
        <v>28.011399999999998</v>
      </c>
      <c r="AP283" s="27"/>
      <c r="AQ283" s="27"/>
      <c r="AS283" s="28">
        <f t="shared" si="54"/>
        <v>2.0592233157362028E-2</v>
      </c>
      <c r="AT283" s="28"/>
      <c r="AV283" s="29"/>
      <c r="AW283" s="29"/>
      <c r="AX283" s="29"/>
      <c r="AY283" s="29"/>
      <c r="BA283" s="29"/>
      <c r="BB283" s="29"/>
      <c r="BC283" s="29"/>
      <c r="BD283" s="29"/>
    </row>
    <row r="284" spans="1:56" outlineLevel="1" x14ac:dyDescent="0.15">
      <c r="A284" s="31"/>
      <c r="B284" s="31" t="s">
        <v>369</v>
      </c>
      <c r="C284" s="32" t="s">
        <v>228</v>
      </c>
      <c r="D284" s="31">
        <v>19948121</v>
      </c>
      <c r="E284" s="33">
        <v>21</v>
      </c>
      <c r="F284" s="32">
        <v>1</v>
      </c>
      <c r="G284" s="32"/>
      <c r="I284" s="34" t="str">
        <f t="shared" si="44"/>
        <v>·</v>
      </c>
      <c r="J284" s="35">
        <f t="shared" si="45"/>
        <v>20.021189163631</v>
      </c>
      <c r="K284" s="35">
        <f t="shared" si="46"/>
        <v>17.528235366127969</v>
      </c>
      <c r="L284" s="35">
        <f t="shared" si="47"/>
        <v>1.7621689782210566</v>
      </c>
      <c r="M284" s="35">
        <f t="shared" si="55"/>
        <v>0.73058510122331821</v>
      </c>
      <c r="N284" s="35">
        <f t="shared" si="48"/>
        <v>20.021189163631</v>
      </c>
      <c r="O284" s="37">
        <v>19948121</v>
      </c>
      <c r="P284" s="38">
        <v>399385104</v>
      </c>
      <c r="Q284" s="38">
        <v>349655360</v>
      </c>
      <c r="R284" s="38">
        <v>35151960</v>
      </c>
      <c r="S284" s="38">
        <v>14573800</v>
      </c>
      <c r="T284" s="40">
        <v>31.750800000000002</v>
      </c>
      <c r="U284" s="40">
        <v>36.1023</v>
      </c>
      <c r="V284" s="40">
        <v>35.815199999999997</v>
      </c>
      <c r="W284" s="40">
        <v>32.953200000000002</v>
      </c>
      <c r="X284" s="42"/>
      <c r="Y284" s="42"/>
      <c r="AA284" s="34" t="str">
        <f t="shared" si="49"/>
        <v>·</v>
      </c>
      <c r="AB284" s="35">
        <f t="shared" si="50"/>
        <v>19.347750697922876</v>
      </c>
      <c r="AC284" s="35">
        <f t="shared" si="51"/>
        <v>17.528235366127969</v>
      </c>
      <c r="AD284" s="35">
        <f t="shared" si="52"/>
        <v>1.2821137389331054</v>
      </c>
      <c r="AE284" s="35">
        <f t="shared" si="56"/>
        <v>0.53720588520592993</v>
      </c>
      <c r="AF284" s="35">
        <f t="shared" si="53"/>
        <v>19.347750697922876</v>
      </c>
      <c r="AG284" s="37">
        <v>19948121</v>
      </c>
      <c r="AH284" s="38">
        <v>385951272</v>
      </c>
      <c r="AI284" s="38">
        <v>349655360</v>
      </c>
      <c r="AJ284" s="38">
        <v>25575760</v>
      </c>
      <c r="AK284" s="38">
        <v>10716248</v>
      </c>
      <c r="AL284" s="40">
        <v>30.3766</v>
      </c>
      <c r="AM284" s="40">
        <v>35.019199999999998</v>
      </c>
      <c r="AN284" s="40">
        <v>34.709800000000001</v>
      </c>
      <c r="AO284" s="40">
        <v>31.657699999999998</v>
      </c>
      <c r="AP284" s="42"/>
      <c r="AQ284" s="42"/>
      <c r="AS284" s="43">
        <f t="shared" si="54"/>
        <v>3.0473038721056334E-2</v>
      </c>
      <c r="AT284" s="43"/>
      <c r="AV284" s="44"/>
      <c r="AW284" s="44"/>
      <c r="AX284" s="44"/>
      <c r="AY284" s="44"/>
      <c r="BA284" s="44"/>
      <c r="BB284" s="44"/>
      <c r="BC284" s="44"/>
      <c r="BD284" s="44"/>
    </row>
    <row r="285" spans="1:56" outlineLevel="1" x14ac:dyDescent="0.15">
      <c r="A285" s="16"/>
      <c r="B285" s="16" t="s">
        <v>369</v>
      </c>
      <c r="C285" s="17" t="s">
        <v>229</v>
      </c>
      <c r="D285" s="16">
        <v>19948121</v>
      </c>
      <c r="E285" s="18">
        <v>21</v>
      </c>
      <c r="F285" s="17">
        <v>1</v>
      </c>
      <c r="G285" s="17"/>
      <c r="I285" s="19" t="str">
        <f t="shared" si="44"/>
        <v>·</v>
      </c>
      <c r="J285" s="20">
        <f t="shared" si="45"/>
        <v>21.989409027547005</v>
      </c>
      <c r="K285" s="20">
        <f t="shared" si="46"/>
        <v>17.528235366127969</v>
      </c>
      <c r="L285" s="20">
        <f t="shared" si="47"/>
        <v>3.1512060709878389</v>
      </c>
      <c r="M285" s="20">
        <f t="shared" si="55"/>
        <v>1.3097678723725408</v>
      </c>
      <c r="N285" s="20">
        <f t="shared" si="48"/>
        <v>21.989409027547005</v>
      </c>
      <c r="O285" s="22">
        <v>19948121</v>
      </c>
      <c r="P285" s="23">
        <v>438647392</v>
      </c>
      <c r="Q285" s="23">
        <v>349655360</v>
      </c>
      <c r="R285" s="23">
        <v>62860640</v>
      </c>
      <c r="S285" s="23">
        <v>26127408</v>
      </c>
      <c r="T285" s="25">
        <v>36.484999999999999</v>
      </c>
      <c r="U285" s="25">
        <v>39.241399999999999</v>
      </c>
      <c r="V285" s="25">
        <v>39.0854</v>
      </c>
      <c r="W285" s="25">
        <v>37.021900000000002</v>
      </c>
      <c r="X285" s="27"/>
      <c r="Y285" s="27"/>
      <c r="AA285" s="19" t="str">
        <f t="shared" si="49"/>
        <v>·</v>
      </c>
      <c r="AB285" s="20">
        <f t="shared" si="50"/>
        <v>21.064094808729102</v>
      </c>
      <c r="AC285" s="20">
        <f t="shared" si="51"/>
        <v>17.528235366127969</v>
      </c>
      <c r="AD285" s="20">
        <f t="shared" si="52"/>
        <v>2.4819789292435113</v>
      </c>
      <c r="AE285" s="20">
        <f t="shared" si="56"/>
        <v>1.05368480570175</v>
      </c>
      <c r="AF285" s="20">
        <f t="shared" si="53"/>
        <v>21.064094808729102</v>
      </c>
      <c r="AG285" s="22">
        <v>19948121</v>
      </c>
      <c r="AH285" s="23">
        <v>420189112</v>
      </c>
      <c r="AI285" s="23">
        <v>349655360</v>
      </c>
      <c r="AJ285" s="23">
        <v>49510816</v>
      </c>
      <c r="AK285" s="23">
        <v>21019032</v>
      </c>
      <c r="AL285" s="25">
        <v>35.250999999999998</v>
      </c>
      <c r="AM285" s="25">
        <v>38.170999999999999</v>
      </c>
      <c r="AN285" s="25">
        <v>37.989699999999999</v>
      </c>
      <c r="AO285" s="25">
        <v>35.912500000000001</v>
      </c>
      <c r="AP285" s="27"/>
      <c r="AQ285" s="27"/>
      <c r="AS285" s="28">
        <f t="shared" si="54"/>
        <v>3.5016366038069902E-2</v>
      </c>
      <c r="AT285" s="28"/>
      <c r="AV285" s="29"/>
      <c r="AW285" s="29"/>
      <c r="AX285" s="29"/>
      <c r="AY285" s="29"/>
      <c r="BA285" s="29"/>
      <c r="BB285" s="29"/>
      <c r="BC285" s="29"/>
      <c r="BD285" s="29"/>
    </row>
    <row r="286" spans="1:56" outlineLevel="1" x14ac:dyDescent="0.15">
      <c r="A286" s="31"/>
      <c r="B286" s="46" t="s">
        <v>369</v>
      </c>
      <c r="C286" s="47" t="s">
        <v>230</v>
      </c>
      <c r="D286" s="46">
        <v>19948121</v>
      </c>
      <c r="E286" s="48">
        <v>21</v>
      </c>
      <c r="F286" s="47">
        <v>1</v>
      </c>
      <c r="G286" s="47"/>
      <c r="I286" s="49" t="str">
        <f t="shared" si="44"/>
        <v>·</v>
      </c>
      <c r="J286" s="50">
        <f t="shared" si="45"/>
        <v>24.90728344789968</v>
      </c>
      <c r="K286" s="50">
        <f t="shared" si="46"/>
        <v>17.528235366127969</v>
      </c>
      <c r="L286" s="50">
        <f t="shared" si="47"/>
        <v>5.2077855352892639</v>
      </c>
      <c r="M286" s="50">
        <f t="shared" si="55"/>
        <v>2.1710628284237901</v>
      </c>
      <c r="N286" s="50">
        <f t="shared" si="48"/>
        <v>24.90728344789968</v>
      </c>
      <c r="O286" s="52">
        <v>19948121</v>
      </c>
      <c r="P286" s="53">
        <v>496853504</v>
      </c>
      <c r="Q286" s="53">
        <v>349655360</v>
      </c>
      <c r="R286" s="53">
        <v>103885536</v>
      </c>
      <c r="S286" s="53">
        <v>43308624</v>
      </c>
      <c r="T286" s="55">
        <v>41.553100000000001</v>
      </c>
      <c r="U286" s="55">
        <v>43.072600000000001</v>
      </c>
      <c r="V286" s="55">
        <v>43.0291</v>
      </c>
      <c r="W286" s="55">
        <v>41.5899</v>
      </c>
      <c r="X286" s="57"/>
      <c r="Y286" s="57"/>
      <c r="AA286" s="49" t="str">
        <f t="shared" si="49"/>
        <v>·</v>
      </c>
      <c r="AB286" s="50">
        <f t="shared" si="50"/>
        <v>23.523982434235286</v>
      </c>
      <c r="AC286" s="50">
        <f t="shared" si="51"/>
        <v>17.528235366127969</v>
      </c>
      <c r="AD286" s="50">
        <f t="shared" si="52"/>
        <v>4.2127741254426923</v>
      </c>
      <c r="AE286" s="50">
        <f t="shared" si="56"/>
        <v>1.782777235008751</v>
      </c>
      <c r="AF286" s="50">
        <f t="shared" si="53"/>
        <v>23.523982434235286</v>
      </c>
      <c r="AG286" s="52">
        <v>19948121</v>
      </c>
      <c r="AH286" s="53">
        <v>469259248</v>
      </c>
      <c r="AI286" s="53">
        <v>349655360</v>
      </c>
      <c r="AJ286" s="53">
        <v>84036928</v>
      </c>
      <c r="AK286" s="53">
        <v>35563056</v>
      </c>
      <c r="AL286" s="55">
        <v>40.042400000000001</v>
      </c>
      <c r="AM286" s="55">
        <v>41.729500000000002</v>
      </c>
      <c r="AN286" s="55">
        <v>41.667099999999998</v>
      </c>
      <c r="AO286" s="55">
        <v>40.163800000000002</v>
      </c>
      <c r="AP286" s="57"/>
      <c r="AQ286" s="57"/>
      <c r="AS286" s="58">
        <f t="shared" si="54"/>
        <v>4.138259129815669E-2</v>
      </c>
      <c r="AT286" s="58"/>
      <c r="AV286" s="59"/>
      <c r="AW286" s="59"/>
      <c r="AX286" s="59"/>
      <c r="AY286" s="59"/>
      <c r="BA286" s="59"/>
      <c r="BB286" s="59"/>
      <c r="BC286" s="59"/>
      <c r="BD286" s="59"/>
    </row>
    <row r="287" spans="1:56" collapsed="1" x14ac:dyDescent="0.15">
      <c r="A287" s="16"/>
      <c r="B287" s="16" t="s">
        <v>373</v>
      </c>
      <c r="C287" s="17" t="s">
        <v>225</v>
      </c>
      <c r="D287" s="16">
        <v>5255920</v>
      </c>
      <c r="E287" s="18">
        <v>20</v>
      </c>
      <c r="F287" s="17">
        <v>1</v>
      </c>
      <c r="G287" s="17"/>
      <c r="I287" s="19" t="str">
        <f t="shared" si="44"/>
        <v>·</v>
      </c>
      <c r="J287" s="20">
        <f t="shared" si="45"/>
        <v>21.02547527359625</v>
      </c>
      <c r="K287" s="20">
        <f t="shared" si="46"/>
        <v>20.815736921414327</v>
      </c>
      <c r="L287" s="20">
        <f t="shared" si="47"/>
        <v>0.14905706327341359</v>
      </c>
      <c r="M287" s="20">
        <f t="shared" si="55"/>
        <v>6.0378392365180597E-2</v>
      </c>
      <c r="N287" s="20">
        <f t="shared" si="48"/>
        <v>21.02547527359625</v>
      </c>
      <c r="O287" s="22">
        <v>5255920</v>
      </c>
      <c r="P287" s="23">
        <v>110508216</v>
      </c>
      <c r="Q287" s="23">
        <v>109405848</v>
      </c>
      <c r="R287" s="23">
        <v>783432</v>
      </c>
      <c r="S287" s="23">
        <v>317344</v>
      </c>
      <c r="T287" s="25">
        <v>21.2836</v>
      </c>
      <c r="U287" s="25">
        <v>32.401200000000003</v>
      </c>
      <c r="V287" s="25">
        <v>32.224899999999998</v>
      </c>
      <c r="W287" s="25">
        <v>23.243200000000002</v>
      </c>
      <c r="X287" s="27"/>
      <c r="Y287" s="27"/>
      <c r="AA287" s="19" t="str">
        <f t="shared" si="49"/>
        <v>·</v>
      </c>
      <c r="AB287" s="20">
        <f t="shared" si="50"/>
        <v>20.912631851321937</v>
      </c>
      <c r="AC287" s="20">
        <f t="shared" si="51"/>
        <v>20.815736921414327</v>
      </c>
      <c r="AD287" s="20">
        <f t="shared" si="52"/>
        <v>7.2600800621014025E-2</v>
      </c>
      <c r="AE287" s="20">
        <f t="shared" si="56"/>
        <v>2.4007975768276534E-2</v>
      </c>
      <c r="AF287" s="20">
        <f t="shared" si="53"/>
        <v>20.912631851321937</v>
      </c>
      <c r="AG287" s="22">
        <v>5255920</v>
      </c>
      <c r="AH287" s="23">
        <v>109915120</v>
      </c>
      <c r="AI287" s="23">
        <v>109405848</v>
      </c>
      <c r="AJ287" s="23">
        <v>381584</v>
      </c>
      <c r="AK287" s="23">
        <v>126184</v>
      </c>
      <c r="AL287" s="25">
        <v>20.068300000000001</v>
      </c>
      <c r="AM287" s="25">
        <v>32.395200000000003</v>
      </c>
      <c r="AN287" s="25">
        <v>31.9344</v>
      </c>
      <c r="AO287" s="25">
        <v>22.4009</v>
      </c>
      <c r="AP287" s="27"/>
      <c r="AQ287" s="27"/>
      <c r="AS287" s="28">
        <f t="shared" si="54"/>
        <v>5.3421185989473985E-3</v>
      </c>
      <c r="AT287" s="28">
        <f t="array" ref="AT287">AVERAGE(AI287:AI292/AH287:AH292) - AVERAGE(Q287:Q292/P287:P292)</f>
        <v>2.1204999036700478E-2</v>
      </c>
      <c r="AV287" s="29">
        <f>IF( OR(ISBLANK(R287:R292),ISBLANK(AJ287:AJ292), ISBLANK(T287:T292),ISBLANK(AL287:AL292)), "·", bdRateExtend( R287:R292,T287:T292, AJ287:AJ292,AL287:AL292))</f>
        <v>-0.11256288234110778</v>
      </c>
      <c r="AW287" s="29">
        <f>IF( OR(ISBLANK(R287:R292),ISBLANK(AJ287:AJ292), ISBLANK(U287:U292),ISBLANK(AM287:AM292)), "·", bdRateExtend( R287:R292,U287:U292, AJ287:AJ292,AM287:AM292))</f>
        <v>-5.2126731965463358E-2</v>
      </c>
      <c r="AX287" s="29">
        <f>IF( OR(ISBLANK(R287:R292),ISBLANK(AJ287:AJ292), ISBLANK(V287:V292),ISBLANK(AN287:AN292)), "·", bdRateExtend( R287:R292,V287:V292, AJ287:AJ292,AN287:AN292))</f>
        <v>-4.8069599711610511E-2</v>
      </c>
      <c r="AY287" s="29">
        <f>IF( OR(ISBLANK(S287:S292),ISBLANK(AK287:AK292), ISBLANK(W287:W292),ISBLANK(AO287:AO292)), "·", bdRateExtend( S287:S292,W287:W292, AK287:AK292,AO287:AO292))</f>
        <v>-8.710914932321101E-2</v>
      </c>
      <c r="BA287" s="29">
        <f>IF( OR(ISBLANK(P287:P292),ISBLANK(AH287:AH292), ISBLANK(T287:T292),ISBLANK(AL287:AL292)), "·", bdRateExtend( P287:P292,T287:T292, AH287:AH292,AL287:AL292))</f>
        <v>-8.8306004905525093E-3</v>
      </c>
      <c r="BB287" s="29">
        <f>IF( OR(ISBLANK(P287:P292),ISBLANK(AH287:AH292), ISBLANK(U287:U292),ISBLANK(AM287:AM292)), "·", bdRateExtend( P287:P292,U287:U292, AH287:AH292,AM287:AM292))</f>
        <v>-4.9006087856328095E-3</v>
      </c>
      <c r="BC287" s="29">
        <f>IF( OR(ISBLANK(P287:P292),ISBLANK(AH287:AH292), ISBLANK(V287:V292),ISBLANK(AN287:AN292)), "·", bdRateExtend( P287:P292,V287:V292, AH287:AH292,AN287:AN292))</f>
        <v>-5.4000884253642134E-3</v>
      </c>
      <c r="BD287" s="29">
        <f>IF( OR(ISBLANK(P287:P292),ISBLANK(AH287:AH292), ISBLANK(W287:W292),ISBLANK(AO287:AO292)), "·", bdRateExtend( P287:P292,W287:W292, AH287:AH292,AO287:AO292))</f>
        <v>-8.9486160542173732E-3</v>
      </c>
    </row>
    <row r="288" spans="1:56" outlineLevel="1" x14ac:dyDescent="0.15">
      <c r="A288" s="31"/>
      <c r="B288" s="31" t="s">
        <v>373</v>
      </c>
      <c r="C288" s="32" t="s">
        <v>226</v>
      </c>
      <c r="D288" s="31">
        <v>5255920</v>
      </c>
      <c r="E288" s="33">
        <v>20</v>
      </c>
      <c r="F288" s="32">
        <v>1</v>
      </c>
      <c r="G288" s="32"/>
      <c r="I288" s="34" t="str">
        <f t="shared" si="44"/>
        <v>·</v>
      </c>
      <c r="J288" s="35">
        <f t="shared" si="45"/>
        <v>21.331554513767333</v>
      </c>
      <c r="K288" s="35">
        <f t="shared" si="46"/>
        <v>20.815736921414327</v>
      </c>
      <c r="L288" s="35">
        <f t="shared" si="47"/>
        <v>0.34513462914199605</v>
      </c>
      <c r="M288" s="35">
        <f t="shared" si="55"/>
        <v>0.17038006666768141</v>
      </c>
      <c r="N288" s="35">
        <f t="shared" si="48"/>
        <v>21.331554513767333</v>
      </c>
      <c r="O288" s="37">
        <v>5255920</v>
      </c>
      <c r="P288" s="38">
        <v>112116944</v>
      </c>
      <c r="Q288" s="38">
        <v>109405848</v>
      </c>
      <c r="R288" s="38">
        <v>1814000</v>
      </c>
      <c r="S288" s="38">
        <v>895504</v>
      </c>
      <c r="T288" s="40">
        <v>24.207100000000001</v>
      </c>
      <c r="U288" s="40">
        <v>33.097000000000001</v>
      </c>
      <c r="V288" s="40">
        <v>32.680599999999998</v>
      </c>
      <c r="W288" s="40">
        <v>25.064900000000002</v>
      </c>
      <c r="X288" s="42"/>
      <c r="Y288" s="42"/>
      <c r="AA288" s="34" t="str">
        <f t="shared" si="49"/>
        <v>·</v>
      </c>
      <c r="AB288" s="35">
        <f t="shared" si="50"/>
        <v>21.109403491681761</v>
      </c>
      <c r="AC288" s="35">
        <f t="shared" si="51"/>
        <v>20.815736921414327</v>
      </c>
      <c r="AD288" s="35">
        <f t="shared" si="52"/>
        <v>0.2144416201159835</v>
      </c>
      <c r="AE288" s="35">
        <f t="shared" si="56"/>
        <v>7.8938796633129873E-2</v>
      </c>
      <c r="AF288" s="35">
        <f t="shared" si="53"/>
        <v>21.109403491681761</v>
      </c>
      <c r="AG288" s="37">
        <v>5255920</v>
      </c>
      <c r="AH288" s="38">
        <v>110949336</v>
      </c>
      <c r="AI288" s="38">
        <v>109405848</v>
      </c>
      <c r="AJ288" s="38">
        <v>1127088</v>
      </c>
      <c r="AK288" s="38">
        <v>414896</v>
      </c>
      <c r="AL288" s="40">
        <v>22.936900000000001</v>
      </c>
      <c r="AM288" s="40">
        <v>32.729100000000003</v>
      </c>
      <c r="AN288" s="40">
        <v>32.305999999999997</v>
      </c>
      <c r="AO288" s="40">
        <v>23.862200000000001</v>
      </c>
      <c r="AP288" s="42"/>
      <c r="AQ288" s="42"/>
      <c r="AS288" s="43">
        <f t="shared" si="54"/>
        <v>1.0269318878700306E-2</v>
      </c>
      <c r="AT288" s="43"/>
      <c r="AV288" s="44"/>
      <c r="AW288" s="44"/>
      <c r="AX288" s="44"/>
      <c r="AY288" s="44"/>
      <c r="BA288" s="44"/>
      <c r="BB288" s="44"/>
      <c r="BC288" s="44"/>
      <c r="BD288" s="44"/>
    </row>
    <row r="289" spans="1:56" outlineLevel="1" x14ac:dyDescent="0.15">
      <c r="A289" s="16"/>
      <c r="B289" s="16" t="s">
        <v>373</v>
      </c>
      <c r="C289" s="17" t="s">
        <v>227</v>
      </c>
      <c r="D289" s="16">
        <v>5255920</v>
      </c>
      <c r="E289" s="18">
        <v>20</v>
      </c>
      <c r="F289" s="17">
        <v>1</v>
      </c>
      <c r="G289" s="17"/>
      <c r="I289" s="19" t="str">
        <f t="shared" si="44"/>
        <v>·</v>
      </c>
      <c r="J289" s="20">
        <f t="shared" si="45"/>
        <v>22.035365835096425</v>
      </c>
      <c r="K289" s="20">
        <f t="shared" si="46"/>
        <v>20.815736921414327</v>
      </c>
      <c r="L289" s="20">
        <f t="shared" si="47"/>
        <v>0.76430691486932834</v>
      </c>
      <c r="M289" s="20">
        <f t="shared" si="55"/>
        <v>0.45501910226944092</v>
      </c>
      <c r="N289" s="20">
        <f t="shared" si="48"/>
        <v>22.035365835096425</v>
      </c>
      <c r="O289" s="22">
        <v>5255920</v>
      </c>
      <c r="P289" s="23">
        <v>115816120</v>
      </c>
      <c r="Q289" s="23">
        <v>109405848</v>
      </c>
      <c r="R289" s="23">
        <v>4017136</v>
      </c>
      <c r="S289" s="23">
        <v>2391544</v>
      </c>
      <c r="T289" s="25">
        <v>28.024699999999999</v>
      </c>
      <c r="U289" s="25">
        <v>34.376600000000003</v>
      </c>
      <c r="V289" s="25">
        <v>34.179200000000002</v>
      </c>
      <c r="W289" s="25">
        <v>28.074200000000001</v>
      </c>
      <c r="X289" s="27"/>
      <c r="Y289" s="27"/>
      <c r="AA289" s="19" t="str">
        <f t="shared" si="49"/>
        <v>·</v>
      </c>
      <c r="AB289" s="20">
        <f t="shared" si="50"/>
        <v>21.619024642688625</v>
      </c>
      <c r="AC289" s="20">
        <f t="shared" si="51"/>
        <v>20.815736921414327</v>
      </c>
      <c r="AD289" s="20">
        <f t="shared" si="52"/>
        <v>0.51598806678944886</v>
      </c>
      <c r="AE289" s="20">
        <f t="shared" si="56"/>
        <v>0.28701350096652917</v>
      </c>
      <c r="AF289" s="20">
        <f t="shared" si="53"/>
        <v>21.619024642688625</v>
      </c>
      <c r="AG289" s="22">
        <v>5255920</v>
      </c>
      <c r="AH289" s="23">
        <v>113627864</v>
      </c>
      <c r="AI289" s="23">
        <v>109405848</v>
      </c>
      <c r="AJ289" s="23">
        <v>2711992</v>
      </c>
      <c r="AK289" s="23">
        <v>1508520</v>
      </c>
      <c r="AL289" s="25">
        <v>26.7425</v>
      </c>
      <c r="AM289" s="25">
        <v>33.582000000000001</v>
      </c>
      <c r="AN289" s="25">
        <v>33.357300000000002</v>
      </c>
      <c r="AO289" s="25">
        <v>26.796700000000001</v>
      </c>
      <c r="AP289" s="27"/>
      <c r="AQ289" s="27"/>
      <c r="AS289" s="28">
        <f t="shared" si="54"/>
        <v>1.8192182765191856E-2</v>
      </c>
      <c r="AT289" s="28"/>
      <c r="AV289" s="29"/>
      <c r="AW289" s="29"/>
      <c r="AX289" s="29"/>
      <c r="AY289" s="29"/>
      <c r="BA289" s="29"/>
      <c r="BB289" s="29"/>
      <c r="BC289" s="29"/>
      <c r="BD289" s="29"/>
    </row>
    <row r="290" spans="1:56" outlineLevel="1" x14ac:dyDescent="0.15">
      <c r="A290" s="31"/>
      <c r="B290" s="31" t="s">
        <v>373</v>
      </c>
      <c r="C290" s="32" t="s">
        <v>228</v>
      </c>
      <c r="D290" s="31">
        <v>5255920</v>
      </c>
      <c r="E290" s="33">
        <v>20</v>
      </c>
      <c r="F290" s="32">
        <v>1</v>
      </c>
      <c r="G290" s="32"/>
      <c r="I290" s="34" t="str">
        <f t="shared" si="44"/>
        <v>·</v>
      </c>
      <c r="J290" s="35">
        <f t="shared" si="45"/>
        <v>23.268113669918872</v>
      </c>
      <c r="K290" s="35">
        <f t="shared" si="46"/>
        <v>20.815736921414327</v>
      </c>
      <c r="L290" s="35">
        <f t="shared" si="47"/>
        <v>1.5126044536446521</v>
      </c>
      <c r="M290" s="35">
        <f t="shared" si="55"/>
        <v>0.93947092040974745</v>
      </c>
      <c r="N290" s="35">
        <f t="shared" si="48"/>
        <v>23.268113669918872</v>
      </c>
      <c r="O290" s="37">
        <v>5255920</v>
      </c>
      <c r="P290" s="38">
        <v>122295344</v>
      </c>
      <c r="Q290" s="38">
        <v>109405848</v>
      </c>
      <c r="R290" s="38">
        <v>7950128</v>
      </c>
      <c r="S290" s="38">
        <v>4937784</v>
      </c>
      <c r="T290" s="40">
        <v>32.198999999999998</v>
      </c>
      <c r="U290" s="40">
        <v>36.865400000000001</v>
      </c>
      <c r="V290" s="40">
        <v>36.694499999999998</v>
      </c>
      <c r="W290" s="40">
        <v>32.002800000000001</v>
      </c>
      <c r="X290" s="42"/>
      <c r="Y290" s="42"/>
      <c r="AA290" s="34" t="str">
        <f t="shared" si="49"/>
        <v>·</v>
      </c>
      <c r="AB290" s="35">
        <f t="shared" si="50"/>
        <v>22.600260277934215</v>
      </c>
      <c r="AC290" s="35">
        <f t="shared" si="51"/>
        <v>20.815736921414327</v>
      </c>
      <c r="AD290" s="35">
        <f t="shared" si="52"/>
        <v>1.0915539049300598</v>
      </c>
      <c r="AE290" s="35">
        <f t="shared" si="56"/>
        <v>0.69268329807150797</v>
      </c>
      <c r="AF290" s="35">
        <f t="shared" si="53"/>
        <v>22.600260277934215</v>
      </c>
      <c r="AG290" s="37">
        <v>5255920</v>
      </c>
      <c r="AH290" s="38">
        <v>118785160</v>
      </c>
      <c r="AI290" s="38">
        <v>109405848</v>
      </c>
      <c r="AJ290" s="38">
        <v>5737120</v>
      </c>
      <c r="AK290" s="38">
        <v>3640688</v>
      </c>
      <c r="AL290" s="40">
        <v>30.814</v>
      </c>
      <c r="AM290" s="40">
        <v>35.740200000000002</v>
      </c>
      <c r="AN290" s="40">
        <v>35.559699999999999</v>
      </c>
      <c r="AO290" s="40">
        <v>30.6616</v>
      </c>
      <c r="AP290" s="42"/>
      <c r="AQ290" s="42"/>
      <c r="AS290" s="43">
        <f t="shared" si="54"/>
        <v>2.6436156183002657E-2</v>
      </c>
      <c r="AT290" s="43"/>
      <c r="AV290" s="44"/>
      <c r="AW290" s="44"/>
      <c r="AX290" s="44"/>
      <c r="AY290" s="44"/>
      <c r="BA290" s="44"/>
      <c r="BB290" s="44"/>
      <c r="BC290" s="44"/>
      <c r="BD290" s="44"/>
    </row>
    <row r="291" spans="1:56" outlineLevel="1" x14ac:dyDescent="0.15">
      <c r="A291" s="16"/>
      <c r="B291" s="16" t="s">
        <v>373</v>
      </c>
      <c r="C291" s="17" t="s">
        <v>229</v>
      </c>
      <c r="D291" s="16">
        <v>5255920</v>
      </c>
      <c r="E291" s="18">
        <v>20</v>
      </c>
      <c r="F291" s="17">
        <v>1</v>
      </c>
      <c r="G291" s="17"/>
      <c r="I291" s="19" t="str">
        <f t="shared" si="44"/>
        <v>·</v>
      </c>
      <c r="J291" s="20">
        <f t="shared" si="45"/>
        <v>25.19010639431346</v>
      </c>
      <c r="K291" s="20">
        <f t="shared" si="46"/>
        <v>20.815736921414327</v>
      </c>
      <c r="L291" s="20">
        <f t="shared" si="47"/>
        <v>2.7363080107764199</v>
      </c>
      <c r="M291" s="20">
        <f t="shared" si="55"/>
        <v>1.6377600876725673</v>
      </c>
      <c r="N291" s="20">
        <f t="shared" si="48"/>
        <v>25.19010639431346</v>
      </c>
      <c r="O291" s="22">
        <v>5255920</v>
      </c>
      <c r="P291" s="23">
        <v>132397184</v>
      </c>
      <c r="Q291" s="23">
        <v>109405848</v>
      </c>
      <c r="R291" s="23">
        <v>14381816</v>
      </c>
      <c r="S291" s="23">
        <v>8607936</v>
      </c>
      <c r="T291" s="25">
        <v>36.714500000000001</v>
      </c>
      <c r="U291" s="25">
        <v>39.987699999999997</v>
      </c>
      <c r="V291" s="25">
        <v>39.887999999999998</v>
      </c>
      <c r="W291" s="25">
        <v>36.448700000000002</v>
      </c>
      <c r="X291" s="27"/>
      <c r="Y291" s="27"/>
      <c r="AA291" s="19" t="str">
        <f t="shared" si="49"/>
        <v>·</v>
      </c>
      <c r="AB291" s="20">
        <f t="shared" si="50"/>
        <v>24.299774730208984</v>
      </c>
      <c r="AC291" s="20">
        <f t="shared" si="51"/>
        <v>20.815736921414327</v>
      </c>
      <c r="AD291" s="20">
        <f t="shared" si="52"/>
        <v>2.1458408803786968</v>
      </c>
      <c r="AE291" s="20">
        <f t="shared" si="56"/>
        <v>1.3379107748976393</v>
      </c>
      <c r="AF291" s="20">
        <f t="shared" si="53"/>
        <v>24.299774730208984</v>
      </c>
      <c r="AG291" s="22">
        <v>5255920</v>
      </c>
      <c r="AH291" s="23">
        <v>127717672</v>
      </c>
      <c r="AI291" s="23">
        <v>109405848</v>
      </c>
      <c r="AJ291" s="23">
        <v>11278368</v>
      </c>
      <c r="AK291" s="23">
        <v>7031952</v>
      </c>
      <c r="AL291" s="25">
        <v>35.488399999999999</v>
      </c>
      <c r="AM291" s="25">
        <v>38.898299999999999</v>
      </c>
      <c r="AN291" s="25">
        <v>38.785800000000002</v>
      </c>
      <c r="AO291" s="25">
        <v>35.273099999999999</v>
      </c>
      <c r="AP291" s="27"/>
      <c r="AQ291" s="27"/>
      <c r="AS291" s="28">
        <f t="shared" si="54"/>
        <v>3.0276896776001427E-2</v>
      </c>
      <c r="AT291" s="28"/>
      <c r="AV291" s="29"/>
      <c r="AW291" s="29"/>
      <c r="AX291" s="29"/>
      <c r="AY291" s="29"/>
      <c r="BA291" s="29"/>
      <c r="BB291" s="29"/>
      <c r="BC291" s="29"/>
      <c r="BD291" s="29"/>
    </row>
    <row r="292" spans="1:56" outlineLevel="1" x14ac:dyDescent="0.15">
      <c r="A292" s="31"/>
      <c r="B292" s="46" t="s">
        <v>373</v>
      </c>
      <c r="C292" s="47" t="s">
        <v>230</v>
      </c>
      <c r="D292" s="46">
        <v>5255920</v>
      </c>
      <c r="E292" s="48">
        <v>20</v>
      </c>
      <c r="F292" s="47">
        <v>1</v>
      </c>
      <c r="G292" s="47"/>
      <c r="I292" s="49" t="str">
        <f t="shared" si="44"/>
        <v>·</v>
      </c>
      <c r="J292" s="50">
        <f t="shared" si="45"/>
        <v>27.986460981141267</v>
      </c>
      <c r="K292" s="50">
        <f t="shared" si="46"/>
        <v>20.815736921414327</v>
      </c>
      <c r="L292" s="50">
        <f t="shared" si="47"/>
        <v>4.5913058037413048</v>
      </c>
      <c r="M292" s="50">
        <f t="shared" si="55"/>
        <v>2.5791168815354877</v>
      </c>
      <c r="N292" s="50">
        <f t="shared" si="48"/>
        <v>27.986460981141267</v>
      </c>
      <c r="O292" s="52">
        <v>5255920</v>
      </c>
      <c r="P292" s="53">
        <v>147094600</v>
      </c>
      <c r="Q292" s="53">
        <v>109405848</v>
      </c>
      <c r="R292" s="53">
        <v>24131536</v>
      </c>
      <c r="S292" s="53">
        <v>13555632</v>
      </c>
      <c r="T292" s="55">
        <v>41.593800000000002</v>
      </c>
      <c r="U292" s="55">
        <v>43.526200000000003</v>
      </c>
      <c r="V292" s="55">
        <v>43.569000000000003</v>
      </c>
      <c r="W292" s="55">
        <v>41.364600000000003</v>
      </c>
      <c r="X292" s="57"/>
      <c r="Y292" s="57"/>
      <c r="AA292" s="49" t="str">
        <f t="shared" si="49"/>
        <v>·</v>
      </c>
      <c r="AB292" s="50">
        <f t="shared" si="50"/>
        <v>26.670014764303872</v>
      </c>
      <c r="AC292" s="50">
        <f t="shared" si="51"/>
        <v>20.815736921414327</v>
      </c>
      <c r="AD292" s="50">
        <f t="shared" si="52"/>
        <v>3.6779448697849282</v>
      </c>
      <c r="AE292" s="50">
        <f t="shared" si="56"/>
        <v>2.1760468195862952</v>
      </c>
      <c r="AF292" s="50">
        <f t="shared" si="53"/>
        <v>26.670014764303872</v>
      </c>
      <c r="AG292" s="52">
        <v>5255920</v>
      </c>
      <c r="AH292" s="53">
        <v>140175464</v>
      </c>
      <c r="AI292" s="53">
        <v>109405848</v>
      </c>
      <c r="AJ292" s="53">
        <v>19330984</v>
      </c>
      <c r="AK292" s="53">
        <v>11437128</v>
      </c>
      <c r="AL292" s="55">
        <v>40.117100000000001</v>
      </c>
      <c r="AM292" s="55">
        <v>42.241300000000003</v>
      </c>
      <c r="AN292" s="55">
        <v>42.249400000000001</v>
      </c>
      <c r="AO292" s="55">
        <v>39.866199999999999</v>
      </c>
      <c r="AP292" s="57"/>
      <c r="AQ292" s="57"/>
      <c r="AS292" s="58">
        <f t="shared" si="54"/>
        <v>3.6713321018358891E-2</v>
      </c>
      <c r="AT292" s="58"/>
      <c r="AV292" s="59"/>
      <c r="AW292" s="59"/>
      <c r="AX292" s="59"/>
      <c r="AY292" s="59"/>
      <c r="BA292" s="59"/>
      <c r="BB292" s="59"/>
      <c r="BC292" s="59"/>
      <c r="BD292" s="59"/>
    </row>
    <row r="293" spans="1:56" collapsed="1" x14ac:dyDescent="0.15">
      <c r="A293" s="16"/>
      <c r="B293" s="16" t="s">
        <v>376</v>
      </c>
      <c r="C293" s="17" t="s">
        <v>225</v>
      </c>
      <c r="D293" s="16">
        <v>7148516</v>
      </c>
      <c r="E293" s="18">
        <v>21</v>
      </c>
      <c r="F293" s="17">
        <v>1</v>
      </c>
      <c r="G293" s="17"/>
      <c r="I293" s="19" t="str">
        <f t="shared" si="44"/>
        <v>·</v>
      </c>
      <c r="J293" s="20">
        <f t="shared" si="45"/>
        <v>20.982248063793939</v>
      </c>
      <c r="K293" s="20">
        <f t="shared" si="46"/>
        <v>20.74781842832834</v>
      </c>
      <c r="L293" s="20">
        <f t="shared" si="47"/>
        <v>0.13081316457849435</v>
      </c>
      <c r="M293" s="20">
        <f t="shared" si="55"/>
        <v>0.10332662051816069</v>
      </c>
      <c r="N293" s="20">
        <f t="shared" si="48"/>
        <v>20.982248063793939</v>
      </c>
      <c r="O293" s="22">
        <v>7148516</v>
      </c>
      <c r="P293" s="23">
        <v>149991936</v>
      </c>
      <c r="Q293" s="23">
        <v>148316112</v>
      </c>
      <c r="R293" s="23">
        <v>935120</v>
      </c>
      <c r="S293" s="23">
        <v>738632</v>
      </c>
      <c r="T293" s="25">
        <v>22.244900000000001</v>
      </c>
      <c r="U293" s="25">
        <v>33.662799999999997</v>
      </c>
      <c r="V293" s="25">
        <v>32.832900000000002</v>
      </c>
      <c r="W293" s="25">
        <v>22.509799999999998</v>
      </c>
      <c r="X293" s="27"/>
      <c r="Y293" s="27"/>
      <c r="AA293" s="19" t="str">
        <f t="shared" si="49"/>
        <v>·</v>
      </c>
      <c r="AB293" s="20">
        <f t="shared" si="50"/>
        <v>20.866557478503232</v>
      </c>
      <c r="AC293" s="20">
        <f t="shared" si="51"/>
        <v>20.74781842832834</v>
      </c>
      <c r="AD293" s="20">
        <f t="shared" si="52"/>
        <v>6.711099198770766E-2</v>
      </c>
      <c r="AE293" s="20">
        <f t="shared" si="56"/>
        <v>5.1350518065567737E-2</v>
      </c>
      <c r="AF293" s="20">
        <f t="shared" si="53"/>
        <v>20.866557478503232</v>
      </c>
      <c r="AG293" s="22">
        <v>7148516</v>
      </c>
      <c r="AH293" s="23">
        <v>149164920</v>
      </c>
      <c r="AI293" s="23">
        <v>148316112</v>
      </c>
      <c r="AJ293" s="23">
        <v>479744</v>
      </c>
      <c r="AK293" s="23">
        <v>367080</v>
      </c>
      <c r="AL293" s="25">
        <v>20.908300000000001</v>
      </c>
      <c r="AM293" s="25">
        <v>33.622500000000002</v>
      </c>
      <c r="AN293" s="25">
        <v>32.370399999999997</v>
      </c>
      <c r="AO293" s="25">
        <v>21.162500000000001</v>
      </c>
      <c r="AP293" s="27"/>
      <c r="AQ293" s="27"/>
      <c r="AS293" s="28">
        <f t="shared" si="54"/>
        <v>5.4823610550004398E-3</v>
      </c>
      <c r="AT293" s="28">
        <f t="array" ref="AT293">AVERAGE(AI293:AI298/AH293:AH298) - AVERAGE(Q293:Q298/P293:P298)</f>
        <v>1.9278262984966488E-2</v>
      </c>
      <c r="AV293" s="29">
        <f>IF( OR(ISBLANK(R293:R298),ISBLANK(AJ293:AJ298), ISBLANK(T293:T298),ISBLANK(AL293:AL298)), "·", bdRateExtend( R293:R298,T293:T298, AJ293:AJ298,AL293:AL298))</f>
        <v>-0.12461336331379802</v>
      </c>
      <c r="AW293" s="29">
        <f>IF( OR(ISBLANK(R293:R298),ISBLANK(AJ293:AJ298), ISBLANK(U293:U298),ISBLANK(AM293:AM298)), "·", bdRateExtend( R293:R298,U293:U298, AJ293:AJ298,AM293:AM298))</f>
        <v>-4.5217869694315072E-2</v>
      </c>
      <c r="AX293" s="29">
        <f>IF( OR(ISBLANK(R293:R298),ISBLANK(AJ293:AJ298), ISBLANK(V293:V298),ISBLANK(AN293:AN298)), "·", bdRateExtend( R293:R298,V293:V298, AJ293:AJ298,AN293:AN298))</f>
        <v>-4.0209518834217528E-2</v>
      </c>
      <c r="AY293" s="29">
        <f>IF( OR(ISBLANK(S293:S298),ISBLANK(AK293:AK298), ISBLANK(W293:W298),ISBLANK(AO293:AO298)), "·", bdRateExtend( S293:S298,W293:W298, AK293:AK298,AO293:AO298))</f>
        <v>-4.0873527679824218E-2</v>
      </c>
      <c r="BA293" s="29">
        <f>IF( OR(ISBLANK(P293:P298),ISBLANK(AH293:AH298), ISBLANK(T293:T298),ISBLANK(AL293:AL298)), "·", bdRateExtend( P293:P298,T293:T298, AH293:AH298,AL293:AL298))</f>
        <v>-7.5388066160413381E-3</v>
      </c>
      <c r="BB293" s="29">
        <f>IF( OR(ISBLANK(P293:P298),ISBLANK(AH293:AH298), ISBLANK(U293:U298),ISBLANK(AM293:AM298)), "·", bdRateExtend( P293:P298,U293:U298, AH293:AH298,AM293:AM298))</f>
        <v>-2.5631184791211625E-3</v>
      </c>
      <c r="BC293" s="29">
        <f>IF( OR(ISBLANK(P293:P298),ISBLANK(AH293:AH298), ISBLANK(V293:V298),ISBLANK(AN293:AN298)), "·", bdRateExtend( P293:P298,V293:V298, AH293:AH298,AN293:AN298))</f>
        <v>-3.5795090941389551E-3</v>
      </c>
      <c r="BD293" s="29">
        <f>IF( OR(ISBLANK(P293:P298),ISBLANK(AH293:AH298), ISBLANK(W293:W298),ISBLANK(AO293:AO298)), "·", bdRateExtend( P293:P298,W293:W298, AH293:AH298,AO293:AO298))</f>
        <v>-6.2385252914373135E-3</v>
      </c>
    </row>
    <row r="294" spans="1:56" outlineLevel="1" x14ac:dyDescent="0.15">
      <c r="A294" s="31"/>
      <c r="B294" s="31" t="s">
        <v>376</v>
      </c>
      <c r="C294" s="32" t="s">
        <v>226</v>
      </c>
      <c r="D294" s="31">
        <v>7148516</v>
      </c>
      <c r="E294" s="33">
        <v>21</v>
      </c>
      <c r="F294" s="32">
        <v>1</v>
      </c>
      <c r="G294" s="32"/>
      <c r="I294" s="34" t="str">
        <f t="shared" si="44"/>
        <v>·</v>
      </c>
      <c r="J294" s="35">
        <f t="shared" si="45"/>
        <v>21.275932515224138</v>
      </c>
      <c r="K294" s="35">
        <f t="shared" si="46"/>
        <v>20.74781842832834</v>
      </c>
      <c r="L294" s="35">
        <f t="shared" si="47"/>
        <v>0.2880318096790998</v>
      </c>
      <c r="M294" s="35">
        <f t="shared" si="55"/>
        <v>0.23979242684775415</v>
      </c>
      <c r="N294" s="35">
        <f t="shared" si="48"/>
        <v>21.275932515224138</v>
      </c>
      <c r="O294" s="37">
        <v>7148516</v>
      </c>
      <c r="P294" s="38">
        <v>152091344</v>
      </c>
      <c r="Q294" s="38">
        <v>148316112</v>
      </c>
      <c r="R294" s="38">
        <v>2059000</v>
      </c>
      <c r="S294" s="38">
        <v>1714160</v>
      </c>
      <c r="T294" s="40">
        <v>25.0519</v>
      </c>
      <c r="U294" s="40">
        <v>34.633600000000001</v>
      </c>
      <c r="V294" s="40">
        <v>33.557600000000001</v>
      </c>
      <c r="W294" s="40">
        <v>24.826699999999999</v>
      </c>
      <c r="X294" s="42"/>
      <c r="Y294" s="42"/>
      <c r="AA294" s="34" t="str">
        <f t="shared" si="49"/>
        <v>·</v>
      </c>
      <c r="AB294" s="35">
        <f t="shared" si="50"/>
        <v>21.068537302007858</v>
      </c>
      <c r="AC294" s="35">
        <f t="shared" si="51"/>
        <v>20.74781842832834</v>
      </c>
      <c r="AD294" s="35">
        <f t="shared" si="52"/>
        <v>0.18106918974511632</v>
      </c>
      <c r="AE294" s="35">
        <f t="shared" si="56"/>
        <v>0.13937214381278576</v>
      </c>
      <c r="AF294" s="35">
        <f t="shared" si="53"/>
        <v>21.068537302007858</v>
      </c>
      <c r="AG294" s="37">
        <v>7148516</v>
      </c>
      <c r="AH294" s="38">
        <v>150608776</v>
      </c>
      <c r="AI294" s="38">
        <v>148316112</v>
      </c>
      <c r="AJ294" s="38">
        <v>1294376</v>
      </c>
      <c r="AK294" s="38">
        <v>996304</v>
      </c>
      <c r="AL294" s="40">
        <v>23.843900000000001</v>
      </c>
      <c r="AM294" s="40">
        <v>34.127000000000002</v>
      </c>
      <c r="AN294" s="40">
        <v>32.954300000000003</v>
      </c>
      <c r="AO294" s="40">
        <v>23.386500000000002</v>
      </c>
      <c r="AP294" s="42"/>
      <c r="AQ294" s="42"/>
      <c r="AS294" s="43">
        <f t="shared" si="54"/>
        <v>9.5994903757820049E-3</v>
      </c>
      <c r="AT294" s="43"/>
      <c r="AV294" s="44"/>
      <c r="AW294" s="44"/>
      <c r="AX294" s="44"/>
      <c r="AY294" s="44"/>
      <c r="BA294" s="44"/>
      <c r="BB294" s="44"/>
      <c r="BC294" s="44"/>
      <c r="BD294" s="44"/>
    </row>
    <row r="295" spans="1:56" outlineLevel="1" x14ac:dyDescent="0.15">
      <c r="A295" s="16"/>
      <c r="B295" s="16" t="s">
        <v>376</v>
      </c>
      <c r="C295" s="17" t="s">
        <v>227</v>
      </c>
      <c r="D295" s="16">
        <v>7148516</v>
      </c>
      <c r="E295" s="18">
        <v>21</v>
      </c>
      <c r="F295" s="17">
        <v>1</v>
      </c>
      <c r="G295" s="17"/>
      <c r="I295" s="19" t="str">
        <f t="shared" si="44"/>
        <v>·</v>
      </c>
      <c r="J295" s="20">
        <f t="shared" si="45"/>
        <v>21.915143226929896</v>
      </c>
      <c r="K295" s="20">
        <f t="shared" si="46"/>
        <v>20.74781842832834</v>
      </c>
      <c r="L295" s="20">
        <f t="shared" si="47"/>
        <v>0.62909392662756858</v>
      </c>
      <c r="M295" s="20">
        <f t="shared" si="55"/>
        <v>0.53794102160504365</v>
      </c>
      <c r="N295" s="20">
        <f t="shared" si="48"/>
        <v>21.915143226929896</v>
      </c>
      <c r="O295" s="22">
        <v>7148516</v>
      </c>
      <c r="P295" s="23">
        <v>156660752</v>
      </c>
      <c r="Q295" s="23">
        <v>148316112</v>
      </c>
      <c r="R295" s="23">
        <v>4497088</v>
      </c>
      <c r="S295" s="23">
        <v>3845480</v>
      </c>
      <c r="T295" s="25">
        <v>28.776399999999999</v>
      </c>
      <c r="U295" s="25">
        <v>35.808999999999997</v>
      </c>
      <c r="V295" s="25">
        <v>35.017400000000002</v>
      </c>
      <c r="W295" s="25">
        <v>28.244599999999998</v>
      </c>
      <c r="X295" s="27"/>
      <c r="Y295" s="27"/>
      <c r="AA295" s="19" t="str">
        <f t="shared" si="49"/>
        <v>·</v>
      </c>
      <c r="AB295" s="20">
        <f t="shared" si="50"/>
        <v>21.547211197400973</v>
      </c>
      <c r="AC295" s="20">
        <f t="shared" si="51"/>
        <v>20.74781842832834</v>
      </c>
      <c r="AD295" s="20">
        <f t="shared" si="52"/>
        <v>0.4224910456939594</v>
      </c>
      <c r="AE295" s="20">
        <f t="shared" si="56"/>
        <v>0.37662418325705643</v>
      </c>
      <c r="AF295" s="20">
        <f t="shared" si="53"/>
        <v>21.547211197400973</v>
      </c>
      <c r="AG295" s="22">
        <v>7148516</v>
      </c>
      <c r="AH295" s="23">
        <v>154030584</v>
      </c>
      <c r="AI295" s="23">
        <v>148316112</v>
      </c>
      <c r="AJ295" s="23">
        <v>3020184</v>
      </c>
      <c r="AK295" s="23">
        <v>2692304</v>
      </c>
      <c r="AL295" s="25">
        <v>27.568200000000001</v>
      </c>
      <c r="AM295" s="25">
        <v>35.043300000000002</v>
      </c>
      <c r="AN295" s="25">
        <v>34.134399999999999</v>
      </c>
      <c r="AO295" s="25">
        <v>26.809000000000001</v>
      </c>
      <c r="AP295" s="27"/>
      <c r="AQ295" s="27"/>
      <c r="AS295" s="28">
        <f t="shared" si="54"/>
        <v>1.6166077367404386E-2</v>
      </c>
      <c r="AT295" s="28"/>
      <c r="AV295" s="29"/>
      <c r="AW295" s="29"/>
      <c r="AX295" s="29"/>
      <c r="AY295" s="29"/>
      <c r="BA295" s="29"/>
      <c r="BB295" s="29"/>
      <c r="BC295" s="29"/>
      <c r="BD295" s="29"/>
    </row>
    <row r="296" spans="1:56" outlineLevel="1" x14ac:dyDescent="0.15">
      <c r="A296" s="31"/>
      <c r="B296" s="31" t="s">
        <v>376</v>
      </c>
      <c r="C296" s="32" t="s">
        <v>228</v>
      </c>
      <c r="D296" s="31">
        <v>7148516</v>
      </c>
      <c r="E296" s="33">
        <v>21</v>
      </c>
      <c r="F296" s="32">
        <v>1</v>
      </c>
      <c r="G296" s="32"/>
      <c r="I296" s="34" t="str">
        <f t="shared" si="44"/>
        <v>·</v>
      </c>
      <c r="J296" s="35">
        <f t="shared" si="45"/>
        <v>23.00338811579914</v>
      </c>
      <c r="K296" s="35">
        <f t="shared" si="46"/>
        <v>20.74781842832834</v>
      </c>
      <c r="L296" s="35">
        <f t="shared" si="47"/>
        <v>1.2518368847464285</v>
      </c>
      <c r="M296" s="35">
        <f t="shared" si="55"/>
        <v>1.0034440714688195</v>
      </c>
      <c r="N296" s="35">
        <f t="shared" si="48"/>
        <v>23.00338811579914</v>
      </c>
      <c r="O296" s="37">
        <v>7148516</v>
      </c>
      <c r="P296" s="38">
        <v>164440088</v>
      </c>
      <c r="Q296" s="38">
        <v>148316112</v>
      </c>
      <c r="R296" s="38">
        <v>8948776</v>
      </c>
      <c r="S296" s="38">
        <v>7173136</v>
      </c>
      <c r="T296" s="40">
        <v>32.992699999999999</v>
      </c>
      <c r="U296" s="40">
        <v>37.9129</v>
      </c>
      <c r="V296" s="40">
        <v>37.374499999999998</v>
      </c>
      <c r="W296" s="40">
        <v>32.373100000000001</v>
      </c>
      <c r="X296" s="42"/>
      <c r="Y296" s="42"/>
      <c r="AA296" s="34" t="str">
        <f t="shared" si="49"/>
        <v>·</v>
      </c>
      <c r="AB296" s="35">
        <f t="shared" si="50"/>
        <v>22.42022819841209</v>
      </c>
      <c r="AC296" s="35">
        <f t="shared" si="51"/>
        <v>20.74781842832834</v>
      </c>
      <c r="AD296" s="35">
        <f t="shared" si="52"/>
        <v>0.88375265579597218</v>
      </c>
      <c r="AE296" s="35">
        <f t="shared" si="56"/>
        <v>0.78837957416616256</v>
      </c>
      <c r="AF296" s="35">
        <f t="shared" si="53"/>
        <v>22.42022819841209</v>
      </c>
      <c r="AG296" s="37">
        <v>7148516</v>
      </c>
      <c r="AH296" s="38">
        <v>160271360</v>
      </c>
      <c r="AI296" s="38">
        <v>148316112</v>
      </c>
      <c r="AJ296" s="38">
        <v>6317520</v>
      </c>
      <c r="AK296" s="38">
        <v>5635744</v>
      </c>
      <c r="AL296" s="40">
        <v>31.61</v>
      </c>
      <c r="AM296" s="40">
        <v>36.819400000000002</v>
      </c>
      <c r="AN296" s="40">
        <v>36.219900000000003</v>
      </c>
      <c r="AO296" s="40">
        <v>30.8492</v>
      </c>
      <c r="AP296" s="42"/>
      <c r="AQ296" s="42"/>
      <c r="AS296" s="43">
        <f t="shared" si="54"/>
        <v>2.3460014102187121E-2</v>
      </c>
      <c r="AT296" s="43"/>
      <c r="AV296" s="44"/>
      <c r="AW296" s="44"/>
      <c r="AX296" s="44"/>
      <c r="AY296" s="44"/>
      <c r="BA296" s="44"/>
      <c r="BB296" s="44"/>
      <c r="BC296" s="44"/>
      <c r="BD296" s="44"/>
    </row>
    <row r="297" spans="1:56" outlineLevel="1" x14ac:dyDescent="0.15">
      <c r="A297" s="16"/>
      <c r="B297" s="16" t="s">
        <v>376</v>
      </c>
      <c r="C297" s="17" t="s">
        <v>229</v>
      </c>
      <c r="D297" s="16">
        <v>7148516</v>
      </c>
      <c r="E297" s="18">
        <v>21</v>
      </c>
      <c r="F297" s="17">
        <v>1</v>
      </c>
      <c r="G297" s="17"/>
      <c r="I297" s="19" t="str">
        <f t="shared" si="44"/>
        <v>·</v>
      </c>
      <c r="J297" s="20">
        <f t="shared" si="45"/>
        <v>24.668905266491674</v>
      </c>
      <c r="K297" s="20">
        <f t="shared" si="46"/>
        <v>20.74781842832834</v>
      </c>
      <c r="L297" s="20">
        <f t="shared" si="47"/>
        <v>2.2699626048259525</v>
      </c>
      <c r="M297" s="20">
        <f t="shared" si="55"/>
        <v>1.6508355020818306</v>
      </c>
      <c r="N297" s="20">
        <f t="shared" si="48"/>
        <v>24.668905266491674</v>
      </c>
      <c r="O297" s="22">
        <v>7148516</v>
      </c>
      <c r="P297" s="23">
        <v>176346064</v>
      </c>
      <c r="Q297" s="23">
        <v>148316112</v>
      </c>
      <c r="R297" s="23">
        <v>16226864</v>
      </c>
      <c r="S297" s="23">
        <v>11801024</v>
      </c>
      <c r="T297" s="25">
        <v>37.61</v>
      </c>
      <c r="U297" s="25">
        <v>40.783900000000003</v>
      </c>
      <c r="V297" s="25">
        <v>40.534300000000002</v>
      </c>
      <c r="W297" s="25">
        <v>36.735599999999998</v>
      </c>
      <c r="X297" s="27"/>
      <c r="Y297" s="27"/>
      <c r="AA297" s="19" t="str">
        <f t="shared" si="49"/>
        <v>·</v>
      </c>
      <c r="AB297" s="20">
        <f t="shared" si="50"/>
        <v>23.898233423552526</v>
      </c>
      <c r="AC297" s="20">
        <f t="shared" si="51"/>
        <v>20.74781842832834</v>
      </c>
      <c r="AD297" s="20">
        <f t="shared" si="52"/>
        <v>1.7492346663279483</v>
      </c>
      <c r="AE297" s="20">
        <f t="shared" si="56"/>
        <v>1.4009027887746213</v>
      </c>
      <c r="AF297" s="20">
        <f t="shared" si="53"/>
        <v>23.898233423552526</v>
      </c>
      <c r="AG297" s="22">
        <v>7148516</v>
      </c>
      <c r="AH297" s="23">
        <v>170836904</v>
      </c>
      <c r="AI297" s="23">
        <v>148316112</v>
      </c>
      <c r="AJ297" s="23">
        <v>12504432</v>
      </c>
      <c r="AK297" s="23">
        <v>10014376</v>
      </c>
      <c r="AL297" s="25">
        <v>36.334699999999998</v>
      </c>
      <c r="AM297" s="25">
        <v>39.681800000000003</v>
      </c>
      <c r="AN297" s="25">
        <v>39.416400000000003</v>
      </c>
      <c r="AO297" s="25">
        <v>35.486699999999999</v>
      </c>
      <c r="AP297" s="27"/>
      <c r="AQ297" s="27"/>
      <c r="AS297" s="28">
        <f t="shared" si="54"/>
        <v>2.7122283721459639E-2</v>
      </c>
      <c r="AT297" s="28"/>
      <c r="AV297" s="29"/>
      <c r="AW297" s="29"/>
      <c r="AX297" s="29"/>
      <c r="AY297" s="29"/>
      <c r="BA297" s="29"/>
      <c r="BB297" s="29"/>
      <c r="BC297" s="29"/>
      <c r="BD297" s="29"/>
    </row>
    <row r="298" spans="1:56" outlineLevel="1" x14ac:dyDescent="0.15">
      <c r="A298" s="46"/>
      <c r="B298" s="46" t="s">
        <v>376</v>
      </c>
      <c r="C298" s="47" t="s">
        <v>230</v>
      </c>
      <c r="D298" s="46">
        <v>7148516</v>
      </c>
      <c r="E298" s="48">
        <v>21</v>
      </c>
      <c r="F298" s="47">
        <v>1</v>
      </c>
      <c r="G298" s="47"/>
      <c r="I298" s="49" t="str">
        <f t="shared" si="44"/>
        <v>·</v>
      </c>
      <c r="J298" s="50">
        <f t="shared" si="45"/>
        <v>27.12789171906449</v>
      </c>
      <c r="K298" s="50">
        <f t="shared" si="46"/>
        <v>20.74781842832834</v>
      </c>
      <c r="L298" s="50">
        <f t="shared" si="47"/>
        <v>3.8024899153894318</v>
      </c>
      <c r="M298" s="50">
        <f t="shared" si="55"/>
        <v>2.577294644091165</v>
      </c>
      <c r="N298" s="50">
        <f t="shared" si="48"/>
        <v>27.12789171906449</v>
      </c>
      <c r="O298" s="52">
        <v>7148516</v>
      </c>
      <c r="P298" s="53">
        <v>193924168</v>
      </c>
      <c r="Q298" s="53">
        <v>148316112</v>
      </c>
      <c r="R298" s="53">
        <v>27182160</v>
      </c>
      <c r="S298" s="53">
        <v>18423832</v>
      </c>
      <c r="T298" s="55">
        <v>42.313200000000002</v>
      </c>
      <c r="U298" s="55">
        <v>44.257399999999997</v>
      </c>
      <c r="V298" s="55">
        <v>44.171700000000001</v>
      </c>
      <c r="W298" s="55">
        <v>41.417900000000003</v>
      </c>
      <c r="X298" s="57"/>
      <c r="Y298" s="57"/>
      <c r="AA298" s="49" t="str">
        <f t="shared" si="49"/>
        <v>·</v>
      </c>
      <c r="AB298" s="50">
        <f t="shared" si="50"/>
        <v>25.978470496533827</v>
      </c>
      <c r="AC298" s="50">
        <f t="shared" si="51"/>
        <v>20.74781842832834</v>
      </c>
      <c r="AD298" s="50">
        <f t="shared" si="52"/>
        <v>3.0122962584122357</v>
      </c>
      <c r="AE298" s="50">
        <f t="shared" si="56"/>
        <v>2.2180782696716355</v>
      </c>
      <c r="AF298" s="50">
        <f t="shared" si="53"/>
        <v>25.978470496533827</v>
      </c>
      <c r="AG298" s="52">
        <v>7148516</v>
      </c>
      <c r="AH298" s="53">
        <v>185707512</v>
      </c>
      <c r="AI298" s="53">
        <v>148316112</v>
      </c>
      <c r="AJ298" s="53">
        <v>21533448</v>
      </c>
      <c r="AK298" s="53">
        <v>15855968</v>
      </c>
      <c r="AL298" s="55">
        <v>40.820500000000003</v>
      </c>
      <c r="AM298" s="55">
        <v>42.993699999999997</v>
      </c>
      <c r="AN298" s="55">
        <v>42.899500000000003</v>
      </c>
      <c r="AO298" s="55">
        <v>39.922400000000003</v>
      </c>
      <c r="AP298" s="57"/>
      <c r="AQ298" s="57"/>
      <c r="AS298" s="58">
        <f t="shared" si="54"/>
        <v>3.3839351287965114E-2</v>
      </c>
      <c r="AT298" s="58"/>
      <c r="AV298" s="59"/>
      <c r="AW298" s="59"/>
      <c r="AX298" s="59"/>
      <c r="AY298" s="59"/>
      <c r="BA298" s="59"/>
      <c r="BB298" s="59"/>
      <c r="BC298" s="59"/>
      <c r="BD298" s="59"/>
    </row>
    <row r="299" spans="1:56" collapsed="1" x14ac:dyDescent="0.15">
      <c r="A299" s="16" t="s">
        <v>380</v>
      </c>
      <c r="B299" s="16" t="s">
        <v>379</v>
      </c>
      <c r="C299" s="17" t="s">
        <v>225</v>
      </c>
      <c r="D299" s="16">
        <v>123940658</v>
      </c>
      <c r="E299" s="18">
        <v>18</v>
      </c>
      <c r="F299" s="17">
        <v>1500</v>
      </c>
      <c r="G299" s="17">
        <v>10</v>
      </c>
      <c r="I299" s="19">
        <f t="shared" si="44"/>
        <v>14.488151413333334</v>
      </c>
      <c r="J299" s="20">
        <f t="shared" si="45"/>
        <v>17.534380945436002</v>
      </c>
      <c r="K299" s="20">
        <f t="shared" si="46"/>
        <v>17.394479541975645</v>
      </c>
      <c r="L299" s="21"/>
      <c r="M299" s="20">
        <f t="shared" si="55"/>
        <v>0.11782632298111569</v>
      </c>
      <c r="N299" s="20">
        <f t="shared" si="48"/>
        <v>17.534380945436002</v>
      </c>
      <c r="O299" s="22">
        <v>123940658</v>
      </c>
      <c r="P299" s="23">
        <v>2173222712</v>
      </c>
      <c r="Q299" s="23">
        <v>2155883240</v>
      </c>
      <c r="R299" s="24"/>
      <c r="S299" s="23">
        <v>14603472</v>
      </c>
      <c r="T299" s="26"/>
      <c r="U299" s="26"/>
      <c r="V299" s="26"/>
      <c r="W299" s="25">
        <v>70.303124999999994</v>
      </c>
      <c r="X299" s="27"/>
      <c r="Y299" s="27"/>
      <c r="AA299" s="19">
        <f t="shared" si="49"/>
        <v>14.450241973333332</v>
      </c>
      <c r="AB299" s="20">
        <f t="shared" si="50"/>
        <v>17.488500795275751</v>
      </c>
      <c r="AC299" s="20">
        <f t="shared" si="51"/>
        <v>17.394479541975645</v>
      </c>
      <c r="AD299" s="21"/>
      <c r="AE299" s="20">
        <f t="shared" si="56"/>
        <v>7.2333454934538105E-2</v>
      </c>
      <c r="AF299" s="20">
        <f t="shared" si="53"/>
        <v>17.488500795275751</v>
      </c>
      <c r="AG299" s="22">
        <v>123940658</v>
      </c>
      <c r="AH299" s="23">
        <v>2167536296</v>
      </c>
      <c r="AI299" s="23">
        <v>2155883240</v>
      </c>
      <c r="AJ299" s="24"/>
      <c r="AK299" s="23">
        <v>8965056</v>
      </c>
      <c r="AL299" s="26"/>
      <c r="AM299" s="26"/>
      <c r="AN299" s="26"/>
      <c r="AO299" s="25">
        <v>69.277851999999996</v>
      </c>
      <c r="AP299" s="27"/>
      <c r="AQ299" s="27"/>
      <c r="AS299" s="28">
        <f t="shared" si="54"/>
        <v>2.602515056167265E-3</v>
      </c>
      <c r="AT299" s="28">
        <f t="array" ref="AT299">AVERAGE(AI299:AI304/AH299:AH304) - AVERAGE(Q299:Q304/P299:P304)</f>
        <v>8.8374186114210662E-3</v>
      </c>
      <c r="AV299" s="30"/>
      <c r="AW299" s="30"/>
      <c r="AX299" s="30"/>
      <c r="AY299" s="29">
        <f>IF( OR(ISBLANK(S299:S304),ISBLANK(AK299:AK304), ISBLANK(W299:W304),ISBLANK(AO299:AO304)), "·", bdRateExtend( S299:S304,W299:W304, AK299:AK304,AO299:AO304))</f>
        <v>-6.6489755217306601E-2</v>
      </c>
      <c r="BA299" s="30"/>
      <c r="BB299" s="30"/>
      <c r="BC299" s="30"/>
      <c r="BD299" s="29">
        <f>IF( OR(ISBLANK(P299:P304),ISBLANK(AH299:AH304), ISBLANK(W299:W304),ISBLANK(AO299:AO304)), "·", bdRateExtend( P299:P304,W299:W304, AH299:AH304,AO299:AO304))</f>
        <v>-3.3139481233406265E-3</v>
      </c>
    </row>
    <row r="300" spans="1:56" outlineLevel="1" x14ac:dyDescent="0.15">
      <c r="A300" s="31"/>
      <c r="B300" s="31" t="s">
        <v>379</v>
      </c>
      <c r="C300" s="32" t="s">
        <v>226</v>
      </c>
      <c r="D300" s="31">
        <v>123940658</v>
      </c>
      <c r="E300" s="33">
        <v>18</v>
      </c>
      <c r="F300" s="32">
        <v>1500</v>
      </c>
      <c r="G300" s="32">
        <v>10</v>
      </c>
      <c r="I300" s="34">
        <f t="shared" si="44"/>
        <v>14.599665226666666</v>
      </c>
      <c r="J300" s="35">
        <f t="shared" si="45"/>
        <v>17.669341274596107</v>
      </c>
      <c r="K300" s="35">
        <f t="shared" si="46"/>
        <v>17.394479541975645</v>
      </c>
      <c r="L300" s="36"/>
      <c r="M300" s="35">
        <f t="shared" si="55"/>
        <v>0.25268983161280295</v>
      </c>
      <c r="N300" s="35">
        <f t="shared" si="48"/>
        <v>17.669341274596107</v>
      </c>
      <c r="O300" s="37">
        <v>123940658</v>
      </c>
      <c r="P300" s="38">
        <v>2189949784</v>
      </c>
      <c r="Q300" s="38">
        <v>2155883240</v>
      </c>
      <c r="R300" s="39"/>
      <c r="S300" s="38">
        <v>31318544</v>
      </c>
      <c r="T300" s="41"/>
      <c r="U300" s="41"/>
      <c r="V300" s="41"/>
      <c r="W300" s="40">
        <v>72.880589999999998</v>
      </c>
      <c r="X300" s="42"/>
      <c r="Y300" s="42"/>
      <c r="AA300" s="34">
        <f t="shared" si="49"/>
        <v>14.537635093333334</v>
      </c>
      <c r="AB300" s="35">
        <f t="shared" si="50"/>
        <v>17.594268896006668</v>
      </c>
      <c r="AC300" s="35">
        <f t="shared" si="51"/>
        <v>17.394479541975645</v>
      </c>
      <c r="AD300" s="36"/>
      <c r="AE300" s="35">
        <f t="shared" si="56"/>
        <v>0.17810155566545402</v>
      </c>
      <c r="AF300" s="35">
        <f t="shared" si="53"/>
        <v>17.594268896006668</v>
      </c>
      <c r="AG300" s="37">
        <v>123940658</v>
      </c>
      <c r="AH300" s="38">
        <v>2180645264</v>
      </c>
      <c r="AI300" s="38">
        <v>2155883240</v>
      </c>
      <c r="AJ300" s="39"/>
      <c r="AK300" s="38">
        <v>22074024</v>
      </c>
      <c r="AL300" s="41"/>
      <c r="AM300" s="41"/>
      <c r="AN300" s="41"/>
      <c r="AO300" s="40">
        <v>71.833403000000004</v>
      </c>
      <c r="AP300" s="42"/>
      <c r="AQ300" s="42"/>
      <c r="AS300" s="43">
        <f t="shared" si="54"/>
        <v>4.200490733531681E-3</v>
      </c>
      <c r="AT300" s="43"/>
      <c r="AV300" s="45"/>
      <c r="AW300" s="45"/>
      <c r="AX300" s="45"/>
      <c r="AY300" s="44"/>
      <c r="BA300" s="45"/>
      <c r="BB300" s="45"/>
      <c r="BC300" s="45"/>
      <c r="BD300" s="44"/>
    </row>
    <row r="301" spans="1:56" outlineLevel="1" x14ac:dyDescent="0.15">
      <c r="A301" s="16"/>
      <c r="B301" s="16" t="s">
        <v>379</v>
      </c>
      <c r="C301" s="17" t="s">
        <v>227</v>
      </c>
      <c r="D301" s="16">
        <v>123940658</v>
      </c>
      <c r="E301" s="18">
        <v>18</v>
      </c>
      <c r="F301" s="17">
        <v>1500</v>
      </c>
      <c r="G301" s="17">
        <v>10</v>
      </c>
      <c r="I301" s="19">
        <f t="shared" si="44"/>
        <v>14.837286933333333</v>
      </c>
      <c r="J301" s="20">
        <f t="shared" si="45"/>
        <v>17.956924514633446</v>
      </c>
      <c r="K301" s="20">
        <f t="shared" si="46"/>
        <v>17.394479541975645</v>
      </c>
      <c r="L301" s="21"/>
      <c r="M301" s="20">
        <f t="shared" si="55"/>
        <v>0.54027307165014404</v>
      </c>
      <c r="N301" s="20">
        <f t="shared" si="48"/>
        <v>17.956924514633446</v>
      </c>
      <c r="O301" s="22">
        <v>123940658</v>
      </c>
      <c r="P301" s="23">
        <v>2225593040</v>
      </c>
      <c r="Q301" s="23">
        <v>2155883240</v>
      </c>
      <c r="R301" s="24"/>
      <c r="S301" s="23">
        <v>66961800</v>
      </c>
      <c r="T301" s="26"/>
      <c r="U301" s="26"/>
      <c r="V301" s="26"/>
      <c r="W301" s="25">
        <v>76.394543999999996</v>
      </c>
      <c r="X301" s="27"/>
      <c r="Y301" s="27"/>
      <c r="AA301" s="19">
        <f t="shared" si="49"/>
        <v>14.728461279999999</v>
      </c>
      <c r="AB301" s="20">
        <f t="shared" si="50"/>
        <v>17.825217548869233</v>
      </c>
      <c r="AC301" s="20">
        <f t="shared" si="51"/>
        <v>17.394479541975645</v>
      </c>
      <c r="AD301" s="21"/>
      <c r="AE301" s="20">
        <f t="shared" si="56"/>
        <v>0.40905020852801993</v>
      </c>
      <c r="AF301" s="20">
        <f t="shared" si="53"/>
        <v>17.825217548869233</v>
      </c>
      <c r="AG301" s="22">
        <v>123940658</v>
      </c>
      <c r="AH301" s="23">
        <v>2209269192</v>
      </c>
      <c r="AI301" s="23">
        <v>2155883240</v>
      </c>
      <c r="AJ301" s="24"/>
      <c r="AK301" s="23">
        <v>50697952</v>
      </c>
      <c r="AL301" s="26"/>
      <c r="AM301" s="26"/>
      <c r="AN301" s="26"/>
      <c r="AO301" s="25">
        <v>75.362622999999999</v>
      </c>
      <c r="AP301" s="27"/>
      <c r="AQ301" s="27"/>
      <c r="AS301" s="28">
        <f t="shared" si="54"/>
        <v>7.1573686637862455E-3</v>
      </c>
      <c r="AT301" s="28"/>
      <c r="AV301" s="30"/>
      <c r="AW301" s="30"/>
      <c r="AX301" s="30"/>
      <c r="AY301" s="29"/>
      <c r="BA301" s="30"/>
      <c r="BB301" s="30"/>
      <c r="BC301" s="30"/>
      <c r="BD301" s="29"/>
    </row>
    <row r="302" spans="1:56" outlineLevel="1" x14ac:dyDescent="0.15">
      <c r="A302" s="31"/>
      <c r="B302" s="31" t="s">
        <v>379</v>
      </c>
      <c r="C302" s="32" t="s">
        <v>228</v>
      </c>
      <c r="D302" s="31">
        <v>123940658</v>
      </c>
      <c r="E302" s="33">
        <v>18</v>
      </c>
      <c r="F302" s="32">
        <v>1500</v>
      </c>
      <c r="G302" s="32">
        <v>10</v>
      </c>
      <c r="I302" s="34">
        <f t="shared" si="44"/>
        <v>15.233940373333333</v>
      </c>
      <c r="J302" s="35">
        <f t="shared" si="45"/>
        <v>18.43697696037728</v>
      </c>
      <c r="K302" s="35">
        <f t="shared" si="46"/>
        <v>17.394479541975645</v>
      </c>
      <c r="L302" s="36"/>
      <c r="M302" s="35">
        <f t="shared" si="55"/>
        <v>1.0203255173939774</v>
      </c>
      <c r="N302" s="35">
        <f t="shared" si="48"/>
        <v>18.43697696037728</v>
      </c>
      <c r="O302" s="37">
        <v>123940658</v>
      </c>
      <c r="P302" s="38">
        <v>2285091056</v>
      </c>
      <c r="Q302" s="38">
        <v>2155883240</v>
      </c>
      <c r="R302" s="39"/>
      <c r="S302" s="38">
        <v>126459816</v>
      </c>
      <c r="T302" s="41"/>
      <c r="U302" s="41"/>
      <c r="V302" s="41"/>
      <c r="W302" s="40">
        <v>80.576243000000005</v>
      </c>
      <c r="X302" s="42"/>
      <c r="Y302" s="42"/>
      <c r="AA302" s="34">
        <f t="shared" si="49"/>
        <v>15.058628906666666</v>
      </c>
      <c r="AB302" s="35">
        <f t="shared" si="50"/>
        <v>18.224805099872878</v>
      </c>
      <c r="AC302" s="35">
        <f t="shared" si="51"/>
        <v>17.394479541975645</v>
      </c>
      <c r="AD302" s="36"/>
      <c r="AE302" s="35">
        <f t="shared" si="56"/>
        <v>0.80863775953166228</v>
      </c>
      <c r="AF302" s="35">
        <f t="shared" si="53"/>
        <v>18.224805099872878</v>
      </c>
      <c r="AG302" s="37">
        <v>123940658</v>
      </c>
      <c r="AH302" s="38">
        <v>2258794336</v>
      </c>
      <c r="AI302" s="38">
        <v>2155883240</v>
      </c>
      <c r="AJ302" s="39"/>
      <c r="AK302" s="38">
        <v>100223096</v>
      </c>
      <c r="AL302" s="41"/>
      <c r="AM302" s="41"/>
      <c r="AN302" s="41"/>
      <c r="AO302" s="40">
        <v>79.384653999999998</v>
      </c>
      <c r="AP302" s="42"/>
      <c r="AQ302" s="42"/>
      <c r="AS302" s="43">
        <f t="shared" si="54"/>
        <v>1.0983648293066195E-2</v>
      </c>
      <c r="AT302" s="43"/>
      <c r="AV302" s="45"/>
      <c r="AW302" s="45"/>
      <c r="AX302" s="45"/>
      <c r="AY302" s="44"/>
      <c r="BA302" s="45"/>
      <c r="BB302" s="45"/>
      <c r="BC302" s="45"/>
      <c r="BD302" s="44"/>
    </row>
    <row r="303" spans="1:56" outlineLevel="1" x14ac:dyDescent="0.15">
      <c r="A303" s="16"/>
      <c r="B303" s="16" t="s">
        <v>379</v>
      </c>
      <c r="C303" s="17" t="s">
        <v>229</v>
      </c>
      <c r="D303" s="16">
        <v>123940658</v>
      </c>
      <c r="E303" s="18">
        <v>18</v>
      </c>
      <c r="F303" s="17">
        <v>1500</v>
      </c>
      <c r="G303" s="17">
        <v>10</v>
      </c>
      <c r="I303" s="19">
        <f t="shared" si="44"/>
        <v>15.784878026666668</v>
      </c>
      <c r="J303" s="20">
        <f t="shared" si="45"/>
        <v>19.103752894389185</v>
      </c>
      <c r="K303" s="20">
        <f t="shared" si="46"/>
        <v>17.394479541975645</v>
      </c>
      <c r="L303" s="21"/>
      <c r="M303" s="20">
        <f t="shared" si="55"/>
        <v>1.6871014514058817</v>
      </c>
      <c r="N303" s="20">
        <f t="shared" si="48"/>
        <v>19.103752894389185</v>
      </c>
      <c r="O303" s="22">
        <v>123940658</v>
      </c>
      <c r="P303" s="23">
        <v>2367731704</v>
      </c>
      <c r="Q303" s="23">
        <v>2155883240</v>
      </c>
      <c r="R303" s="24"/>
      <c r="S303" s="23">
        <v>209100464</v>
      </c>
      <c r="T303" s="26"/>
      <c r="U303" s="26"/>
      <c r="V303" s="26"/>
      <c r="W303" s="25">
        <v>85.307490999999999</v>
      </c>
      <c r="X303" s="27"/>
      <c r="Y303" s="27"/>
      <c r="AA303" s="19">
        <f t="shared" si="49"/>
        <v>15.570306240000001</v>
      </c>
      <c r="AB303" s="20">
        <f t="shared" si="50"/>
        <v>18.844065972281669</v>
      </c>
      <c r="AC303" s="20">
        <f t="shared" si="51"/>
        <v>17.394479541975645</v>
      </c>
      <c r="AD303" s="21"/>
      <c r="AE303" s="20">
        <f t="shared" si="56"/>
        <v>1.4278986319404565</v>
      </c>
      <c r="AF303" s="20">
        <f t="shared" si="53"/>
        <v>18.844065972281669</v>
      </c>
      <c r="AG303" s="22">
        <v>123940658</v>
      </c>
      <c r="AH303" s="23">
        <v>2335545936</v>
      </c>
      <c r="AI303" s="23">
        <v>2155883240</v>
      </c>
      <c r="AJ303" s="24"/>
      <c r="AK303" s="23">
        <v>176974696</v>
      </c>
      <c r="AL303" s="26"/>
      <c r="AM303" s="26"/>
      <c r="AN303" s="26"/>
      <c r="AO303" s="25">
        <v>84.214573000000001</v>
      </c>
      <c r="AP303" s="27"/>
      <c r="AQ303" s="27"/>
      <c r="AS303" s="28">
        <f t="shared" si="54"/>
        <v>1.2547817972352715E-2</v>
      </c>
      <c r="AT303" s="28"/>
      <c r="AV303" s="30"/>
      <c r="AW303" s="30"/>
      <c r="AX303" s="30"/>
      <c r="AY303" s="29"/>
      <c r="BA303" s="30"/>
      <c r="BB303" s="30"/>
      <c r="BC303" s="30"/>
      <c r="BD303" s="29"/>
    </row>
    <row r="304" spans="1:56" outlineLevel="1" x14ac:dyDescent="0.15">
      <c r="A304" s="31"/>
      <c r="B304" s="46" t="s">
        <v>379</v>
      </c>
      <c r="C304" s="47" t="s">
        <v>230</v>
      </c>
      <c r="D304" s="46">
        <v>123940658</v>
      </c>
      <c r="E304" s="48">
        <v>18</v>
      </c>
      <c r="F304" s="47">
        <v>1500</v>
      </c>
      <c r="G304" s="47">
        <v>10</v>
      </c>
      <c r="I304" s="49">
        <f t="shared" si="44"/>
        <v>16.464441919999999</v>
      </c>
      <c r="J304" s="50">
        <f t="shared" si="45"/>
        <v>19.926199584965897</v>
      </c>
      <c r="K304" s="50">
        <f t="shared" si="46"/>
        <v>17.394479541975645</v>
      </c>
      <c r="L304" s="51"/>
      <c r="M304" s="50">
        <f t="shared" si="55"/>
        <v>2.5095481419825929</v>
      </c>
      <c r="N304" s="50">
        <f t="shared" si="48"/>
        <v>19.926199584965897</v>
      </c>
      <c r="O304" s="52">
        <v>123940658</v>
      </c>
      <c r="P304" s="53">
        <v>2469666288</v>
      </c>
      <c r="Q304" s="53">
        <v>2155883240</v>
      </c>
      <c r="R304" s="54"/>
      <c r="S304" s="53">
        <v>311035048</v>
      </c>
      <c r="T304" s="56"/>
      <c r="U304" s="56"/>
      <c r="V304" s="56"/>
      <c r="W304" s="55">
        <v>90.291884999999994</v>
      </c>
      <c r="X304" s="57"/>
      <c r="Y304" s="57"/>
      <c r="AA304" s="49">
        <f t="shared" si="49"/>
        <v>16.176604960000002</v>
      </c>
      <c r="AB304" s="50">
        <f t="shared" si="50"/>
        <v>19.577843002899016</v>
      </c>
      <c r="AC304" s="50">
        <f t="shared" si="51"/>
        <v>17.394479541975645</v>
      </c>
      <c r="AD304" s="51"/>
      <c r="AE304" s="50">
        <f t="shared" si="56"/>
        <v>2.1616756625578026</v>
      </c>
      <c r="AF304" s="50">
        <f t="shared" si="53"/>
        <v>19.577843002899016</v>
      </c>
      <c r="AG304" s="52">
        <v>123940658</v>
      </c>
      <c r="AH304" s="53">
        <v>2426490744</v>
      </c>
      <c r="AI304" s="53">
        <v>2155883240</v>
      </c>
      <c r="AJ304" s="54"/>
      <c r="AK304" s="53">
        <v>267919504</v>
      </c>
      <c r="AL304" s="56"/>
      <c r="AM304" s="56"/>
      <c r="AN304" s="56"/>
      <c r="AO304" s="55">
        <v>88.866634000000005</v>
      </c>
      <c r="AP304" s="57"/>
      <c r="AQ304" s="57"/>
      <c r="AS304" s="58">
        <f t="shared" si="54"/>
        <v>1.5532670949623295E-2</v>
      </c>
      <c r="AT304" s="58"/>
      <c r="AV304" s="60"/>
      <c r="AW304" s="60"/>
      <c r="AX304" s="60"/>
      <c r="AY304" s="59"/>
      <c r="BA304" s="60"/>
      <c r="BB304" s="60"/>
      <c r="BC304" s="60"/>
      <c r="BD304" s="59"/>
    </row>
    <row r="305" spans="1:56" collapsed="1" x14ac:dyDescent="0.15">
      <c r="A305" s="16"/>
      <c r="B305" s="16" t="s">
        <v>383</v>
      </c>
      <c r="C305" s="17" t="s">
        <v>225</v>
      </c>
      <c r="D305" s="16">
        <v>125751705</v>
      </c>
      <c r="E305" s="18">
        <v>18</v>
      </c>
      <c r="F305" s="17">
        <v>1500</v>
      </c>
      <c r="G305" s="17">
        <v>10</v>
      </c>
      <c r="I305" s="19">
        <f t="shared" si="44"/>
        <v>14.479681973333333</v>
      </c>
      <c r="J305" s="20">
        <f t="shared" si="45"/>
        <v>17.271752267692911</v>
      </c>
      <c r="K305" s="20">
        <f t="shared" si="46"/>
        <v>17.137833447268171</v>
      </c>
      <c r="L305" s="21"/>
      <c r="M305" s="20">
        <f t="shared" si="55"/>
        <v>0.11216166015403131</v>
      </c>
      <c r="N305" s="20">
        <f t="shared" si="48"/>
        <v>17.271752267692911</v>
      </c>
      <c r="O305" s="22">
        <v>125751705</v>
      </c>
      <c r="P305" s="23">
        <v>2171952296</v>
      </c>
      <c r="Q305" s="23">
        <v>2155111776</v>
      </c>
      <c r="R305" s="24"/>
      <c r="S305" s="23">
        <v>14104520</v>
      </c>
      <c r="T305" s="26"/>
      <c r="U305" s="26"/>
      <c r="V305" s="26"/>
      <c r="W305" s="25">
        <v>70.337569000000002</v>
      </c>
      <c r="X305" s="27"/>
      <c r="Y305" s="27"/>
      <c r="AA305" s="19">
        <f t="shared" si="49"/>
        <v>14.442401066666667</v>
      </c>
      <c r="AB305" s="20">
        <f t="shared" si="50"/>
        <v>17.227282604239839</v>
      </c>
      <c r="AC305" s="20">
        <f t="shared" si="51"/>
        <v>17.137833447268171</v>
      </c>
      <c r="AD305" s="21"/>
      <c r="AE305" s="20">
        <f t="shared" si="56"/>
        <v>6.8073701267112041E-2</v>
      </c>
      <c r="AF305" s="20">
        <f t="shared" si="53"/>
        <v>17.227282604239839</v>
      </c>
      <c r="AG305" s="22">
        <v>125751705</v>
      </c>
      <c r="AH305" s="23">
        <v>2166360160</v>
      </c>
      <c r="AI305" s="23">
        <v>2155111776</v>
      </c>
      <c r="AJ305" s="24"/>
      <c r="AK305" s="23">
        <v>8560384</v>
      </c>
      <c r="AL305" s="26"/>
      <c r="AM305" s="26"/>
      <c r="AN305" s="26"/>
      <c r="AO305" s="25">
        <v>69.340960999999993</v>
      </c>
      <c r="AP305" s="27"/>
      <c r="AQ305" s="27"/>
      <c r="AS305" s="28">
        <f t="shared" si="54"/>
        <v>2.5613361687449876E-3</v>
      </c>
      <c r="AT305" s="28">
        <f t="array" ref="AT305">AVERAGE(AI305:AI310/AH305:AH310) - AVERAGE(Q305:Q310/P305:P310)</f>
        <v>8.8433614768596014E-3</v>
      </c>
      <c r="AV305" s="30"/>
      <c r="AW305" s="30"/>
      <c r="AX305" s="30"/>
      <c r="AY305" s="29">
        <f>IF( OR(ISBLANK(S305:S310),ISBLANK(AK305:AK310), ISBLANK(W305:W310),ISBLANK(AO305:AO310)), "·", bdRateExtend( S305:S310,W305:W310, AK305:AK310,AO305:AO310))</f>
        <v>-6.5083934273802435E-2</v>
      </c>
      <c r="BA305" s="30"/>
      <c r="BB305" s="30"/>
      <c r="BC305" s="30"/>
      <c r="BD305" s="29">
        <f>IF( OR(ISBLANK(P305:P310),ISBLANK(AH305:AH310), ISBLANK(W305:W310),ISBLANK(AO305:AO310)), "·", bdRateExtend( P305:P310,W305:W310, AH305:AH310,AO305:AO310))</f>
        <v>-3.1712282578202355E-3</v>
      </c>
    </row>
    <row r="306" spans="1:56" outlineLevel="1" x14ac:dyDescent="0.15">
      <c r="A306" s="31"/>
      <c r="B306" s="31" t="s">
        <v>383</v>
      </c>
      <c r="C306" s="32" t="s">
        <v>226</v>
      </c>
      <c r="D306" s="31">
        <v>125751705</v>
      </c>
      <c r="E306" s="33">
        <v>18</v>
      </c>
      <c r="F306" s="32">
        <v>1500</v>
      </c>
      <c r="G306" s="32">
        <v>10</v>
      </c>
      <c r="I306" s="34">
        <f t="shared" si="44"/>
        <v>14.59275264</v>
      </c>
      <c r="J306" s="35">
        <f t="shared" si="45"/>
        <v>17.406625985707311</v>
      </c>
      <c r="K306" s="35">
        <f t="shared" si="46"/>
        <v>17.137833447268171</v>
      </c>
      <c r="L306" s="36"/>
      <c r="M306" s="35">
        <f t="shared" si="55"/>
        <v>0.24693995202689301</v>
      </c>
      <c r="N306" s="35">
        <f t="shared" si="48"/>
        <v>17.406625985707311</v>
      </c>
      <c r="O306" s="37">
        <v>125751705</v>
      </c>
      <c r="P306" s="38">
        <v>2188912896</v>
      </c>
      <c r="Q306" s="38">
        <v>2155111776</v>
      </c>
      <c r="R306" s="39"/>
      <c r="S306" s="38">
        <v>31053120</v>
      </c>
      <c r="T306" s="41"/>
      <c r="U306" s="41"/>
      <c r="V306" s="41"/>
      <c r="W306" s="40">
        <v>72.884578000000005</v>
      </c>
      <c r="X306" s="42"/>
      <c r="Y306" s="42"/>
      <c r="AA306" s="34">
        <f t="shared" si="49"/>
        <v>14.52852992</v>
      </c>
      <c r="AB306" s="35">
        <f t="shared" si="50"/>
        <v>17.33001940609871</v>
      </c>
      <c r="AC306" s="35">
        <f t="shared" si="51"/>
        <v>17.137833447268171</v>
      </c>
      <c r="AD306" s="36"/>
      <c r="AE306" s="35">
        <f t="shared" si="56"/>
        <v>0.17081050312598148</v>
      </c>
      <c r="AF306" s="35">
        <f t="shared" si="53"/>
        <v>17.33001940609871</v>
      </c>
      <c r="AG306" s="37">
        <v>125751705</v>
      </c>
      <c r="AH306" s="38">
        <v>2179279488</v>
      </c>
      <c r="AI306" s="38">
        <v>2155111776</v>
      </c>
      <c r="AJ306" s="39"/>
      <c r="AK306" s="38">
        <v>21479712</v>
      </c>
      <c r="AL306" s="41"/>
      <c r="AM306" s="41"/>
      <c r="AN306" s="41"/>
      <c r="AO306" s="40">
        <v>71.830911999999998</v>
      </c>
      <c r="AP306" s="42"/>
      <c r="AQ306" s="42"/>
      <c r="AS306" s="43">
        <f t="shared" si="54"/>
        <v>4.3521949740267241E-3</v>
      </c>
      <c r="AT306" s="43"/>
      <c r="AV306" s="45"/>
      <c r="AW306" s="45"/>
      <c r="AX306" s="45"/>
      <c r="AY306" s="44"/>
      <c r="BA306" s="45"/>
      <c r="BB306" s="45"/>
      <c r="BC306" s="45"/>
      <c r="BD306" s="44"/>
    </row>
    <row r="307" spans="1:56" outlineLevel="1" x14ac:dyDescent="0.15">
      <c r="A307" s="16"/>
      <c r="B307" s="16" t="s">
        <v>383</v>
      </c>
      <c r="C307" s="17" t="s">
        <v>227</v>
      </c>
      <c r="D307" s="16">
        <v>125751705</v>
      </c>
      <c r="E307" s="18">
        <v>18</v>
      </c>
      <c r="F307" s="17">
        <v>1500</v>
      </c>
      <c r="G307" s="17">
        <v>10</v>
      </c>
      <c r="I307" s="19">
        <f t="shared" si="44"/>
        <v>14.836565013333333</v>
      </c>
      <c r="J307" s="20">
        <f t="shared" si="45"/>
        <v>17.697451911288201</v>
      </c>
      <c r="K307" s="20">
        <f t="shared" si="46"/>
        <v>17.137833447268171</v>
      </c>
      <c r="L307" s="21"/>
      <c r="M307" s="20">
        <f t="shared" si="55"/>
        <v>0.53776587760778272</v>
      </c>
      <c r="N307" s="20">
        <f t="shared" si="48"/>
        <v>17.697451911288201</v>
      </c>
      <c r="O307" s="22">
        <v>125751705</v>
      </c>
      <c r="P307" s="23">
        <v>2225484752</v>
      </c>
      <c r="Q307" s="23">
        <v>2155111776</v>
      </c>
      <c r="R307" s="24"/>
      <c r="S307" s="23">
        <v>67624976</v>
      </c>
      <c r="T307" s="26"/>
      <c r="U307" s="26"/>
      <c r="V307" s="26"/>
      <c r="W307" s="25">
        <v>76.456995000000006</v>
      </c>
      <c r="X307" s="27"/>
      <c r="Y307" s="27"/>
      <c r="AA307" s="19">
        <f t="shared" si="49"/>
        <v>14.726337279999999</v>
      </c>
      <c r="AB307" s="20">
        <f t="shared" si="50"/>
        <v>17.565969320256929</v>
      </c>
      <c r="AC307" s="20">
        <f t="shared" si="51"/>
        <v>17.137833447268171</v>
      </c>
      <c r="AD307" s="21"/>
      <c r="AE307" s="20">
        <f t="shared" si="56"/>
        <v>0.40676041728420304</v>
      </c>
      <c r="AF307" s="20">
        <f t="shared" si="53"/>
        <v>17.565969320256929</v>
      </c>
      <c r="AG307" s="22">
        <v>125751705</v>
      </c>
      <c r="AH307" s="23">
        <v>2208950592</v>
      </c>
      <c r="AI307" s="23">
        <v>2155111776</v>
      </c>
      <c r="AJ307" s="24"/>
      <c r="AK307" s="23">
        <v>51150816</v>
      </c>
      <c r="AL307" s="26"/>
      <c r="AM307" s="26"/>
      <c r="AN307" s="26"/>
      <c r="AO307" s="25">
        <v>75.396978000000004</v>
      </c>
      <c r="AP307" s="27"/>
      <c r="AQ307" s="27"/>
      <c r="AS307" s="28">
        <f t="shared" si="54"/>
        <v>7.2483859665216643E-3</v>
      </c>
      <c r="AT307" s="28"/>
      <c r="AV307" s="30"/>
      <c r="AW307" s="30"/>
      <c r="AX307" s="30"/>
      <c r="AY307" s="29"/>
      <c r="BA307" s="30"/>
      <c r="BB307" s="30"/>
      <c r="BC307" s="30"/>
      <c r="BD307" s="29"/>
    </row>
    <row r="308" spans="1:56" outlineLevel="1" x14ac:dyDescent="0.15">
      <c r="A308" s="31"/>
      <c r="B308" s="31" t="s">
        <v>383</v>
      </c>
      <c r="C308" s="32" t="s">
        <v>228</v>
      </c>
      <c r="D308" s="31">
        <v>125751705</v>
      </c>
      <c r="E308" s="33">
        <v>18</v>
      </c>
      <c r="F308" s="32">
        <v>1500</v>
      </c>
      <c r="G308" s="32">
        <v>10</v>
      </c>
      <c r="I308" s="34">
        <f t="shared" si="44"/>
        <v>15.231118453333334</v>
      </c>
      <c r="J308" s="35">
        <f t="shared" si="45"/>
        <v>18.168085816410997</v>
      </c>
      <c r="K308" s="35">
        <f t="shared" si="46"/>
        <v>17.137833447268171</v>
      </c>
      <c r="L308" s="36"/>
      <c r="M308" s="35">
        <f t="shared" si="55"/>
        <v>1.0083997827305802</v>
      </c>
      <c r="N308" s="35">
        <f t="shared" si="48"/>
        <v>18.168085816410997</v>
      </c>
      <c r="O308" s="37">
        <v>125751705</v>
      </c>
      <c r="P308" s="38">
        <v>2284667768</v>
      </c>
      <c r="Q308" s="38">
        <v>2155111776</v>
      </c>
      <c r="R308" s="39"/>
      <c r="S308" s="38">
        <v>126807992</v>
      </c>
      <c r="T308" s="41"/>
      <c r="U308" s="41"/>
      <c r="V308" s="41"/>
      <c r="W308" s="40">
        <v>80.657239000000004</v>
      </c>
      <c r="X308" s="42"/>
      <c r="Y308" s="42"/>
      <c r="AA308" s="34">
        <f t="shared" si="49"/>
        <v>15.059194506666666</v>
      </c>
      <c r="AB308" s="35">
        <f t="shared" si="50"/>
        <v>17.963010330555758</v>
      </c>
      <c r="AC308" s="35">
        <f t="shared" si="51"/>
        <v>17.137833447268171</v>
      </c>
      <c r="AD308" s="36"/>
      <c r="AE308" s="35">
        <f t="shared" si="56"/>
        <v>0.80380142758302964</v>
      </c>
      <c r="AF308" s="35">
        <f t="shared" si="53"/>
        <v>17.963010330555758</v>
      </c>
      <c r="AG308" s="37">
        <v>125751705</v>
      </c>
      <c r="AH308" s="38">
        <v>2258879176</v>
      </c>
      <c r="AI308" s="38">
        <v>2155111776</v>
      </c>
      <c r="AJ308" s="39"/>
      <c r="AK308" s="38">
        <v>101079400</v>
      </c>
      <c r="AL308" s="41"/>
      <c r="AM308" s="41"/>
      <c r="AN308" s="41"/>
      <c r="AO308" s="40">
        <v>79.466284000000002</v>
      </c>
      <c r="AP308" s="42"/>
      <c r="AQ308" s="42"/>
      <c r="AS308" s="43">
        <f t="shared" si="54"/>
        <v>1.0769148725172983E-2</v>
      </c>
      <c r="AT308" s="43"/>
      <c r="AV308" s="45"/>
      <c r="AW308" s="45"/>
      <c r="AX308" s="45"/>
      <c r="AY308" s="44"/>
      <c r="BA308" s="45"/>
      <c r="BB308" s="45"/>
      <c r="BC308" s="45"/>
      <c r="BD308" s="44"/>
    </row>
    <row r="309" spans="1:56" outlineLevel="1" x14ac:dyDescent="0.15">
      <c r="A309" s="16"/>
      <c r="B309" s="16" t="s">
        <v>383</v>
      </c>
      <c r="C309" s="17" t="s">
        <v>229</v>
      </c>
      <c r="D309" s="16">
        <v>125751705</v>
      </c>
      <c r="E309" s="18">
        <v>18</v>
      </c>
      <c r="F309" s="17">
        <v>1500</v>
      </c>
      <c r="G309" s="17">
        <v>10</v>
      </c>
      <c r="I309" s="19">
        <f t="shared" si="44"/>
        <v>15.778226400000001</v>
      </c>
      <c r="J309" s="20">
        <f t="shared" si="45"/>
        <v>18.820690820852089</v>
      </c>
      <c r="K309" s="20">
        <f t="shared" si="46"/>
        <v>17.137833447268171</v>
      </c>
      <c r="L309" s="21"/>
      <c r="M309" s="20">
        <f t="shared" si="55"/>
        <v>1.6610047871716729</v>
      </c>
      <c r="N309" s="20">
        <f t="shared" si="48"/>
        <v>18.820690820852089</v>
      </c>
      <c r="O309" s="22">
        <v>125751705</v>
      </c>
      <c r="P309" s="23">
        <v>2366733960</v>
      </c>
      <c r="Q309" s="23">
        <v>2155111776</v>
      </c>
      <c r="R309" s="24"/>
      <c r="S309" s="23">
        <v>208874184</v>
      </c>
      <c r="T309" s="26"/>
      <c r="U309" s="26"/>
      <c r="V309" s="26"/>
      <c r="W309" s="25">
        <v>85.308218999999994</v>
      </c>
      <c r="X309" s="27"/>
      <c r="Y309" s="27"/>
      <c r="AA309" s="19">
        <f t="shared" si="49"/>
        <v>15.565506773333333</v>
      </c>
      <c r="AB309" s="20">
        <f t="shared" si="50"/>
        <v>18.56695315582401</v>
      </c>
      <c r="AC309" s="20">
        <f t="shared" si="51"/>
        <v>17.137833447268171</v>
      </c>
      <c r="AD309" s="21"/>
      <c r="AE309" s="20">
        <f t="shared" si="56"/>
        <v>1.4077442528512834</v>
      </c>
      <c r="AF309" s="20">
        <f t="shared" si="53"/>
        <v>18.56695315582401</v>
      </c>
      <c r="AG309" s="22">
        <v>125751705</v>
      </c>
      <c r="AH309" s="23">
        <v>2334826016</v>
      </c>
      <c r="AI309" s="23">
        <v>2155111776</v>
      </c>
      <c r="AJ309" s="24"/>
      <c r="AK309" s="23">
        <v>177026240</v>
      </c>
      <c r="AL309" s="26"/>
      <c r="AM309" s="26"/>
      <c r="AN309" s="26"/>
      <c r="AO309" s="25">
        <v>84.221509999999995</v>
      </c>
      <c r="AP309" s="27"/>
      <c r="AQ309" s="27"/>
      <c r="AS309" s="28">
        <f t="shared" si="54"/>
        <v>1.2444133308517458E-2</v>
      </c>
      <c r="AT309" s="28"/>
      <c r="AV309" s="30"/>
      <c r="AW309" s="30"/>
      <c r="AX309" s="30"/>
      <c r="AY309" s="29"/>
      <c r="BA309" s="30"/>
      <c r="BB309" s="30"/>
      <c r="BC309" s="30"/>
      <c r="BD309" s="29"/>
    </row>
    <row r="310" spans="1:56" outlineLevel="1" x14ac:dyDescent="0.15">
      <c r="A310" s="31"/>
      <c r="B310" s="46" t="s">
        <v>383</v>
      </c>
      <c r="C310" s="47" t="s">
        <v>230</v>
      </c>
      <c r="D310" s="46">
        <v>125751705</v>
      </c>
      <c r="E310" s="48">
        <v>18</v>
      </c>
      <c r="F310" s="47">
        <v>1500</v>
      </c>
      <c r="G310" s="47">
        <v>10</v>
      </c>
      <c r="I310" s="49">
        <f t="shared" si="44"/>
        <v>16.469735359999998</v>
      </c>
      <c r="J310" s="50">
        <f t="shared" si="45"/>
        <v>19.64554121950076</v>
      </c>
      <c r="K310" s="50">
        <f t="shared" si="46"/>
        <v>17.137833447268171</v>
      </c>
      <c r="L310" s="51"/>
      <c r="M310" s="50">
        <f t="shared" si="55"/>
        <v>2.4858551858203435</v>
      </c>
      <c r="N310" s="50">
        <f t="shared" si="48"/>
        <v>19.64554121950076</v>
      </c>
      <c r="O310" s="52">
        <v>125751705</v>
      </c>
      <c r="P310" s="53">
        <v>2470460304</v>
      </c>
      <c r="Q310" s="53">
        <v>2155111776</v>
      </c>
      <c r="R310" s="54"/>
      <c r="S310" s="53">
        <v>312600528</v>
      </c>
      <c r="T310" s="56"/>
      <c r="U310" s="56"/>
      <c r="V310" s="56"/>
      <c r="W310" s="55">
        <v>90.237493999999998</v>
      </c>
      <c r="X310" s="57"/>
      <c r="Y310" s="57"/>
      <c r="AA310" s="49">
        <f t="shared" si="49"/>
        <v>16.178838453333334</v>
      </c>
      <c r="AB310" s="50">
        <f t="shared" si="50"/>
        <v>19.298551602143288</v>
      </c>
      <c r="AC310" s="50">
        <f t="shared" si="51"/>
        <v>17.137833447268171</v>
      </c>
      <c r="AD310" s="51"/>
      <c r="AE310" s="50">
        <f t="shared" si="56"/>
        <v>2.1393426991705597</v>
      </c>
      <c r="AF310" s="50">
        <f t="shared" si="53"/>
        <v>19.298551602143288</v>
      </c>
      <c r="AG310" s="52">
        <v>125751705</v>
      </c>
      <c r="AH310" s="53">
        <v>2426825768</v>
      </c>
      <c r="AI310" s="53">
        <v>2155111776</v>
      </c>
      <c r="AJ310" s="54"/>
      <c r="AK310" s="53">
        <v>269025992</v>
      </c>
      <c r="AL310" s="56"/>
      <c r="AM310" s="56"/>
      <c r="AN310" s="56"/>
      <c r="AO310" s="55">
        <v>88.808638000000002</v>
      </c>
      <c r="AP310" s="57"/>
      <c r="AQ310" s="57"/>
      <c r="AS310" s="58">
        <f t="shared" si="54"/>
        <v>1.5684969718173458E-2</v>
      </c>
      <c r="AT310" s="58"/>
      <c r="AV310" s="60"/>
      <c r="AW310" s="60"/>
      <c r="AX310" s="60"/>
      <c r="AY310" s="59"/>
      <c r="BA310" s="60"/>
      <c r="BB310" s="60"/>
      <c r="BC310" s="60"/>
      <c r="BD310" s="59"/>
    </row>
    <row r="311" spans="1:56" collapsed="1" x14ac:dyDescent="0.15">
      <c r="A311" s="16"/>
      <c r="B311" s="16" t="s">
        <v>386</v>
      </c>
      <c r="C311" s="17" t="s">
        <v>225</v>
      </c>
      <c r="D311" s="16">
        <v>126093865</v>
      </c>
      <c r="E311" s="18">
        <v>18</v>
      </c>
      <c r="F311" s="17">
        <v>1500</v>
      </c>
      <c r="G311" s="17">
        <v>10</v>
      </c>
      <c r="I311" s="19">
        <f t="shared" si="44"/>
        <v>15.131424426666666</v>
      </c>
      <c r="J311" s="20">
        <f t="shared" si="45"/>
        <v>18.000191079875297</v>
      </c>
      <c r="K311" s="20">
        <f t="shared" si="46"/>
        <v>17.910893983620852</v>
      </c>
      <c r="L311" s="21"/>
      <c r="M311" s="20">
        <f t="shared" si="55"/>
        <v>6.7598974779621512E-2</v>
      </c>
      <c r="N311" s="20">
        <f t="shared" si="48"/>
        <v>18.000191079875297</v>
      </c>
      <c r="O311" s="22">
        <v>126093865</v>
      </c>
      <c r="P311" s="23">
        <v>2269713664</v>
      </c>
      <c r="Q311" s="23">
        <v>2258453848</v>
      </c>
      <c r="R311" s="24"/>
      <c r="S311" s="23">
        <v>8523816</v>
      </c>
      <c r="T311" s="26"/>
      <c r="U311" s="26"/>
      <c r="V311" s="26"/>
      <c r="W311" s="25">
        <v>71.803520000000006</v>
      </c>
      <c r="X311" s="27"/>
      <c r="Y311" s="27"/>
      <c r="AA311" s="19">
        <f t="shared" si="49"/>
        <v>15.109847093333334</v>
      </c>
      <c r="AB311" s="20">
        <f t="shared" si="50"/>
        <v>17.974522900063377</v>
      </c>
      <c r="AC311" s="20">
        <f t="shared" si="51"/>
        <v>17.910893983620852</v>
      </c>
      <c r="AD311" s="21"/>
      <c r="AE311" s="20">
        <f t="shared" si="56"/>
        <v>4.2311463765505167E-2</v>
      </c>
      <c r="AF311" s="20">
        <f t="shared" si="53"/>
        <v>17.974522900063377</v>
      </c>
      <c r="AG311" s="22">
        <v>126093865</v>
      </c>
      <c r="AH311" s="23">
        <v>2266477064</v>
      </c>
      <c r="AI311" s="23">
        <v>2258453848</v>
      </c>
      <c r="AJ311" s="24"/>
      <c r="AK311" s="23">
        <v>5335216</v>
      </c>
      <c r="AL311" s="26"/>
      <c r="AM311" s="26"/>
      <c r="AN311" s="26"/>
      <c r="AO311" s="25">
        <v>71.007896000000002</v>
      </c>
      <c r="AP311" s="27"/>
      <c r="AQ311" s="27"/>
      <c r="AS311" s="28">
        <f t="shared" si="54"/>
        <v>1.4209469010322273E-3</v>
      </c>
      <c r="AT311" s="28">
        <f t="array" ref="AT311">AVERAGE(AI311:AI316/AH311:AH316) - AVERAGE(Q311:Q316/P311:P316)</f>
        <v>8.8951288815040108E-3</v>
      </c>
      <c r="AV311" s="30"/>
      <c r="AW311" s="30"/>
      <c r="AX311" s="30"/>
      <c r="AY311" s="29">
        <f>IF( OR(ISBLANK(S311:S316),ISBLANK(AK311:AK316), ISBLANK(W311:W316),ISBLANK(AO311:AO316)), "·", bdRateExtend( S311:S316,W311:W316, AK311:AK316,AO311:AO316))</f>
        <v>-9.5308966388442329E-2</v>
      </c>
      <c r="BA311" s="30"/>
      <c r="BB311" s="30"/>
      <c r="BC311" s="30"/>
      <c r="BD311" s="29">
        <f>IF( OR(ISBLANK(P311:P316),ISBLANK(AH311:AH316), ISBLANK(W311:W316),ISBLANK(AO311:AO316)), "·", bdRateExtend( P311:P316,W311:W316, AH311:AH316,AO311:AO316))</f>
        <v>-3.9835319528529478E-3</v>
      </c>
    </row>
    <row r="312" spans="1:56" outlineLevel="1" x14ac:dyDescent="0.15">
      <c r="A312" s="31"/>
      <c r="B312" s="31" t="s">
        <v>386</v>
      </c>
      <c r="C312" s="32" t="s">
        <v>226</v>
      </c>
      <c r="D312" s="31">
        <v>126093865</v>
      </c>
      <c r="E312" s="33">
        <v>18</v>
      </c>
      <c r="F312" s="32">
        <v>1500</v>
      </c>
      <c r="G312" s="32">
        <v>10</v>
      </c>
      <c r="I312" s="34">
        <f t="shared" si="44"/>
        <v>15.20428448</v>
      </c>
      <c r="J312" s="35">
        <f t="shared" si="45"/>
        <v>18.086864670220077</v>
      </c>
      <c r="K312" s="35">
        <f t="shared" si="46"/>
        <v>17.910893983620852</v>
      </c>
      <c r="L312" s="36"/>
      <c r="M312" s="35">
        <f t="shared" si="55"/>
        <v>0.15417739792495058</v>
      </c>
      <c r="N312" s="35">
        <f t="shared" si="48"/>
        <v>18.086864670220077</v>
      </c>
      <c r="O312" s="37">
        <v>126093865</v>
      </c>
      <c r="P312" s="38">
        <v>2280642672</v>
      </c>
      <c r="Q312" s="38">
        <v>2258453848</v>
      </c>
      <c r="R312" s="39"/>
      <c r="S312" s="38">
        <v>19440824</v>
      </c>
      <c r="T312" s="41"/>
      <c r="U312" s="41"/>
      <c r="V312" s="41"/>
      <c r="W312" s="40">
        <v>73.917214999999999</v>
      </c>
      <c r="X312" s="42"/>
      <c r="Y312" s="42"/>
      <c r="AA312" s="34">
        <f t="shared" si="49"/>
        <v>15.161703839999999</v>
      </c>
      <c r="AB312" s="35">
        <f t="shared" si="50"/>
        <v>18.036211166974699</v>
      </c>
      <c r="AC312" s="35">
        <f t="shared" si="51"/>
        <v>17.910893983620852</v>
      </c>
      <c r="AD312" s="36"/>
      <c r="AE312" s="35">
        <f t="shared" si="56"/>
        <v>0.10399973067682555</v>
      </c>
      <c r="AF312" s="35">
        <f t="shared" si="53"/>
        <v>18.036211166974699</v>
      </c>
      <c r="AG312" s="37">
        <v>126093865</v>
      </c>
      <c r="AH312" s="38">
        <v>2274255576</v>
      </c>
      <c r="AI312" s="38">
        <v>2258453848</v>
      </c>
      <c r="AJ312" s="39"/>
      <c r="AK312" s="38">
        <v>13113728</v>
      </c>
      <c r="AL312" s="41"/>
      <c r="AM312" s="41"/>
      <c r="AN312" s="41"/>
      <c r="AO312" s="40">
        <v>73.120196000000007</v>
      </c>
      <c r="AP312" s="42"/>
      <c r="AQ312" s="42"/>
      <c r="AS312" s="43">
        <f t="shared" si="54"/>
        <v>2.7811098917212007E-3</v>
      </c>
      <c r="AT312" s="43"/>
      <c r="AV312" s="45"/>
      <c r="AW312" s="45"/>
      <c r="AX312" s="45"/>
      <c r="AY312" s="44"/>
      <c r="BA312" s="45"/>
      <c r="BB312" s="45"/>
      <c r="BC312" s="45"/>
      <c r="BD312" s="44"/>
    </row>
    <row r="313" spans="1:56" outlineLevel="1" x14ac:dyDescent="0.15">
      <c r="A313" s="16"/>
      <c r="B313" s="16" t="s">
        <v>386</v>
      </c>
      <c r="C313" s="17" t="s">
        <v>227</v>
      </c>
      <c r="D313" s="16">
        <v>126093865</v>
      </c>
      <c r="E313" s="18">
        <v>18</v>
      </c>
      <c r="F313" s="17">
        <v>1500</v>
      </c>
      <c r="G313" s="17">
        <v>10</v>
      </c>
      <c r="I313" s="19">
        <f t="shared" si="44"/>
        <v>15.392197119999999</v>
      </c>
      <c r="J313" s="20">
        <f t="shared" si="45"/>
        <v>18.31040366634808</v>
      </c>
      <c r="K313" s="20">
        <f t="shared" si="46"/>
        <v>17.910893983620852</v>
      </c>
      <c r="L313" s="21"/>
      <c r="M313" s="20">
        <f t="shared" ref="M313:M340" si="57">IF(ISBLANK(Q313),"·",S313/D313)</f>
        <v>0.3777163940529541</v>
      </c>
      <c r="N313" s="20">
        <f t="shared" si="48"/>
        <v>18.31040366634808</v>
      </c>
      <c r="O313" s="22">
        <v>126093865</v>
      </c>
      <c r="P313" s="23">
        <v>2308829568</v>
      </c>
      <c r="Q313" s="23">
        <v>2258453848</v>
      </c>
      <c r="R313" s="24"/>
      <c r="S313" s="23">
        <v>47627720</v>
      </c>
      <c r="T313" s="26"/>
      <c r="U313" s="26"/>
      <c r="V313" s="26"/>
      <c r="W313" s="25">
        <v>76.808803999999995</v>
      </c>
      <c r="X313" s="27"/>
      <c r="Y313" s="27"/>
      <c r="AA313" s="19">
        <f t="shared" si="49"/>
        <v>15.294494666666665</v>
      </c>
      <c r="AB313" s="20">
        <f t="shared" si="50"/>
        <v>18.194177805557789</v>
      </c>
      <c r="AC313" s="20">
        <f t="shared" si="51"/>
        <v>17.910893983620852</v>
      </c>
      <c r="AD313" s="21"/>
      <c r="AE313" s="20">
        <f t="shared" ref="AE313:AE340" si="58">IF(ISBLANK(AI313),"·",AK313/D313)</f>
        <v>0.26196636925991601</v>
      </c>
      <c r="AF313" s="20">
        <f t="shared" si="53"/>
        <v>18.194177805557789</v>
      </c>
      <c r="AG313" s="22">
        <v>126093865</v>
      </c>
      <c r="AH313" s="23">
        <v>2294174200</v>
      </c>
      <c r="AI313" s="23">
        <v>2258453848</v>
      </c>
      <c r="AJ313" s="24"/>
      <c r="AK313" s="23">
        <v>33032352</v>
      </c>
      <c r="AL313" s="26"/>
      <c r="AM313" s="26"/>
      <c r="AN313" s="26"/>
      <c r="AO313" s="25">
        <v>75.950559999999996</v>
      </c>
      <c r="AP313" s="27"/>
      <c r="AQ313" s="27"/>
      <c r="AS313" s="28">
        <f t="shared" si="54"/>
        <v>6.2487000941047199E-3</v>
      </c>
      <c r="AT313" s="28"/>
      <c r="AV313" s="30"/>
      <c r="AW313" s="30"/>
      <c r="AX313" s="30"/>
      <c r="AY313" s="29"/>
      <c r="BA313" s="30"/>
      <c r="BB313" s="30"/>
      <c r="BC313" s="30"/>
      <c r="BD313" s="29"/>
    </row>
    <row r="314" spans="1:56" outlineLevel="1" x14ac:dyDescent="0.15">
      <c r="A314" s="31"/>
      <c r="B314" s="31" t="s">
        <v>386</v>
      </c>
      <c r="C314" s="32" t="s">
        <v>228</v>
      </c>
      <c r="D314" s="31">
        <v>126093865</v>
      </c>
      <c r="E314" s="33">
        <v>18</v>
      </c>
      <c r="F314" s="32">
        <v>1500</v>
      </c>
      <c r="G314" s="32">
        <v>10</v>
      </c>
      <c r="I314" s="34">
        <f t="shared" si="44"/>
        <v>15.769022933333334</v>
      </c>
      <c r="J314" s="35">
        <f t="shared" si="45"/>
        <v>18.758671883045221</v>
      </c>
      <c r="K314" s="35">
        <f t="shared" si="46"/>
        <v>17.910893983620852</v>
      </c>
      <c r="L314" s="36"/>
      <c r="M314" s="35">
        <f t="shared" si="57"/>
        <v>0.82598461075009477</v>
      </c>
      <c r="N314" s="35">
        <f t="shared" si="48"/>
        <v>18.758671883045221</v>
      </c>
      <c r="O314" s="37">
        <v>126093865</v>
      </c>
      <c r="P314" s="38">
        <v>2365353440</v>
      </c>
      <c r="Q314" s="38">
        <v>2258453848</v>
      </c>
      <c r="R314" s="39"/>
      <c r="S314" s="38">
        <v>104151592</v>
      </c>
      <c r="T314" s="41"/>
      <c r="U314" s="41"/>
      <c r="V314" s="41"/>
      <c r="W314" s="40">
        <v>80.362126000000004</v>
      </c>
      <c r="X314" s="42"/>
      <c r="Y314" s="42"/>
      <c r="AA314" s="34">
        <f t="shared" si="49"/>
        <v>15.578544373333333</v>
      </c>
      <c r="AB314" s="35">
        <f t="shared" si="50"/>
        <v>18.532080494162027</v>
      </c>
      <c r="AC314" s="35">
        <f t="shared" si="51"/>
        <v>17.910893983620852</v>
      </c>
      <c r="AD314" s="36"/>
      <c r="AE314" s="35">
        <f t="shared" si="58"/>
        <v>0.59986905786415545</v>
      </c>
      <c r="AF314" s="35">
        <f t="shared" si="53"/>
        <v>18.532080494162027</v>
      </c>
      <c r="AG314" s="37">
        <v>126093865</v>
      </c>
      <c r="AH314" s="38">
        <v>2336781656</v>
      </c>
      <c r="AI314" s="38">
        <v>2258453848</v>
      </c>
      <c r="AJ314" s="39"/>
      <c r="AK314" s="38">
        <v>75639808</v>
      </c>
      <c r="AL314" s="41"/>
      <c r="AM314" s="41"/>
      <c r="AN314" s="41"/>
      <c r="AO314" s="40">
        <v>79.282933999999997</v>
      </c>
      <c r="AP314" s="42"/>
      <c r="AQ314" s="42"/>
      <c r="AS314" s="43">
        <f t="shared" si="54"/>
        <v>1.1674395438460827E-2</v>
      </c>
      <c r="AT314" s="43"/>
      <c r="AV314" s="45"/>
      <c r="AW314" s="45"/>
      <c r="AX314" s="45"/>
      <c r="AY314" s="44"/>
      <c r="BA314" s="45"/>
      <c r="BB314" s="45"/>
      <c r="BC314" s="45"/>
      <c r="BD314" s="44"/>
    </row>
    <row r="315" spans="1:56" outlineLevel="1" x14ac:dyDescent="0.15">
      <c r="A315" s="16"/>
      <c r="B315" s="16" t="s">
        <v>386</v>
      </c>
      <c r="C315" s="17" t="s">
        <v>229</v>
      </c>
      <c r="D315" s="16">
        <v>126093865</v>
      </c>
      <c r="E315" s="18">
        <v>18</v>
      </c>
      <c r="F315" s="17">
        <v>1500</v>
      </c>
      <c r="G315" s="17">
        <v>10</v>
      </c>
      <c r="I315" s="19">
        <f t="shared" si="44"/>
        <v>16.36316304</v>
      </c>
      <c r="J315" s="20">
        <f t="shared" si="45"/>
        <v>19.46545500845739</v>
      </c>
      <c r="K315" s="20">
        <f t="shared" si="46"/>
        <v>17.910893983620852</v>
      </c>
      <c r="L315" s="21"/>
      <c r="M315" s="20">
        <f t="shared" si="57"/>
        <v>1.5327677361622629</v>
      </c>
      <c r="N315" s="20">
        <f t="shared" si="48"/>
        <v>19.46545500845739</v>
      </c>
      <c r="O315" s="22">
        <v>126093865</v>
      </c>
      <c r="P315" s="23">
        <v>2454474456</v>
      </c>
      <c r="Q315" s="23">
        <v>2258453848</v>
      </c>
      <c r="R315" s="24"/>
      <c r="S315" s="23">
        <v>193272608</v>
      </c>
      <c r="T315" s="26"/>
      <c r="U315" s="26"/>
      <c r="V315" s="26"/>
      <c r="W315" s="25">
        <v>84.862250000000003</v>
      </c>
      <c r="X315" s="27"/>
      <c r="Y315" s="27"/>
      <c r="AA315" s="19">
        <f t="shared" si="49"/>
        <v>16.114609546666667</v>
      </c>
      <c r="AB315" s="20">
        <f t="shared" si="50"/>
        <v>19.16977826002875</v>
      </c>
      <c r="AC315" s="20">
        <f t="shared" si="51"/>
        <v>17.910893983620852</v>
      </c>
      <c r="AD315" s="21"/>
      <c r="AE315" s="20">
        <f t="shared" si="58"/>
        <v>1.237566823730877</v>
      </c>
      <c r="AF315" s="20">
        <f t="shared" si="53"/>
        <v>19.16977826002875</v>
      </c>
      <c r="AG315" s="22">
        <v>126093865</v>
      </c>
      <c r="AH315" s="23">
        <v>2417191432</v>
      </c>
      <c r="AI315" s="23">
        <v>2258453848</v>
      </c>
      <c r="AJ315" s="24"/>
      <c r="AK315" s="23">
        <v>156049584</v>
      </c>
      <c r="AL315" s="26"/>
      <c r="AM315" s="26"/>
      <c r="AN315" s="26"/>
      <c r="AO315" s="25">
        <v>83.767782999999994</v>
      </c>
      <c r="AP315" s="27"/>
      <c r="AQ315" s="27"/>
      <c r="AS315" s="28">
        <f t="shared" si="54"/>
        <v>1.4192300158097804E-2</v>
      </c>
      <c r="AT315" s="28"/>
      <c r="AV315" s="30"/>
      <c r="AW315" s="30"/>
      <c r="AX315" s="30"/>
      <c r="AY315" s="29"/>
      <c r="BA315" s="30"/>
      <c r="BB315" s="30"/>
      <c r="BC315" s="30"/>
      <c r="BD315" s="29"/>
    </row>
    <row r="316" spans="1:56" outlineLevel="1" x14ac:dyDescent="0.15">
      <c r="A316" s="31"/>
      <c r="B316" s="46" t="s">
        <v>386</v>
      </c>
      <c r="C316" s="47" t="s">
        <v>230</v>
      </c>
      <c r="D316" s="46">
        <v>126093865</v>
      </c>
      <c r="E316" s="48">
        <v>18</v>
      </c>
      <c r="F316" s="47">
        <v>1500</v>
      </c>
      <c r="G316" s="47">
        <v>10</v>
      </c>
      <c r="I316" s="49">
        <f t="shared" si="44"/>
        <v>17.109574506666668</v>
      </c>
      <c r="J316" s="50">
        <f t="shared" si="45"/>
        <v>20.353378619966957</v>
      </c>
      <c r="K316" s="50">
        <f t="shared" si="46"/>
        <v>17.910893983620852</v>
      </c>
      <c r="L316" s="51"/>
      <c r="M316" s="50">
        <f t="shared" si="57"/>
        <v>2.4206913476718315</v>
      </c>
      <c r="N316" s="50">
        <f t="shared" si="48"/>
        <v>20.353378619966957</v>
      </c>
      <c r="O316" s="52">
        <v>126093865</v>
      </c>
      <c r="P316" s="53">
        <v>2566436176</v>
      </c>
      <c r="Q316" s="53">
        <v>2258453848</v>
      </c>
      <c r="R316" s="54"/>
      <c r="S316" s="53">
        <v>305234328</v>
      </c>
      <c r="T316" s="56"/>
      <c r="U316" s="56"/>
      <c r="V316" s="56"/>
      <c r="W316" s="55">
        <v>89.949437000000003</v>
      </c>
      <c r="X316" s="57"/>
      <c r="Y316" s="57"/>
      <c r="AA316" s="49">
        <f t="shared" si="49"/>
        <v>16.784313653333331</v>
      </c>
      <c r="AB316" s="50">
        <f t="shared" si="50"/>
        <v>19.966451563682341</v>
      </c>
      <c r="AC316" s="50">
        <f t="shared" si="51"/>
        <v>17.910893983620852</v>
      </c>
      <c r="AD316" s="51"/>
      <c r="AE316" s="50">
        <f t="shared" si="58"/>
        <v>2.0342401273844688</v>
      </c>
      <c r="AF316" s="50">
        <f t="shared" si="53"/>
        <v>19.966451563682341</v>
      </c>
      <c r="AG316" s="52">
        <v>126093865</v>
      </c>
      <c r="AH316" s="53">
        <v>2517647048</v>
      </c>
      <c r="AI316" s="53">
        <v>2258453848</v>
      </c>
      <c r="AJ316" s="54"/>
      <c r="AK316" s="53">
        <v>256505200</v>
      </c>
      <c r="AL316" s="56"/>
      <c r="AM316" s="56"/>
      <c r="AN316" s="56"/>
      <c r="AO316" s="55">
        <v>88.473691000000002</v>
      </c>
      <c r="AP316" s="57"/>
      <c r="AQ316" s="57"/>
      <c r="AS316" s="58">
        <f t="shared" si="54"/>
        <v>1.7053320805607175E-2</v>
      </c>
      <c r="AT316" s="58"/>
      <c r="AV316" s="60"/>
      <c r="AW316" s="60"/>
      <c r="AX316" s="60"/>
      <c r="AY316" s="59"/>
      <c r="BA316" s="60"/>
      <c r="BB316" s="60"/>
      <c r="BC316" s="60"/>
      <c r="BD316" s="59"/>
    </row>
    <row r="317" spans="1:56" collapsed="1" x14ac:dyDescent="0.15">
      <c r="A317" s="16"/>
      <c r="B317" s="16" t="s">
        <v>389</v>
      </c>
      <c r="C317" s="17" t="s">
        <v>225</v>
      </c>
      <c r="D317" s="16">
        <v>2233793</v>
      </c>
      <c r="E317" s="18">
        <v>18</v>
      </c>
      <c r="F317" s="17">
        <v>74</v>
      </c>
      <c r="G317" s="17">
        <v>5</v>
      </c>
      <c r="I317" s="19">
        <f t="shared" si="44"/>
        <v>1.7087713513513512</v>
      </c>
      <c r="J317" s="20">
        <f t="shared" si="45"/>
        <v>11.321468014269898</v>
      </c>
      <c r="K317" s="20">
        <f t="shared" si="46"/>
        <v>11.263009598472195</v>
      </c>
      <c r="L317" s="21"/>
      <c r="M317" s="20">
        <f t="shared" si="57"/>
        <v>2.4005805372297254E-2</v>
      </c>
      <c r="N317" s="20">
        <f t="shared" si="48"/>
        <v>11.321468014269898</v>
      </c>
      <c r="O317" s="22">
        <v>2233793</v>
      </c>
      <c r="P317" s="23">
        <v>25289816</v>
      </c>
      <c r="Q317" s="23">
        <v>25159232</v>
      </c>
      <c r="R317" s="24"/>
      <c r="S317" s="23">
        <v>53624</v>
      </c>
      <c r="T317" s="26"/>
      <c r="U317" s="26"/>
      <c r="V317" s="26"/>
      <c r="W317" s="25">
        <v>77.267200000000003</v>
      </c>
      <c r="X317" s="27"/>
      <c r="Y317" s="27"/>
      <c r="AA317" s="19">
        <f t="shared" si="49"/>
        <v>1.707334054054054</v>
      </c>
      <c r="AB317" s="20">
        <f t="shared" si="50"/>
        <v>11.311945198145038</v>
      </c>
      <c r="AC317" s="20">
        <f t="shared" si="51"/>
        <v>11.263009598472195</v>
      </c>
      <c r="AD317" s="21"/>
      <c r="AE317" s="20">
        <f t="shared" si="58"/>
        <v>1.554306956821872E-2</v>
      </c>
      <c r="AF317" s="20">
        <f t="shared" si="53"/>
        <v>11.311945198145038</v>
      </c>
      <c r="AG317" s="22">
        <v>2233793</v>
      </c>
      <c r="AH317" s="23">
        <v>25268544</v>
      </c>
      <c r="AI317" s="23">
        <v>25159232</v>
      </c>
      <c r="AJ317" s="24"/>
      <c r="AK317" s="23">
        <v>34720</v>
      </c>
      <c r="AL317" s="26"/>
      <c r="AM317" s="26"/>
      <c r="AN317" s="26"/>
      <c r="AO317" s="25">
        <v>76.620064999999997</v>
      </c>
      <c r="AP317" s="27"/>
      <c r="AQ317" s="27"/>
      <c r="AS317" s="28">
        <f t="shared" si="54"/>
        <v>8.3749035949565176E-4</v>
      </c>
      <c r="AT317" s="28">
        <f t="array" ref="AT317">AVERAGE(AI317:AI322/AH317:AH322) - AVERAGE(Q317:Q322/P317:P322)</f>
        <v>6.2087446200399521E-3</v>
      </c>
      <c r="AV317" s="30"/>
      <c r="AW317" s="30"/>
      <c r="AX317" s="30"/>
      <c r="AY317" s="29">
        <f>IF( OR(ISBLANK(S317:S322),ISBLANK(AK317:AK322), ISBLANK(W317:W322),ISBLANK(AO317:AO322)), "·", bdRateExtend( S317:S322,W317:W322, AK317:AK322,AO317:AO322))</f>
        <v>-6.6801793561964695E-2</v>
      </c>
      <c r="BA317" s="30"/>
      <c r="BB317" s="30"/>
      <c r="BC317" s="30"/>
      <c r="BD317" s="29">
        <f>IF( OR(ISBLANK(P317:P322),ISBLANK(AH317:AH322), ISBLANK(W317:W322),ISBLANK(AO317:AO322)), "·", bdRateExtend( P317:P322,W317:W322, AH317:AH322,AO317:AO322))</f>
        <v>-1.6054394968050278E-3</v>
      </c>
    </row>
    <row r="318" spans="1:56" outlineLevel="1" x14ac:dyDescent="0.15">
      <c r="A318" s="31"/>
      <c r="B318" s="31" t="s">
        <v>389</v>
      </c>
      <c r="C318" s="32" t="s">
        <v>226</v>
      </c>
      <c r="D318" s="31">
        <v>2233793</v>
      </c>
      <c r="E318" s="33">
        <v>18</v>
      </c>
      <c r="F318" s="32">
        <v>74</v>
      </c>
      <c r="G318" s="32">
        <v>5</v>
      </c>
      <c r="I318" s="34">
        <f t="shared" si="44"/>
        <v>1.7134156756756758</v>
      </c>
      <c r="J318" s="35">
        <f t="shared" si="45"/>
        <v>11.352238994392049</v>
      </c>
      <c r="K318" s="35">
        <f t="shared" si="46"/>
        <v>11.263009598472195</v>
      </c>
      <c r="L318" s="36"/>
      <c r="M318" s="35">
        <f t="shared" si="57"/>
        <v>5.4511765414252795E-2</v>
      </c>
      <c r="N318" s="35">
        <f t="shared" si="48"/>
        <v>11.352238994392049</v>
      </c>
      <c r="O318" s="37">
        <v>2233793</v>
      </c>
      <c r="P318" s="38">
        <v>25358552</v>
      </c>
      <c r="Q318" s="38">
        <v>25159232</v>
      </c>
      <c r="R318" s="39"/>
      <c r="S318" s="38">
        <v>121768</v>
      </c>
      <c r="T318" s="41"/>
      <c r="U318" s="41"/>
      <c r="V318" s="41"/>
      <c r="W318" s="40">
        <v>78.989400000000003</v>
      </c>
      <c r="X318" s="42"/>
      <c r="Y318" s="42"/>
      <c r="AA318" s="34">
        <f t="shared" si="49"/>
        <v>1.7097081081081082</v>
      </c>
      <c r="AB318" s="35">
        <f t="shared" si="50"/>
        <v>11.327674498039881</v>
      </c>
      <c r="AC318" s="35">
        <f t="shared" si="51"/>
        <v>11.263009598472195</v>
      </c>
      <c r="AD318" s="36"/>
      <c r="AE318" s="35">
        <f t="shared" si="58"/>
        <v>3.1272369463061257E-2</v>
      </c>
      <c r="AF318" s="35">
        <f t="shared" si="53"/>
        <v>11.327674498039881</v>
      </c>
      <c r="AG318" s="37">
        <v>2233793</v>
      </c>
      <c r="AH318" s="38">
        <v>25303680</v>
      </c>
      <c r="AI318" s="38">
        <v>25159232</v>
      </c>
      <c r="AJ318" s="39"/>
      <c r="AK318" s="38">
        <v>69856</v>
      </c>
      <c r="AL318" s="41"/>
      <c r="AM318" s="41"/>
      <c r="AN318" s="41"/>
      <c r="AO318" s="40">
        <v>78.116000999999997</v>
      </c>
      <c r="AP318" s="42"/>
      <c r="AQ318" s="42"/>
      <c r="AS318" s="43">
        <f t="shared" si="54"/>
        <v>2.1514934675740394E-3</v>
      </c>
      <c r="AT318" s="43"/>
      <c r="AV318" s="45"/>
      <c r="AW318" s="45"/>
      <c r="AX318" s="45"/>
      <c r="AY318" s="44"/>
      <c r="BA318" s="45"/>
      <c r="BB318" s="45"/>
      <c r="BC318" s="45"/>
      <c r="BD318" s="44"/>
    </row>
    <row r="319" spans="1:56" outlineLevel="1" x14ac:dyDescent="0.15">
      <c r="A319" s="16"/>
      <c r="B319" s="16" t="s">
        <v>389</v>
      </c>
      <c r="C319" s="17" t="s">
        <v>227</v>
      </c>
      <c r="D319" s="16">
        <v>2233793</v>
      </c>
      <c r="E319" s="18">
        <v>18</v>
      </c>
      <c r="F319" s="17">
        <v>74</v>
      </c>
      <c r="G319" s="17">
        <v>5</v>
      </c>
      <c r="I319" s="19">
        <f t="shared" si="44"/>
        <v>1.7250427027027027</v>
      </c>
      <c r="J319" s="20">
        <f t="shared" si="45"/>
        <v>11.429273885270479</v>
      </c>
      <c r="K319" s="20">
        <f t="shared" si="46"/>
        <v>11.263009598472195</v>
      </c>
      <c r="L319" s="21"/>
      <c r="M319" s="20">
        <f t="shared" si="57"/>
        <v>0.13154665629268245</v>
      </c>
      <c r="N319" s="20">
        <f t="shared" si="48"/>
        <v>11.429273885270479</v>
      </c>
      <c r="O319" s="22">
        <v>2233793</v>
      </c>
      <c r="P319" s="23">
        <v>25530632</v>
      </c>
      <c r="Q319" s="23">
        <v>25159232</v>
      </c>
      <c r="R319" s="24"/>
      <c r="S319" s="23">
        <v>293848</v>
      </c>
      <c r="T319" s="26"/>
      <c r="U319" s="26"/>
      <c r="V319" s="26"/>
      <c r="W319" s="25">
        <v>81.454257999999996</v>
      </c>
      <c r="X319" s="27"/>
      <c r="Y319" s="27"/>
      <c r="AA319" s="19">
        <f t="shared" si="49"/>
        <v>1.7187529729729729</v>
      </c>
      <c r="AB319" s="20">
        <f t="shared" si="50"/>
        <v>11.387601268335965</v>
      </c>
      <c r="AC319" s="20">
        <f t="shared" si="51"/>
        <v>11.263009598472195</v>
      </c>
      <c r="AD319" s="21"/>
      <c r="AE319" s="20">
        <f t="shared" si="58"/>
        <v>9.1199139759145093E-2</v>
      </c>
      <c r="AF319" s="20">
        <f t="shared" si="53"/>
        <v>11.387601268335965</v>
      </c>
      <c r="AG319" s="22">
        <v>2233793</v>
      </c>
      <c r="AH319" s="23">
        <v>25437544</v>
      </c>
      <c r="AI319" s="23">
        <v>25159232</v>
      </c>
      <c r="AJ319" s="24"/>
      <c r="AK319" s="23">
        <v>203720</v>
      </c>
      <c r="AL319" s="26"/>
      <c r="AM319" s="26"/>
      <c r="AN319" s="26"/>
      <c r="AO319" s="25">
        <v>80.578345999999996</v>
      </c>
      <c r="AP319" s="27"/>
      <c r="AQ319" s="27"/>
      <c r="AS319" s="28">
        <f t="shared" si="54"/>
        <v>3.606237589813599E-3</v>
      </c>
      <c r="AT319" s="28"/>
      <c r="AV319" s="30"/>
      <c r="AW319" s="30"/>
      <c r="AX319" s="30"/>
      <c r="AY319" s="29"/>
      <c r="BA319" s="30"/>
      <c r="BB319" s="30"/>
      <c r="BC319" s="30"/>
      <c r="BD319" s="29"/>
    </row>
    <row r="320" spans="1:56" outlineLevel="1" x14ac:dyDescent="0.15">
      <c r="A320" s="31"/>
      <c r="B320" s="31" t="s">
        <v>389</v>
      </c>
      <c r="C320" s="32" t="s">
        <v>228</v>
      </c>
      <c r="D320" s="31">
        <v>2233793</v>
      </c>
      <c r="E320" s="33">
        <v>18</v>
      </c>
      <c r="F320" s="32">
        <v>74</v>
      </c>
      <c r="G320" s="32">
        <v>5</v>
      </c>
      <c r="I320" s="34">
        <f t="shared" si="44"/>
        <v>1.748967027027027</v>
      </c>
      <c r="J320" s="35">
        <f t="shared" si="45"/>
        <v>11.58778454404683</v>
      </c>
      <c r="K320" s="35">
        <f t="shared" si="46"/>
        <v>11.263009598472195</v>
      </c>
      <c r="L320" s="36"/>
      <c r="M320" s="35">
        <f t="shared" si="57"/>
        <v>0.29005731506903282</v>
      </c>
      <c r="N320" s="35">
        <f t="shared" si="48"/>
        <v>11.58778454404683</v>
      </c>
      <c r="O320" s="37">
        <v>2233793</v>
      </c>
      <c r="P320" s="38">
        <v>25884712</v>
      </c>
      <c r="Q320" s="38">
        <v>25159232</v>
      </c>
      <c r="R320" s="39"/>
      <c r="S320" s="38">
        <v>647928</v>
      </c>
      <c r="T320" s="41"/>
      <c r="U320" s="41"/>
      <c r="V320" s="41"/>
      <c r="W320" s="40">
        <v>84.145719999999997</v>
      </c>
      <c r="X320" s="42"/>
      <c r="Y320" s="42"/>
      <c r="AA320" s="34">
        <f t="shared" si="49"/>
        <v>1.7372702702702703</v>
      </c>
      <c r="AB320" s="35">
        <f t="shared" si="50"/>
        <v>11.510287658704275</v>
      </c>
      <c r="AC320" s="35">
        <f t="shared" si="51"/>
        <v>11.263009598472195</v>
      </c>
      <c r="AD320" s="36"/>
      <c r="AE320" s="35">
        <f t="shared" si="58"/>
        <v>0.21388553012745587</v>
      </c>
      <c r="AF320" s="35">
        <f t="shared" si="53"/>
        <v>11.510287658704275</v>
      </c>
      <c r="AG320" s="37">
        <v>2233793</v>
      </c>
      <c r="AH320" s="38">
        <v>25711600</v>
      </c>
      <c r="AI320" s="38">
        <v>25159232</v>
      </c>
      <c r="AJ320" s="39"/>
      <c r="AK320" s="38">
        <v>477776</v>
      </c>
      <c r="AL320" s="41"/>
      <c r="AM320" s="41"/>
      <c r="AN320" s="41"/>
      <c r="AO320" s="40">
        <v>83.179084000000003</v>
      </c>
      <c r="AP320" s="42"/>
      <c r="AQ320" s="42"/>
      <c r="AS320" s="43">
        <f t="shared" si="54"/>
        <v>6.5441329440205642E-3</v>
      </c>
      <c r="AT320" s="43"/>
      <c r="AV320" s="45"/>
      <c r="AW320" s="45"/>
      <c r="AX320" s="45"/>
      <c r="AY320" s="44"/>
      <c r="BA320" s="45"/>
      <c r="BB320" s="45"/>
      <c r="BC320" s="45"/>
      <c r="BD320" s="44"/>
    </row>
    <row r="321" spans="1:56" outlineLevel="1" x14ac:dyDescent="0.15">
      <c r="A321" s="16"/>
      <c r="B321" s="16" t="s">
        <v>389</v>
      </c>
      <c r="C321" s="17" t="s">
        <v>229</v>
      </c>
      <c r="D321" s="16">
        <v>2233793</v>
      </c>
      <c r="E321" s="18">
        <v>18</v>
      </c>
      <c r="F321" s="17">
        <v>74</v>
      </c>
      <c r="G321" s="17">
        <v>5</v>
      </c>
      <c r="I321" s="19">
        <f t="shared" si="44"/>
        <v>1.7988329729729731</v>
      </c>
      <c r="J321" s="20">
        <f t="shared" si="45"/>
        <v>11.918171468887225</v>
      </c>
      <c r="K321" s="20">
        <f t="shared" si="46"/>
        <v>11.263009598472195</v>
      </c>
      <c r="L321" s="21"/>
      <c r="M321" s="20">
        <f t="shared" si="57"/>
        <v>0.62044423990942754</v>
      </c>
      <c r="N321" s="20">
        <f t="shared" si="48"/>
        <v>11.918171468887225</v>
      </c>
      <c r="O321" s="22">
        <v>2233793</v>
      </c>
      <c r="P321" s="23">
        <v>26622728</v>
      </c>
      <c r="Q321" s="23">
        <v>25159232</v>
      </c>
      <c r="R321" s="24"/>
      <c r="S321" s="23">
        <v>1385944</v>
      </c>
      <c r="T321" s="26"/>
      <c r="U321" s="26"/>
      <c r="V321" s="26"/>
      <c r="W321" s="25">
        <v>87.756727999999995</v>
      </c>
      <c r="X321" s="27"/>
      <c r="Y321" s="27"/>
      <c r="AA321" s="19">
        <f t="shared" si="49"/>
        <v>1.7789286486486489</v>
      </c>
      <c r="AB321" s="20">
        <f t="shared" si="50"/>
        <v>11.786295328170516</v>
      </c>
      <c r="AC321" s="20">
        <f t="shared" si="51"/>
        <v>11.263009598472195</v>
      </c>
      <c r="AD321" s="21"/>
      <c r="AE321" s="20">
        <f t="shared" si="58"/>
        <v>0.48989319959369554</v>
      </c>
      <c r="AF321" s="20">
        <f t="shared" si="53"/>
        <v>11.786295328170516</v>
      </c>
      <c r="AG321" s="22">
        <v>2233793</v>
      </c>
      <c r="AH321" s="23">
        <v>26328144</v>
      </c>
      <c r="AI321" s="23">
        <v>25159232</v>
      </c>
      <c r="AJ321" s="24"/>
      <c r="AK321" s="23">
        <v>1094320</v>
      </c>
      <c r="AL321" s="26"/>
      <c r="AM321" s="26"/>
      <c r="AN321" s="26"/>
      <c r="AO321" s="25">
        <v>86.717675999999997</v>
      </c>
      <c r="AP321" s="27"/>
      <c r="AQ321" s="27"/>
      <c r="AS321" s="28">
        <f t="shared" si="54"/>
        <v>1.0573864361731911E-2</v>
      </c>
      <c r="AT321" s="28"/>
      <c r="AV321" s="30"/>
      <c r="AW321" s="30"/>
      <c r="AX321" s="30"/>
      <c r="AY321" s="29"/>
      <c r="BA321" s="30"/>
      <c r="BB321" s="30"/>
      <c r="BC321" s="30"/>
      <c r="BD321" s="29"/>
    </row>
    <row r="322" spans="1:56" outlineLevel="1" x14ac:dyDescent="0.15">
      <c r="A322" s="31"/>
      <c r="B322" s="46" t="s">
        <v>389</v>
      </c>
      <c r="C322" s="47" t="s">
        <v>230</v>
      </c>
      <c r="D322" s="46">
        <v>2233793</v>
      </c>
      <c r="E322" s="48">
        <v>18</v>
      </c>
      <c r="F322" s="47">
        <v>74</v>
      </c>
      <c r="G322" s="47">
        <v>5</v>
      </c>
      <c r="I322" s="49">
        <f t="shared" si="44"/>
        <v>1.8721994594594593</v>
      </c>
      <c r="J322" s="50">
        <f t="shared" si="45"/>
        <v>12.404261272194873</v>
      </c>
      <c r="K322" s="50">
        <f t="shared" si="46"/>
        <v>11.263009598472195</v>
      </c>
      <c r="L322" s="51"/>
      <c r="M322" s="50">
        <f t="shared" si="57"/>
        <v>1.1065340432170752</v>
      </c>
      <c r="N322" s="50">
        <f t="shared" si="48"/>
        <v>12.404261272194873</v>
      </c>
      <c r="O322" s="52">
        <v>2233793</v>
      </c>
      <c r="P322" s="53">
        <v>27708552</v>
      </c>
      <c r="Q322" s="53">
        <v>25159232</v>
      </c>
      <c r="R322" s="54"/>
      <c r="S322" s="53">
        <v>2471768</v>
      </c>
      <c r="T322" s="56"/>
      <c r="U322" s="56"/>
      <c r="V322" s="56"/>
      <c r="W322" s="55">
        <v>92.460325999999995</v>
      </c>
      <c r="X322" s="57"/>
      <c r="Y322" s="57"/>
      <c r="AA322" s="49">
        <f t="shared" si="49"/>
        <v>1.8446929729729731</v>
      </c>
      <c r="AB322" s="50">
        <f t="shared" si="50"/>
        <v>12.222016990831291</v>
      </c>
      <c r="AC322" s="50">
        <f t="shared" si="51"/>
        <v>11.263009598472195</v>
      </c>
      <c r="AD322" s="51"/>
      <c r="AE322" s="50">
        <f t="shared" si="58"/>
        <v>0.92561486225447032</v>
      </c>
      <c r="AF322" s="50">
        <f t="shared" si="53"/>
        <v>12.222016990831291</v>
      </c>
      <c r="AG322" s="52">
        <v>2233793</v>
      </c>
      <c r="AH322" s="53">
        <v>27301456</v>
      </c>
      <c r="AI322" s="53">
        <v>25159232</v>
      </c>
      <c r="AJ322" s="54"/>
      <c r="AK322" s="53">
        <v>2067632</v>
      </c>
      <c r="AL322" s="56"/>
      <c r="AM322" s="56"/>
      <c r="AN322" s="56"/>
      <c r="AO322" s="55">
        <v>91.022819999999996</v>
      </c>
      <c r="AP322" s="57"/>
      <c r="AQ322" s="57"/>
      <c r="AS322" s="58">
        <f t="shared" si="54"/>
        <v>1.3539248997604059E-2</v>
      </c>
      <c r="AT322" s="58"/>
      <c r="AV322" s="60"/>
      <c r="AW322" s="60"/>
      <c r="AX322" s="60"/>
      <c r="AY322" s="59"/>
      <c r="BA322" s="60"/>
      <c r="BB322" s="60"/>
      <c r="BC322" s="60"/>
      <c r="BD322" s="59"/>
    </row>
    <row r="323" spans="1:56" collapsed="1" x14ac:dyDescent="0.15">
      <c r="A323" s="16"/>
      <c r="B323" s="16" t="s">
        <v>392</v>
      </c>
      <c r="C323" s="17" t="s">
        <v>225</v>
      </c>
      <c r="D323" s="16">
        <v>2016190</v>
      </c>
      <c r="E323" s="18">
        <v>18</v>
      </c>
      <c r="F323" s="17">
        <v>74</v>
      </c>
      <c r="G323" s="17">
        <v>5</v>
      </c>
      <c r="I323" s="19">
        <f t="shared" si="44"/>
        <v>1.5049178378378378</v>
      </c>
      <c r="J323" s="20">
        <f t="shared" si="45"/>
        <v>11.046966803723855</v>
      </c>
      <c r="K323" s="20">
        <f t="shared" si="46"/>
        <v>10.980560363854597</v>
      </c>
      <c r="L323" s="21"/>
      <c r="M323" s="20">
        <f t="shared" si="57"/>
        <v>2.8235434160470987E-2</v>
      </c>
      <c r="N323" s="20">
        <f t="shared" si="48"/>
        <v>11.046966803723855</v>
      </c>
      <c r="O323" s="22">
        <v>2016190</v>
      </c>
      <c r="P323" s="23">
        <v>22272784</v>
      </c>
      <c r="Q323" s="23">
        <v>22138896</v>
      </c>
      <c r="R323" s="24"/>
      <c r="S323" s="23">
        <v>56928</v>
      </c>
      <c r="T323" s="26"/>
      <c r="U323" s="26"/>
      <c r="V323" s="26"/>
      <c r="W323" s="25">
        <v>77.831749000000002</v>
      </c>
      <c r="X323" s="27"/>
      <c r="Y323" s="27"/>
      <c r="AA323" s="19">
        <f t="shared" si="49"/>
        <v>1.5035421621621621</v>
      </c>
      <c r="AB323" s="20">
        <f t="shared" si="50"/>
        <v>11.036868549095075</v>
      </c>
      <c r="AC323" s="20">
        <f t="shared" si="51"/>
        <v>10.980560363854597</v>
      </c>
      <c r="AD323" s="21"/>
      <c r="AE323" s="20">
        <f t="shared" si="58"/>
        <v>1.9311672015038264E-2</v>
      </c>
      <c r="AF323" s="20">
        <f t="shared" si="53"/>
        <v>11.036868549095075</v>
      </c>
      <c r="AG323" s="22">
        <v>2016190</v>
      </c>
      <c r="AH323" s="23">
        <v>22252424</v>
      </c>
      <c r="AI323" s="23">
        <v>22138896</v>
      </c>
      <c r="AJ323" s="24"/>
      <c r="AK323" s="23">
        <v>38936</v>
      </c>
      <c r="AL323" s="26"/>
      <c r="AM323" s="26"/>
      <c r="AN323" s="26"/>
      <c r="AO323" s="25">
        <v>76.754650999999996</v>
      </c>
      <c r="AP323" s="27"/>
      <c r="AQ323" s="27"/>
      <c r="AS323" s="28">
        <f t="shared" si="54"/>
        <v>9.0945643878026505E-4</v>
      </c>
      <c r="AT323" s="28">
        <f t="array" ref="AT323">AVERAGE(AI323:AI328/AH323:AH328) - AVERAGE(Q323:Q328/P323:P328)</f>
        <v>3.2320083583430304E-3</v>
      </c>
      <c r="AV323" s="30"/>
      <c r="AW323" s="30"/>
      <c r="AX323" s="30"/>
      <c r="AY323" s="29">
        <f>IF( OR(ISBLANK(S323:S328),ISBLANK(AK323:AK328), ISBLANK(W323:W328),ISBLANK(AO323:AO328)), "·", bdRateExtend( S323:S328,W323:W328, AK323:AK328,AO323:AO328))</f>
        <v>9.0893079790133058E-3</v>
      </c>
      <c r="BA323" s="30"/>
      <c r="BB323" s="30"/>
      <c r="BC323" s="30"/>
      <c r="BD323" s="29">
        <f>IF( OR(ISBLANK(P323:P328),ISBLANK(AH323:AH328), ISBLANK(W323:W328),ISBLANK(AO323:AO328)), "·", bdRateExtend( P323:P328,W323:W328, AH323:AH328,AO323:AO328))</f>
        <v>3.3946252537075949E-4</v>
      </c>
    </row>
    <row r="324" spans="1:56" outlineLevel="1" x14ac:dyDescent="0.15">
      <c r="A324" s="31"/>
      <c r="B324" s="31" t="s">
        <v>392</v>
      </c>
      <c r="C324" s="32" t="s">
        <v>226</v>
      </c>
      <c r="D324" s="31">
        <v>2016190</v>
      </c>
      <c r="E324" s="33">
        <v>18</v>
      </c>
      <c r="F324" s="32">
        <v>74</v>
      </c>
      <c r="G324" s="32">
        <v>5</v>
      </c>
      <c r="I324" s="34">
        <f t="shared" si="44"/>
        <v>1.5093821621621621</v>
      </c>
      <c r="J324" s="35">
        <f t="shared" si="45"/>
        <v>11.079737524737252</v>
      </c>
      <c r="K324" s="35">
        <f t="shared" si="46"/>
        <v>10.980560363854597</v>
      </c>
      <c r="L324" s="36"/>
      <c r="M324" s="35">
        <f t="shared" si="57"/>
        <v>6.0712532053030718E-2</v>
      </c>
      <c r="N324" s="35">
        <f t="shared" si="48"/>
        <v>11.079737524737252</v>
      </c>
      <c r="O324" s="37">
        <v>2016190</v>
      </c>
      <c r="P324" s="38">
        <v>22338856</v>
      </c>
      <c r="Q324" s="38">
        <v>22138896</v>
      </c>
      <c r="R324" s="39"/>
      <c r="S324" s="38">
        <v>122408</v>
      </c>
      <c r="T324" s="41"/>
      <c r="U324" s="41"/>
      <c r="V324" s="41"/>
      <c r="W324" s="40">
        <v>80.146276999999998</v>
      </c>
      <c r="X324" s="42"/>
      <c r="Y324" s="42"/>
      <c r="AA324" s="34">
        <f t="shared" si="49"/>
        <v>1.5062372972972973</v>
      </c>
      <c r="AB324" s="35">
        <f t="shared" si="50"/>
        <v>11.05665239883146</v>
      </c>
      <c r="AC324" s="35">
        <f t="shared" si="51"/>
        <v>10.980560363854597</v>
      </c>
      <c r="AD324" s="36"/>
      <c r="AE324" s="35">
        <f t="shared" si="58"/>
        <v>3.9095521751422238E-2</v>
      </c>
      <c r="AF324" s="35">
        <f t="shared" si="53"/>
        <v>11.05665239883146</v>
      </c>
      <c r="AG324" s="37">
        <v>2016190</v>
      </c>
      <c r="AH324" s="38">
        <v>22292312</v>
      </c>
      <c r="AI324" s="38">
        <v>22138896</v>
      </c>
      <c r="AJ324" s="39"/>
      <c r="AK324" s="38">
        <v>78824</v>
      </c>
      <c r="AL324" s="41"/>
      <c r="AM324" s="41"/>
      <c r="AN324" s="41"/>
      <c r="AO324" s="40">
        <v>78.910968999999994</v>
      </c>
      <c r="AP324" s="42"/>
      <c r="AQ324" s="42"/>
      <c r="AS324" s="43">
        <f t="shared" si="54"/>
        <v>2.0692054932098802E-3</v>
      </c>
      <c r="AT324" s="43"/>
      <c r="AV324" s="45"/>
      <c r="AW324" s="45"/>
      <c r="AX324" s="45"/>
      <c r="AY324" s="44"/>
      <c r="BA324" s="45"/>
      <c r="BB324" s="45"/>
      <c r="BC324" s="45"/>
      <c r="BD324" s="44"/>
    </row>
    <row r="325" spans="1:56" outlineLevel="1" x14ac:dyDescent="0.15">
      <c r="A325" s="16"/>
      <c r="B325" s="16" t="s">
        <v>392</v>
      </c>
      <c r="C325" s="17" t="s">
        <v>227</v>
      </c>
      <c r="D325" s="16">
        <v>2016190</v>
      </c>
      <c r="E325" s="18">
        <v>18</v>
      </c>
      <c r="F325" s="17">
        <v>74</v>
      </c>
      <c r="G325" s="17">
        <v>5</v>
      </c>
      <c r="I325" s="19">
        <f t="shared" ref="I325:I340" si="59">IF(OR(ISBLANK(P325),ISBLANK(G325)),"·",P325*G325/F325/1000000)</f>
        <v>1.5184140540540541</v>
      </c>
      <c r="J325" s="20">
        <f t="shared" ref="J325:J340" si="60">IF(ISBLANK(P325),"·",P325/D325)</f>
        <v>11.146036831846205</v>
      </c>
      <c r="K325" s="20">
        <f t="shared" ref="K325:K340" si="61">IF(Q325="","·",Q325/D325)</f>
        <v>10.980560363854597</v>
      </c>
      <c r="L325" s="21"/>
      <c r="M325" s="20">
        <f t="shared" si="57"/>
        <v>0.12701183916198375</v>
      </c>
      <c r="N325" s="20">
        <f t="shared" ref="N325:N340" si="62">IF(ISBLANK(P325),"·",P325/O325)</f>
        <v>11.146036831846205</v>
      </c>
      <c r="O325" s="22">
        <v>2016190</v>
      </c>
      <c r="P325" s="23">
        <v>22472528</v>
      </c>
      <c r="Q325" s="23">
        <v>22138896</v>
      </c>
      <c r="R325" s="24"/>
      <c r="S325" s="23">
        <v>256080</v>
      </c>
      <c r="T325" s="26"/>
      <c r="U325" s="26"/>
      <c r="V325" s="26"/>
      <c r="W325" s="25">
        <v>83.657208999999995</v>
      </c>
      <c r="X325" s="27"/>
      <c r="Y325" s="27"/>
      <c r="AA325" s="19">
        <f t="shared" ref="AA325:AA340" si="63">IF(OR(ISBLANK(AH325),ISBLANK(G325)),"·",AH325*G325/F325/1000000)</f>
        <v>1.5147345945945945</v>
      </c>
      <c r="AB325" s="20">
        <f t="shared" ref="AB325:AB340" si="64">IF(ISBLANK(AH325),"·",AH325/D325)</f>
        <v>11.119027472609229</v>
      </c>
      <c r="AC325" s="20">
        <f t="shared" ref="AC325:AC340" si="65">IF(AI325="","·",AI325/D325)</f>
        <v>10.980560363854597</v>
      </c>
      <c r="AD325" s="21"/>
      <c r="AE325" s="20">
        <f t="shared" si="58"/>
        <v>0.1014705955291912</v>
      </c>
      <c r="AF325" s="20">
        <f t="shared" ref="AF325:AF340" si="66">IF(ISBLANK(AH325),"·",AH325/AG325)</f>
        <v>11.119027472609229</v>
      </c>
      <c r="AG325" s="22">
        <v>2016190</v>
      </c>
      <c r="AH325" s="23">
        <v>22418072</v>
      </c>
      <c r="AI325" s="23">
        <v>22138896</v>
      </c>
      <c r="AJ325" s="24"/>
      <c r="AK325" s="23">
        <v>204584</v>
      </c>
      <c r="AL325" s="26"/>
      <c r="AM325" s="26"/>
      <c r="AN325" s="26"/>
      <c r="AO325" s="25">
        <v>82.423286000000004</v>
      </c>
      <c r="AP325" s="27"/>
      <c r="AQ325" s="27"/>
      <c r="AS325" s="28">
        <f t="shared" ref="AS325:AS340" si="67">(AI325/AH325) - (Q325/P325)</f>
        <v>2.393048540169973E-3</v>
      </c>
      <c r="AT325" s="28"/>
      <c r="AV325" s="30"/>
      <c r="AW325" s="30"/>
      <c r="AX325" s="30"/>
      <c r="AY325" s="29"/>
      <c r="BA325" s="30"/>
      <c r="BB325" s="30"/>
      <c r="BC325" s="30"/>
      <c r="BD325" s="29"/>
    </row>
    <row r="326" spans="1:56" outlineLevel="1" x14ac:dyDescent="0.15">
      <c r="A326" s="31"/>
      <c r="B326" s="31" t="s">
        <v>392</v>
      </c>
      <c r="C326" s="32" t="s">
        <v>228</v>
      </c>
      <c r="D326" s="31">
        <v>2016190</v>
      </c>
      <c r="E326" s="33">
        <v>18</v>
      </c>
      <c r="F326" s="32">
        <v>74</v>
      </c>
      <c r="G326" s="32">
        <v>5</v>
      </c>
      <c r="I326" s="34">
        <f t="shared" si="59"/>
        <v>1.532265945945946</v>
      </c>
      <c r="J326" s="35">
        <f t="shared" si="60"/>
        <v>11.247717725015995</v>
      </c>
      <c r="K326" s="35">
        <f t="shared" si="61"/>
        <v>10.980560363854597</v>
      </c>
      <c r="L326" s="36"/>
      <c r="M326" s="35">
        <f t="shared" si="57"/>
        <v>0.22869273233177428</v>
      </c>
      <c r="N326" s="35">
        <f t="shared" si="62"/>
        <v>11.247717725015995</v>
      </c>
      <c r="O326" s="37">
        <v>2016190</v>
      </c>
      <c r="P326" s="38">
        <v>22677536</v>
      </c>
      <c r="Q326" s="38">
        <v>22138896</v>
      </c>
      <c r="R326" s="39"/>
      <c r="S326" s="38">
        <v>461088</v>
      </c>
      <c r="T326" s="41"/>
      <c r="U326" s="41"/>
      <c r="V326" s="41"/>
      <c r="W326" s="40">
        <v>87.325419999999994</v>
      </c>
      <c r="X326" s="42"/>
      <c r="Y326" s="42"/>
      <c r="AA326" s="34">
        <f t="shared" si="63"/>
        <v>1.5280183783783785</v>
      </c>
      <c r="AB326" s="35">
        <f t="shared" si="64"/>
        <v>11.216538123887133</v>
      </c>
      <c r="AC326" s="35">
        <f t="shared" si="65"/>
        <v>10.980560363854597</v>
      </c>
      <c r="AD326" s="36"/>
      <c r="AE326" s="35">
        <f t="shared" si="58"/>
        <v>0.19898124680709656</v>
      </c>
      <c r="AF326" s="35">
        <f t="shared" si="66"/>
        <v>11.216538123887133</v>
      </c>
      <c r="AG326" s="37">
        <v>2016190</v>
      </c>
      <c r="AH326" s="38">
        <v>22614672</v>
      </c>
      <c r="AI326" s="38">
        <v>22138896</v>
      </c>
      <c r="AJ326" s="39"/>
      <c r="AK326" s="38">
        <v>401184</v>
      </c>
      <c r="AL326" s="41"/>
      <c r="AM326" s="41"/>
      <c r="AN326" s="41"/>
      <c r="AO326" s="40">
        <v>86.073068000000006</v>
      </c>
      <c r="AP326" s="42"/>
      <c r="AQ326" s="42"/>
      <c r="AS326" s="43">
        <f t="shared" si="67"/>
        <v>2.7137623529785992E-3</v>
      </c>
      <c r="AT326" s="43"/>
      <c r="AV326" s="45"/>
      <c r="AW326" s="45"/>
      <c r="AX326" s="45"/>
      <c r="AY326" s="44"/>
      <c r="BA326" s="45"/>
      <c r="BB326" s="45"/>
      <c r="BC326" s="45"/>
      <c r="BD326" s="44"/>
    </row>
    <row r="327" spans="1:56" outlineLevel="1" x14ac:dyDescent="0.15">
      <c r="A327" s="16"/>
      <c r="B327" s="16" t="s">
        <v>392</v>
      </c>
      <c r="C327" s="17" t="s">
        <v>229</v>
      </c>
      <c r="D327" s="16">
        <v>2016190</v>
      </c>
      <c r="E327" s="18">
        <v>18</v>
      </c>
      <c r="F327" s="17">
        <v>74</v>
      </c>
      <c r="G327" s="17">
        <v>5</v>
      </c>
      <c r="I327" s="19">
        <f t="shared" si="59"/>
        <v>1.5548232432432434</v>
      </c>
      <c r="J327" s="20">
        <f t="shared" si="60"/>
        <v>11.413301325767909</v>
      </c>
      <c r="K327" s="20">
        <f t="shared" si="61"/>
        <v>10.980560363854597</v>
      </c>
      <c r="L327" s="21"/>
      <c r="M327" s="20">
        <f t="shared" si="57"/>
        <v>0.39427633308368754</v>
      </c>
      <c r="N327" s="20">
        <f t="shared" si="62"/>
        <v>11.413301325767909</v>
      </c>
      <c r="O327" s="22">
        <v>2016190</v>
      </c>
      <c r="P327" s="23">
        <v>23011384</v>
      </c>
      <c r="Q327" s="23">
        <v>22138896</v>
      </c>
      <c r="R327" s="24"/>
      <c r="S327" s="23">
        <v>794936</v>
      </c>
      <c r="T327" s="26"/>
      <c r="U327" s="26"/>
      <c r="V327" s="26"/>
      <c r="W327" s="25">
        <v>90.965250999999995</v>
      </c>
      <c r="X327" s="27"/>
      <c r="Y327" s="27"/>
      <c r="AA327" s="19">
        <f t="shared" si="63"/>
        <v>1.5483789189189188</v>
      </c>
      <c r="AB327" s="20">
        <f t="shared" si="64"/>
        <v>11.365996260273089</v>
      </c>
      <c r="AC327" s="20">
        <f t="shared" si="65"/>
        <v>10.980560363854597</v>
      </c>
      <c r="AD327" s="21"/>
      <c r="AE327" s="20">
        <f t="shared" si="58"/>
        <v>0.34843938319305223</v>
      </c>
      <c r="AF327" s="20">
        <f t="shared" si="66"/>
        <v>11.365996260273089</v>
      </c>
      <c r="AG327" s="22">
        <v>2016190</v>
      </c>
      <c r="AH327" s="23">
        <v>22916008</v>
      </c>
      <c r="AI327" s="23">
        <v>22138896</v>
      </c>
      <c r="AJ327" s="24"/>
      <c r="AK327" s="23">
        <v>702520</v>
      </c>
      <c r="AL327" s="26"/>
      <c r="AM327" s="26"/>
      <c r="AN327" s="26"/>
      <c r="AO327" s="25">
        <v>89.942780999999997</v>
      </c>
      <c r="AP327" s="27"/>
      <c r="AQ327" s="27"/>
      <c r="AS327" s="28">
        <f t="shared" si="67"/>
        <v>4.004177857287794E-3</v>
      </c>
      <c r="AT327" s="28"/>
      <c r="AV327" s="30"/>
      <c r="AW327" s="30"/>
      <c r="AX327" s="30"/>
      <c r="AY327" s="29"/>
      <c r="BA327" s="30"/>
      <c r="BB327" s="30"/>
      <c r="BC327" s="30"/>
      <c r="BD327" s="29"/>
    </row>
    <row r="328" spans="1:56" outlineLevel="1" x14ac:dyDescent="0.15">
      <c r="A328" s="31"/>
      <c r="B328" s="46" t="s">
        <v>392</v>
      </c>
      <c r="C328" s="47" t="s">
        <v>230</v>
      </c>
      <c r="D328" s="46">
        <v>2016190</v>
      </c>
      <c r="E328" s="48">
        <v>18</v>
      </c>
      <c r="F328" s="47">
        <v>74</v>
      </c>
      <c r="G328" s="47">
        <v>5</v>
      </c>
      <c r="I328" s="49">
        <f t="shared" si="59"/>
        <v>1.591872972972973</v>
      </c>
      <c r="J328" s="50">
        <f t="shared" si="60"/>
        <v>11.685267757503013</v>
      </c>
      <c r="K328" s="50">
        <f t="shared" si="61"/>
        <v>10.980560363854597</v>
      </c>
      <c r="L328" s="51"/>
      <c r="M328" s="50">
        <f t="shared" si="57"/>
        <v>0.66624276481879185</v>
      </c>
      <c r="N328" s="50">
        <f t="shared" si="62"/>
        <v>11.685267757503013</v>
      </c>
      <c r="O328" s="52">
        <v>2016190</v>
      </c>
      <c r="P328" s="53">
        <v>23559720</v>
      </c>
      <c r="Q328" s="53">
        <v>22138896</v>
      </c>
      <c r="R328" s="54"/>
      <c r="S328" s="53">
        <v>1343272</v>
      </c>
      <c r="T328" s="56"/>
      <c r="U328" s="56"/>
      <c r="V328" s="56"/>
      <c r="W328" s="55">
        <v>95.056023999999994</v>
      </c>
      <c r="X328" s="57"/>
      <c r="Y328" s="57"/>
      <c r="AA328" s="49">
        <f t="shared" si="63"/>
        <v>1.5795978378378379</v>
      </c>
      <c r="AB328" s="50">
        <f t="shared" si="64"/>
        <v>11.595161170326209</v>
      </c>
      <c r="AC328" s="50">
        <f t="shared" si="65"/>
        <v>10.980560363854597</v>
      </c>
      <c r="AD328" s="51"/>
      <c r="AE328" s="50">
        <f t="shared" si="58"/>
        <v>0.57760429324617224</v>
      </c>
      <c r="AF328" s="50">
        <f t="shared" si="66"/>
        <v>11.595161170326209</v>
      </c>
      <c r="AG328" s="52">
        <v>2016190</v>
      </c>
      <c r="AH328" s="53">
        <v>23378048</v>
      </c>
      <c r="AI328" s="53">
        <v>22138896</v>
      </c>
      <c r="AJ328" s="54"/>
      <c r="AK328" s="53">
        <v>1164560</v>
      </c>
      <c r="AL328" s="56"/>
      <c r="AM328" s="56"/>
      <c r="AN328" s="56"/>
      <c r="AO328" s="55">
        <v>93.678129999999996</v>
      </c>
      <c r="AP328" s="57"/>
      <c r="AQ328" s="57"/>
      <c r="AS328" s="58">
        <f t="shared" si="67"/>
        <v>7.3023994676316706E-3</v>
      </c>
      <c r="AT328" s="58"/>
      <c r="AV328" s="60"/>
      <c r="AW328" s="60"/>
      <c r="AX328" s="60"/>
      <c r="AY328" s="59"/>
      <c r="BA328" s="60"/>
      <c r="BB328" s="60"/>
      <c r="BC328" s="60"/>
      <c r="BD328" s="59"/>
    </row>
    <row r="329" spans="1:56" collapsed="1" x14ac:dyDescent="0.15">
      <c r="A329" s="16"/>
      <c r="B329" s="16" t="s">
        <v>395</v>
      </c>
      <c r="C329" s="17" t="s">
        <v>225</v>
      </c>
      <c r="D329" s="16">
        <v>14430189</v>
      </c>
      <c r="E329" s="18">
        <v>18</v>
      </c>
      <c r="F329" s="17">
        <v>500</v>
      </c>
      <c r="G329" s="17">
        <v>5</v>
      </c>
      <c r="I329" s="19">
        <f t="shared" si="59"/>
        <v>1.63157496</v>
      </c>
      <c r="J329" s="20">
        <f t="shared" si="60"/>
        <v>11.306677688005333</v>
      </c>
      <c r="K329" s="20">
        <f t="shared" si="61"/>
        <v>11.25104487543441</v>
      </c>
      <c r="L329" s="21"/>
      <c r="M329" s="20">
        <f t="shared" si="57"/>
        <v>1.9597248518366601E-2</v>
      </c>
      <c r="N329" s="20">
        <f t="shared" si="62"/>
        <v>11.306677688005333</v>
      </c>
      <c r="O329" s="22">
        <v>14430189</v>
      </c>
      <c r="P329" s="23">
        <v>163157496</v>
      </c>
      <c r="Q329" s="23">
        <v>162354704</v>
      </c>
      <c r="R329" s="24"/>
      <c r="S329" s="23">
        <v>282792</v>
      </c>
      <c r="T329" s="26"/>
      <c r="U329" s="26"/>
      <c r="V329" s="26"/>
      <c r="W329" s="25">
        <v>79.359346000000002</v>
      </c>
      <c r="X329" s="27"/>
      <c r="Y329" s="27"/>
      <c r="AA329" s="19">
        <f t="shared" si="63"/>
        <v>1.6304056</v>
      </c>
      <c r="AB329" s="20">
        <f t="shared" si="64"/>
        <v>11.298574121239854</v>
      </c>
      <c r="AC329" s="20">
        <f t="shared" si="65"/>
        <v>11.25104487543441</v>
      </c>
      <c r="AD329" s="21"/>
      <c r="AE329" s="20">
        <f t="shared" si="58"/>
        <v>1.2602468339118773E-2</v>
      </c>
      <c r="AF329" s="20">
        <f t="shared" si="66"/>
        <v>11.298574121239854</v>
      </c>
      <c r="AG329" s="22">
        <v>14430189</v>
      </c>
      <c r="AH329" s="23">
        <v>163040560</v>
      </c>
      <c r="AI329" s="23">
        <v>162354704</v>
      </c>
      <c r="AJ329" s="24"/>
      <c r="AK329" s="23">
        <v>181856</v>
      </c>
      <c r="AL329" s="26"/>
      <c r="AM329" s="26"/>
      <c r="AN329" s="26"/>
      <c r="AO329" s="25">
        <v>78.516198000000003</v>
      </c>
      <c r="AP329" s="27"/>
      <c r="AQ329" s="27"/>
      <c r="AS329" s="28">
        <f t="shared" si="67"/>
        <v>7.1369132896725862E-4</v>
      </c>
      <c r="AT329" s="28">
        <f t="array" ref="AT329">AVERAGE(AI329:AI334/AH329:AH334) - AVERAGE(Q329:Q334/P329:P334)</f>
        <v>4.5074493190868647E-3</v>
      </c>
      <c r="AV329" s="30"/>
      <c r="AW329" s="30"/>
      <c r="AX329" s="30"/>
      <c r="AY329" s="29">
        <f>IF( OR(ISBLANK(S329:S334),ISBLANK(AK329:AK334), ISBLANK(W329:W334),ISBLANK(AO329:AO334)), "·", bdRateExtend( S329:S334,W329:W334, AK329:AK334,AO329:AO334))</f>
        <v>-6.2225444649322448E-2</v>
      </c>
      <c r="BA329" s="30"/>
      <c r="BB329" s="30"/>
      <c r="BC329" s="30"/>
      <c r="BD329" s="29">
        <f>IF( OR(ISBLANK(P329:P334),ISBLANK(AH329:AH334), ISBLANK(W329:W334),ISBLANK(AO329:AO334)), "·", bdRateExtend( P329:P334,W329:W334, AH329:AH334,AO329:AO334))</f>
        <v>-9.6647620719692018E-4</v>
      </c>
    </row>
    <row r="330" spans="1:56" outlineLevel="1" x14ac:dyDescent="0.15">
      <c r="A330" s="31"/>
      <c r="B330" s="31" t="s">
        <v>395</v>
      </c>
      <c r="C330" s="32" t="s">
        <v>226</v>
      </c>
      <c r="D330" s="31">
        <v>14430189</v>
      </c>
      <c r="E330" s="33">
        <v>18</v>
      </c>
      <c r="F330" s="32">
        <v>500</v>
      </c>
      <c r="G330" s="32">
        <v>5</v>
      </c>
      <c r="I330" s="34">
        <f t="shared" si="59"/>
        <v>1.63456088</v>
      </c>
      <c r="J330" s="35">
        <f t="shared" si="60"/>
        <v>11.327369863277605</v>
      </c>
      <c r="K330" s="35">
        <f t="shared" si="61"/>
        <v>11.25104487543441</v>
      </c>
      <c r="L330" s="36"/>
      <c r="M330" s="35">
        <f t="shared" si="57"/>
        <v>4.0012227144079676E-2</v>
      </c>
      <c r="N330" s="35">
        <f t="shared" si="62"/>
        <v>11.327369863277605</v>
      </c>
      <c r="O330" s="37">
        <v>14430189</v>
      </c>
      <c r="P330" s="38">
        <v>163456088</v>
      </c>
      <c r="Q330" s="38">
        <v>162354704</v>
      </c>
      <c r="R330" s="39"/>
      <c r="S330" s="38">
        <v>577384</v>
      </c>
      <c r="T330" s="41"/>
      <c r="U330" s="41"/>
      <c r="V330" s="41"/>
      <c r="W330" s="40">
        <v>81.219397000000001</v>
      </c>
      <c r="X330" s="42"/>
      <c r="Y330" s="42"/>
      <c r="AA330" s="34">
        <f t="shared" si="63"/>
        <v>1.63219632</v>
      </c>
      <c r="AB330" s="35">
        <f t="shared" si="64"/>
        <v>11.310983660712967</v>
      </c>
      <c r="AC330" s="35">
        <f t="shared" si="65"/>
        <v>11.25104487543441</v>
      </c>
      <c r="AD330" s="36"/>
      <c r="AE330" s="35">
        <f t="shared" si="58"/>
        <v>2.5012007812233089E-2</v>
      </c>
      <c r="AF330" s="35">
        <f t="shared" si="66"/>
        <v>11.310983660712967</v>
      </c>
      <c r="AG330" s="37">
        <v>14430189</v>
      </c>
      <c r="AH330" s="38">
        <v>163219632</v>
      </c>
      <c r="AI330" s="38">
        <v>162354704</v>
      </c>
      <c r="AJ330" s="39"/>
      <c r="AK330" s="38">
        <v>360928</v>
      </c>
      <c r="AL330" s="41"/>
      <c r="AM330" s="41"/>
      <c r="AN330" s="41"/>
      <c r="AO330" s="40">
        <v>80.304866000000004</v>
      </c>
      <c r="AP330" s="42"/>
      <c r="AQ330" s="42"/>
      <c r="AS330" s="43">
        <f t="shared" si="67"/>
        <v>1.4389368005358616E-3</v>
      </c>
      <c r="AT330" s="43"/>
      <c r="AV330" s="45"/>
      <c r="AW330" s="45"/>
      <c r="AX330" s="45"/>
      <c r="AY330" s="44"/>
      <c r="BA330" s="45"/>
      <c r="BB330" s="45"/>
      <c r="BC330" s="45"/>
      <c r="BD330" s="44"/>
    </row>
    <row r="331" spans="1:56" outlineLevel="1" x14ac:dyDescent="0.15">
      <c r="A331" s="16"/>
      <c r="B331" s="16" t="s">
        <v>395</v>
      </c>
      <c r="C331" s="17" t="s">
        <v>227</v>
      </c>
      <c r="D331" s="16">
        <v>14430189</v>
      </c>
      <c r="E331" s="18">
        <v>18</v>
      </c>
      <c r="F331" s="17">
        <v>500</v>
      </c>
      <c r="G331" s="17">
        <v>5</v>
      </c>
      <c r="I331" s="19">
        <f t="shared" si="59"/>
        <v>1.64189776</v>
      </c>
      <c r="J331" s="20">
        <f t="shared" si="60"/>
        <v>11.37821382658259</v>
      </c>
      <c r="K331" s="20">
        <f t="shared" si="61"/>
        <v>11.25104487543441</v>
      </c>
      <c r="L331" s="21"/>
      <c r="M331" s="20">
        <f t="shared" si="57"/>
        <v>9.0856190449064803E-2</v>
      </c>
      <c r="N331" s="20">
        <f t="shared" si="62"/>
        <v>11.37821382658259</v>
      </c>
      <c r="O331" s="22">
        <v>14430189</v>
      </c>
      <c r="P331" s="23">
        <v>164189776</v>
      </c>
      <c r="Q331" s="23">
        <v>162354704</v>
      </c>
      <c r="R331" s="24"/>
      <c r="S331" s="23">
        <v>1311072</v>
      </c>
      <c r="T331" s="26"/>
      <c r="U331" s="26"/>
      <c r="V331" s="26"/>
      <c r="W331" s="25">
        <v>83.891285999999994</v>
      </c>
      <c r="X331" s="27"/>
      <c r="Y331" s="27"/>
      <c r="AA331" s="19">
        <f t="shared" si="63"/>
        <v>1.6379869599999999</v>
      </c>
      <c r="AB331" s="20">
        <f t="shared" si="64"/>
        <v>11.351112310448602</v>
      </c>
      <c r="AC331" s="20">
        <f t="shared" si="65"/>
        <v>11.25104487543441</v>
      </c>
      <c r="AD331" s="21"/>
      <c r="AE331" s="20">
        <f t="shared" si="58"/>
        <v>6.5140657547867187E-2</v>
      </c>
      <c r="AF331" s="20">
        <f t="shared" si="66"/>
        <v>11.351112310448602</v>
      </c>
      <c r="AG331" s="22">
        <v>14430189</v>
      </c>
      <c r="AH331" s="23">
        <v>163798696</v>
      </c>
      <c r="AI331" s="23">
        <v>162354704</v>
      </c>
      <c r="AJ331" s="24"/>
      <c r="AK331" s="23">
        <v>939992</v>
      </c>
      <c r="AL331" s="26"/>
      <c r="AM331" s="26"/>
      <c r="AN331" s="26"/>
      <c r="AO331" s="25">
        <v>82.992768999999996</v>
      </c>
      <c r="AP331" s="27"/>
      <c r="AQ331" s="27"/>
      <c r="AS331" s="28">
        <f t="shared" si="67"/>
        <v>2.3608801045983396E-3</v>
      </c>
      <c r="AT331" s="28"/>
      <c r="AV331" s="30"/>
      <c r="AW331" s="30"/>
      <c r="AX331" s="30"/>
      <c r="AY331" s="29"/>
      <c r="BA331" s="30"/>
      <c r="BB331" s="30"/>
      <c r="BC331" s="30"/>
      <c r="BD331" s="29"/>
    </row>
    <row r="332" spans="1:56" outlineLevel="1" x14ac:dyDescent="0.15">
      <c r="A332" s="31"/>
      <c r="B332" s="31" t="s">
        <v>395</v>
      </c>
      <c r="C332" s="32" t="s">
        <v>228</v>
      </c>
      <c r="D332" s="31">
        <v>14430189</v>
      </c>
      <c r="E332" s="33">
        <v>18</v>
      </c>
      <c r="F332" s="32">
        <v>500</v>
      </c>
      <c r="G332" s="32">
        <v>5</v>
      </c>
      <c r="I332" s="34">
        <f t="shared" si="59"/>
        <v>1.6569985600000001</v>
      </c>
      <c r="J332" s="35">
        <f t="shared" si="60"/>
        <v>11.482861104591215</v>
      </c>
      <c r="K332" s="35">
        <f t="shared" si="61"/>
        <v>11.25104487543441</v>
      </c>
      <c r="L332" s="36"/>
      <c r="M332" s="35">
        <f t="shared" si="57"/>
        <v>0.19550346845768965</v>
      </c>
      <c r="N332" s="35">
        <f t="shared" si="62"/>
        <v>11.482861104591215</v>
      </c>
      <c r="O332" s="37">
        <v>14430189</v>
      </c>
      <c r="P332" s="38">
        <v>165699856</v>
      </c>
      <c r="Q332" s="38">
        <v>162354704</v>
      </c>
      <c r="R332" s="39"/>
      <c r="S332" s="38">
        <v>2821152</v>
      </c>
      <c r="T332" s="41"/>
      <c r="U332" s="41"/>
      <c r="V332" s="41"/>
      <c r="W332" s="40">
        <v>86.700849000000005</v>
      </c>
      <c r="X332" s="42"/>
      <c r="Y332" s="42"/>
      <c r="AA332" s="34">
        <f t="shared" si="63"/>
        <v>1.64926072</v>
      </c>
      <c r="AB332" s="35">
        <f t="shared" si="64"/>
        <v>11.429238522101132</v>
      </c>
      <c r="AC332" s="35">
        <f t="shared" si="65"/>
        <v>11.25104487543441</v>
      </c>
      <c r="AD332" s="36"/>
      <c r="AE332" s="35">
        <f t="shared" si="58"/>
        <v>0.14326686920039647</v>
      </c>
      <c r="AF332" s="35">
        <f t="shared" si="66"/>
        <v>11.429238522101132</v>
      </c>
      <c r="AG332" s="37">
        <v>14430189</v>
      </c>
      <c r="AH332" s="38">
        <v>164926072</v>
      </c>
      <c r="AI332" s="38">
        <v>162354704</v>
      </c>
      <c r="AJ332" s="39"/>
      <c r="AK332" s="38">
        <v>2067368</v>
      </c>
      <c r="AL332" s="41"/>
      <c r="AM332" s="41"/>
      <c r="AN332" s="41"/>
      <c r="AO332" s="40">
        <v>85.725632000000004</v>
      </c>
      <c r="AP332" s="42"/>
      <c r="AQ332" s="42"/>
      <c r="AS332" s="43">
        <f t="shared" si="67"/>
        <v>4.5969859341866703E-3</v>
      </c>
      <c r="AT332" s="43"/>
      <c r="AV332" s="45"/>
      <c r="AW332" s="45"/>
      <c r="AX332" s="45"/>
      <c r="AY332" s="44"/>
      <c r="BA332" s="45"/>
      <c r="BB332" s="45"/>
      <c r="BC332" s="45"/>
      <c r="BD332" s="44"/>
    </row>
    <row r="333" spans="1:56" outlineLevel="1" x14ac:dyDescent="0.15">
      <c r="A333" s="16"/>
      <c r="B333" s="16" t="s">
        <v>395</v>
      </c>
      <c r="C333" s="17" t="s">
        <v>229</v>
      </c>
      <c r="D333" s="16">
        <v>14430189</v>
      </c>
      <c r="E333" s="18">
        <v>18</v>
      </c>
      <c r="F333" s="17">
        <v>500</v>
      </c>
      <c r="G333" s="17">
        <v>5</v>
      </c>
      <c r="I333" s="19">
        <f t="shared" si="59"/>
        <v>1.6892400000000001</v>
      </c>
      <c r="J333" s="20">
        <f t="shared" si="60"/>
        <v>11.706291580796343</v>
      </c>
      <c r="K333" s="20">
        <f t="shared" si="61"/>
        <v>11.25104487543441</v>
      </c>
      <c r="L333" s="21"/>
      <c r="M333" s="20">
        <f t="shared" si="57"/>
        <v>0.41893394466281764</v>
      </c>
      <c r="N333" s="20">
        <f t="shared" si="62"/>
        <v>11.706291580796343</v>
      </c>
      <c r="O333" s="22">
        <v>14430189</v>
      </c>
      <c r="P333" s="23">
        <v>168924000</v>
      </c>
      <c r="Q333" s="23">
        <v>162354704</v>
      </c>
      <c r="R333" s="24"/>
      <c r="S333" s="23">
        <v>6045296</v>
      </c>
      <c r="T333" s="26"/>
      <c r="U333" s="26"/>
      <c r="V333" s="26"/>
      <c r="W333" s="25">
        <v>90.192541000000006</v>
      </c>
      <c r="X333" s="27"/>
      <c r="Y333" s="27"/>
      <c r="AA333" s="19">
        <f t="shared" si="63"/>
        <v>1.6759242400000001</v>
      </c>
      <c r="AB333" s="20">
        <f t="shared" si="64"/>
        <v>11.614014480337021</v>
      </c>
      <c r="AC333" s="20">
        <f t="shared" si="65"/>
        <v>11.25104487543441</v>
      </c>
      <c r="AD333" s="21"/>
      <c r="AE333" s="20">
        <f t="shared" si="58"/>
        <v>0.32804282743628654</v>
      </c>
      <c r="AF333" s="20">
        <f t="shared" si="66"/>
        <v>11.614014480337021</v>
      </c>
      <c r="AG333" s="22">
        <v>14430189</v>
      </c>
      <c r="AH333" s="23">
        <v>167592424</v>
      </c>
      <c r="AI333" s="23">
        <v>162354704</v>
      </c>
      <c r="AJ333" s="24"/>
      <c r="AK333" s="23">
        <v>4733720</v>
      </c>
      <c r="AL333" s="26"/>
      <c r="AM333" s="26"/>
      <c r="AN333" s="26"/>
      <c r="AO333" s="25">
        <v>89.126679999999993</v>
      </c>
      <c r="AP333" s="27"/>
      <c r="AQ333" s="27"/>
      <c r="AS333" s="28">
        <f t="shared" si="67"/>
        <v>7.6363371751412279E-3</v>
      </c>
      <c r="AT333" s="28"/>
      <c r="AV333" s="30"/>
      <c r="AW333" s="30"/>
      <c r="AX333" s="30"/>
      <c r="AY333" s="29"/>
      <c r="BA333" s="30"/>
      <c r="BB333" s="30"/>
      <c r="BC333" s="30"/>
      <c r="BD333" s="29"/>
    </row>
    <row r="334" spans="1:56" outlineLevel="1" x14ac:dyDescent="0.15">
      <c r="A334" s="31"/>
      <c r="B334" s="46" t="s">
        <v>395</v>
      </c>
      <c r="C334" s="47" t="s">
        <v>230</v>
      </c>
      <c r="D334" s="46">
        <v>14430189</v>
      </c>
      <c r="E334" s="48">
        <v>18</v>
      </c>
      <c r="F334" s="47">
        <v>500</v>
      </c>
      <c r="G334" s="47">
        <v>5</v>
      </c>
      <c r="I334" s="49">
        <f t="shared" si="59"/>
        <v>1.7389730400000001</v>
      </c>
      <c r="J334" s="50">
        <f t="shared" si="60"/>
        <v>12.050937378574876</v>
      </c>
      <c r="K334" s="50">
        <f t="shared" si="61"/>
        <v>11.25104487543441</v>
      </c>
      <c r="L334" s="51"/>
      <c r="M334" s="50">
        <f t="shared" si="57"/>
        <v>0.76357974244134985</v>
      </c>
      <c r="N334" s="50">
        <f t="shared" si="62"/>
        <v>12.050937378574876</v>
      </c>
      <c r="O334" s="52">
        <v>14430189</v>
      </c>
      <c r="P334" s="53">
        <v>173897304</v>
      </c>
      <c r="Q334" s="53">
        <v>162354704</v>
      </c>
      <c r="R334" s="54"/>
      <c r="S334" s="53">
        <v>11018600</v>
      </c>
      <c r="T334" s="56"/>
      <c r="U334" s="56"/>
      <c r="V334" s="56"/>
      <c r="W334" s="55">
        <v>94.619812999999994</v>
      </c>
      <c r="X334" s="57"/>
      <c r="Y334" s="57"/>
      <c r="AA334" s="49">
        <f t="shared" si="63"/>
        <v>1.7200014399999999</v>
      </c>
      <c r="AB334" s="50">
        <f t="shared" si="64"/>
        <v>11.91946578107882</v>
      </c>
      <c r="AC334" s="50">
        <f t="shared" si="65"/>
        <v>11.25104487543441</v>
      </c>
      <c r="AD334" s="51"/>
      <c r="AE334" s="50">
        <f t="shared" si="58"/>
        <v>0.63349412817808559</v>
      </c>
      <c r="AF334" s="50">
        <f t="shared" si="66"/>
        <v>11.91946578107882</v>
      </c>
      <c r="AG334" s="52">
        <v>14430189</v>
      </c>
      <c r="AH334" s="53">
        <v>172000144</v>
      </c>
      <c r="AI334" s="53">
        <v>162354704</v>
      </c>
      <c r="AJ334" s="54"/>
      <c r="AK334" s="53">
        <v>9141440</v>
      </c>
      <c r="AL334" s="56"/>
      <c r="AM334" s="56"/>
      <c r="AN334" s="56"/>
      <c r="AO334" s="55">
        <v>93.166470000000004</v>
      </c>
      <c r="AP334" s="57"/>
      <c r="AQ334" s="57"/>
      <c r="AS334" s="58">
        <f t="shared" si="67"/>
        <v>1.0297864571091608E-2</v>
      </c>
      <c r="AT334" s="58"/>
      <c r="AV334" s="60"/>
      <c r="AW334" s="60"/>
      <c r="AX334" s="60"/>
      <c r="AY334" s="59"/>
      <c r="BA334" s="60"/>
      <c r="BB334" s="60"/>
      <c r="BC334" s="60"/>
      <c r="BD334" s="59"/>
    </row>
    <row r="335" spans="1:56" collapsed="1" x14ac:dyDescent="0.15">
      <c r="A335" s="16"/>
      <c r="B335" s="16" t="s">
        <v>398</v>
      </c>
      <c r="C335" s="17" t="s">
        <v>225</v>
      </c>
      <c r="D335" s="16">
        <v>8167066</v>
      </c>
      <c r="E335" s="18">
        <v>18</v>
      </c>
      <c r="F335" s="17">
        <v>300</v>
      </c>
      <c r="G335" s="17">
        <v>5</v>
      </c>
      <c r="I335" s="19">
        <f t="shared" si="59"/>
        <v>1.6282509333333333</v>
      </c>
      <c r="J335" s="20">
        <f t="shared" si="60"/>
        <v>11.962074997312376</v>
      </c>
      <c r="K335" s="20">
        <f t="shared" si="61"/>
        <v>11.909703680611862</v>
      </c>
      <c r="L335" s="21"/>
      <c r="M335" s="20">
        <f t="shared" si="57"/>
        <v>1.4169103078143362E-2</v>
      </c>
      <c r="N335" s="20">
        <f t="shared" si="62"/>
        <v>11.962074997312376</v>
      </c>
      <c r="O335" s="22">
        <v>8167066</v>
      </c>
      <c r="P335" s="23">
        <v>97695056</v>
      </c>
      <c r="Q335" s="23">
        <v>97267336</v>
      </c>
      <c r="R335" s="24"/>
      <c r="S335" s="23">
        <v>115720</v>
      </c>
      <c r="T335" s="26"/>
      <c r="U335" s="26"/>
      <c r="V335" s="26"/>
      <c r="W335" s="25">
        <v>80.144784999999999</v>
      </c>
      <c r="X335" s="27"/>
      <c r="Y335" s="27"/>
      <c r="AA335" s="19">
        <f t="shared" si="63"/>
        <v>1.6274934666666665</v>
      </c>
      <c r="AB335" s="20">
        <f t="shared" si="64"/>
        <v>11.956510208194718</v>
      </c>
      <c r="AC335" s="20">
        <f t="shared" si="65"/>
        <v>11.909703680611862</v>
      </c>
      <c r="AD335" s="21"/>
      <c r="AE335" s="20">
        <f t="shared" si="58"/>
        <v>9.7797666873268817E-3</v>
      </c>
      <c r="AF335" s="20">
        <f t="shared" si="66"/>
        <v>11.956510208194718</v>
      </c>
      <c r="AG335" s="22">
        <v>8167066</v>
      </c>
      <c r="AH335" s="23">
        <v>97649608</v>
      </c>
      <c r="AI335" s="23">
        <v>97267336</v>
      </c>
      <c r="AJ335" s="24"/>
      <c r="AK335" s="23">
        <v>79872</v>
      </c>
      <c r="AL335" s="26"/>
      <c r="AM335" s="26"/>
      <c r="AN335" s="26"/>
      <c r="AO335" s="25">
        <v>79.414897999999994</v>
      </c>
      <c r="AP335" s="27"/>
      <c r="AQ335" s="27"/>
      <c r="AS335" s="28">
        <f t="shared" si="67"/>
        <v>4.6338151729097277E-4</v>
      </c>
      <c r="AT335" s="28">
        <f t="array" ref="AT335">AVERAGE(AI335:AI340/AH335:AH340) - AVERAGE(Q335:Q340/P335:P340)</f>
        <v>5.4119995555750311E-3</v>
      </c>
      <c r="AV335" s="30"/>
      <c r="AW335" s="30"/>
      <c r="AX335" s="30"/>
      <c r="AY335" s="29">
        <f>IF( OR(ISBLANK(S335:S340),ISBLANK(AK335:AK340), ISBLANK(W335:W340),ISBLANK(AO335:AO340)), "·", bdRateExtend( S335:S340,W335:W340, AK335:AK340,AO335:AO340))</f>
        <v>-7.8857699610614618E-2</v>
      </c>
      <c r="BA335" s="30"/>
      <c r="BB335" s="30"/>
      <c r="BC335" s="30"/>
      <c r="BD335" s="29">
        <f>IF( OR(ISBLANK(P335:P340),ISBLANK(AH335:AH340), ISBLANK(W335:W340),ISBLANK(AO335:AO340)), "·", bdRateExtend( P335:P340,W335:W340, AH335:AH340,AO335:AO340))</f>
        <v>-1.5615356931678592E-3</v>
      </c>
    </row>
    <row r="336" spans="1:56" outlineLevel="1" x14ac:dyDescent="0.15">
      <c r="A336" s="31"/>
      <c r="B336" s="31" t="s">
        <v>398</v>
      </c>
      <c r="C336" s="32" t="s">
        <v>226</v>
      </c>
      <c r="D336" s="31">
        <v>8167066</v>
      </c>
      <c r="E336" s="33">
        <v>18</v>
      </c>
      <c r="F336" s="32">
        <v>300</v>
      </c>
      <c r="G336" s="32">
        <v>5</v>
      </c>
      <c r="I336" s="34">
        <f t="shared" si="59"/>
        <v>1.6299946666666667</v>
      </c>
      <c r="J336" s="35">
        <f t="shared" si="60"/>
        <v>11.974885472947078</v>
      </c>
      <c r="K336" s="35">
        <f t="shared" si="61"/>
        <v>11.909703680611862</v>
      </c>
      <c r="L336" s="36"/>
      <c r="M336" s="35">
        <f t="shared" si="57"/>
        <v>2.6685715531134437E-2</v>
      </c>
      <c r="N336" s="35">
        <f t="shared" si="62"/>
        <v>11.974885472947078</v>
      </c>
      <c r="O336" s="37">
        <v>8167066</v>
      </c>
      <c r="P336" s="38">
        <v>97799680</v>
      </c>
      <c r="Q336" s="38">
        <v>97267336</v>
      </c>
      <c r="R336" s="39"/>
      <c r="S336" s="38">
        <v>217944</v>
      </c>
      <c r="T336" s="41"/>
      <c r="U336" s="41"/>
      <c r="V336" s="41"/>
      <c r="W336" s="40">
        <v>81.578421000000006</v>
      </c>
      <c r="X336" s="42"/>
      <c r="Y336" s="42"/>
      <c r="AA336" s="34">
        <f t="shared" si="63"/>
        <v>1.6284727999999999</v>
      </c>
      <c r="AB336" s="35">
        <f t="shared" si="64"/>
        <v>11.963704958426931</v>
      </c>
      <c r="AC336" s="35">
        <f t="shared" si="65"/>
        <v>11.909703680611862</v>
      </c>
      <c r="AD336" s="36"/>
      <c r="AE336" s="35">
        <f t="shared" si="58"/>
        <v>1.6974516919540016E-2</v>
      </c>
      <c r="AF336" s="35">
        <f t="shared" si="66"/>
        <v>11.963704958426931</v>
      </c>
      <c r="AG336" s="37">
        <v>8167066</v>
      </c>
      <c r="AH336" s="38">
        <v>97708368</v>
      </c>
      <c r="AI336" s="38">
        <v>97267336</v>
      </c>
      <c r="AJ336" s="39"/>
      <c r="AK336" s="38">
        <v>138632</v>
      </c>
      <c r="AL336" s="41"/>
      <c r="AM336" s="41"/>
      <c r="AN336" s="41"/>
      <c r="AO336" s="40">
        <v>80.797319999999999</v>
      </c>
      <c r="AP336" s="42"/>
      <c r="AQ336" s="42"/>
      <c r="AS336" s="43">
        <f t="shared" si="67"/>
        <v>9.2944925445526128E-4</v>
      </c>
      <c r="AT336" s="43"/>
      <c r="AV336" s="45"/>
      <c r="AW336" s="45"/>
      <c r="AX336" s="45"/>
      <c r="AY336" s="44"/>
      <c r="BA336" s="45"/>
      <c r="BB336" s="45"/>
      <c r="BC336" s="45"/>
      <c r="BD336" s="44"/>
    </row>
    <row r="337" spans="1:56" outlineLevel="1" x14ac:dyDescent="0.15">
      <c r="A337" s="16"/>
      <c r="B337" s="16" t="s">
        <v>398</v>
      </c>
      <c r="C337" s="17" t="s">
        <v>227</v>
      </c>
      <c r="D337" s="16">
        <v>8167066</v>
      </c>
      <c r="E337" s="18">
        <v>18</v>
      </c>
      <c r="F337" s="17">
        <v>300</v>
      </c>
      <c r="G337" s="17">
        <v>5</v>
      </c>
      <c r="I337" s="19">
        <f t="shared" si="59"/>
        <v>1.6353738666666666</v>
      </c>
      <c r="J337" s="20">
        <f t="shared" si="60"/>
        <v>12.014404193623513</v>
      </c>
      <c r="K337" s="20">
        <f t="shared" si="61"/>
        <v>11.909703680611862</v>
      </c>
      <c r="L337" s="21"/>
      <c r="M337" s="20">
        <f t="shared" si="57"/>
        <v>6.6204436207568301E-2</v>
      </c>
      <c r="N337" s="20">
        <f t="shared" si="62"/>
        <v>12.014404193623513</v>
      </c>
      <c r="O337" s="22">
        <v>8167066</v>
      </c>
      <c r="P337" s="23">
        <v>98122432</v>
      </c>
      <c r="Q337" s="23">
        <v>97267336</v>
      </c>
      <c r="R337" s="24"/>
      <c r="S337" s="23">
        <v>540696</v>
      </c>
      <c r="T337" s="26"/>
      <c r="U337" s="26"/>
      <c r="V337" s="26"/>
      <c r="W337" s="25">
        <v>83.407408000000004</v>
      </c>
      <c r="X337" s="27"/>
      <c r="Y337" s="27"/>
      <c r="AA337" s="19">
        <f t="shared" si="63"/>
        <v>1.6317628</v>
      </c>
      <c r="AB337" s="20">
        <f t="shared" si="64"/>
        <v>11.987875205122624</v>
      </c>
      <c r="AC337" s="20">
        <f t="shared" si="65"/>
        <v>11.909703680611862</v>
      </c>
      <c r="AD337" s="21"/>
      <c r="AE337" s="20">
        <f t="shared" si="58"/>
        <v>4.1144763615232199E-2</v>
      </c>
      <c r="AF337" s="20">
        <f t="shared" si="66"/>
        <v>11.987875205122624</v>
      </c>
      <c r="AG337" s="22">
        <v>8167066</v>
      </c>
      <c r="AH337" s="23">
        <v>97905768</v>
      </c>
      <c r="AI337" s="23">
        <v>97267336</v>
      </c>
      <c r="AJ337" s="24"/>
      <c r="AK337" s="23">
        <v>336032</v>
      </c>
      <c r="AL337" s="26"/>
      <c r="AM337" s="26"/>
      <c r="AN337" s="26"/>
      <c r="AO337" s="25">
        <v>82.615735999999998</v>
      </c>
      <c r="AP337" s="27"/>
      <c r="AQ337" s="27"/>
      <c r="AS337" s="28">
        <f t="shared" si="67"/>
        <v>2.1936998008200703E-3</v>
      </c>
      <c r="AT337" s="28"/>
      <c r="AV337" s="30"/>
      <c r="AW337" s="30"/>
      <c r="AX337" s="30"/>
      <c r="AY337" s="29"/>
      <c r="BA337" s="30"/>
      <c r="BB337" s="30"/>
      <c r="BC337" s="30"/>
      <c r="BD337" s="29"/>
    </row>
    <row r="338" spans="1:56" outlineLevel="1" x14ac:dyDescent="0.15">
      <c r="A338" s="31"/>
      <c r="B338" s="31" t="s">
        <v>398</v>
      </c>
      <c r="C338" s="32" t="s">
        <v>228</v>
      </c>
      <c r="D338" s="31">
        <v>8167066</v>
      </c>
      <c r="E338" s="33">
        <v>18</v>
      </c>
      <c r="F338" s="32">
        <v>300</v>
      </c>
      <c r="G338" s="32">
        <v>5</v>
      </c>
      <c r="I338" s="34">
        <f t="shared" si="59"/>
        <v>1.6496632</v>
      </c>
      <c r="J338" s="35">
        <f t="shared" si="60"/>
        <v>12.119381917569909</v>
      </c>
      <c r="K338" s="35">
        <f t="shared" si="61"/>
        <v>11.909703680611862</v>
      </c>
      <c r="L338" s="36"/>
      <c r="M338" s="35">
        <f t="shared" si="57"/>
        <v>0.17118216015396473</v>
      </c>
      <c r="N338" s="35">
        <f t="shared" si="62"/>
        <v>12.119381917569909</v>
      </c>
      <c r="O338" s="37">
        <v>8167066</v>
      </c>
      <c r="P338" s="38">
        <v>98979792</v>
      </c>
      <c r="Q338" s="38">
        <v>97267336</v>
      </c>
      <c r="R338" s="39"/>
      <c r="S338" s="38">
        <v>1398056</v>
      </c>
      <c r="T338" s="41"/>
      <c r="U338" s="41"/>
      <c r="V338" s="41"/>
      <c r="W338" s="40">
        <v>85.622421000000003</v>
      </c>
      <c r="X338" s="42"/>
      <c r="Y338" s="42"/>
      <c r="AA338" s="34">
        <f t="shared" si="63"/>
        <v>1.6410774666666665</v>
      </c>
      <c r="AB338" s="35">
        <f t="shared" si="64"/>
        <v>12.056306144703619</v>
      </c>
      <c r="AC338" s="35">
        <f t="shared" si="65"/>
        <v>11.909703680611862</v>
      </c>
      <c r="AD338" s="36"/>
      <c r="AE338" s="35">
        <f t="shared" si="58"/>
        <v>0.10957570319622738</v>
      </c>
      <c r="AF338" s="35">
        <f t="shared" si="66"/>
        <v>12.056306144703619</v>
      </c>
      <c r="AG338" s="37">
        <v>8167066</v>
      </c>
      <c r="AH338" s="38">
        <v>98464648</v>
      </c>
      <c r="AI338" s="38">
        <v>97267336</v>
      </c>
      <c r="AJ338" s="39"/>
      <c r="AK338" s="38">
        <v>894912</v>
      </c>
      <c r="AL338" s="41"/>
      <c r="AM338" s="41"/>
      <c r="AN338" s="41"/>
      <c r="AO338" s="40">
        <v>84.726142999999993</v>
      </c>
      <c r="AP338" s="42"/>
      <c r="AQ338" s="42"/>
      <c r="AS338" s="43">
        <f t="shared" si="67"/>
        <v>5.1412508904637999E-3</v>
      </c>
      <c r="AT338" s="43"/>
      <c r="AV338" s="45"/>
      <c r="AW338" s="45"/>
      <c r="AX338" s="45"/>
      <c r="AY338" s="44"/>
      <c r="BA338" s="45"/>
      <c r="BB338" s="45"/>
      <c r="BC338" s="45"/>
      <c r="BD338" s="44"/>
    </row>
    <row r="339" spans="1:56" outlineLevel="1" x14ac:dyDescent="0.15">
      <c r="A339" s="16"/>
      <c r="B339" s="16" t="s">
        <v>398</v>
      </c>
      <c r="C339" s="17" t="s">
        <v>229</v>
      </c>
      <c r="D339" s="16">
        <v>8167066</v>
      </c>
      <c r="E339" s="18">
        <v>18</v>
      </c>
      <c r="F339" s="17">
        <v>300</v>
      </c>
      <c r="G339" s="17">
        <v>5</v>
      </c>
      <c r="I339" s="19">
        <f t="shared" si="59"/>
        <v>1.6837881333333333</v>
      </c>
      <c r="J339" s="20">
        <f t="shared" si="60"/>
        <v>12.370083454694745</v>
      </c>
      <c r="K339" s="20">
        <f t="shared" si="61"/>
        <v>11.909703680611862</v>
      </c>
      <c r="L339" s="21"/>
      <c r="M339" s="20">
        <f t="shared" si="57"/>
        <v>0.42188369727880243</v>
      </c>
      <c r="N339" s="20">
        <f t="shared" si="62"/>
        <v>12.370083454694745</v>
      </c>
      <c r="O339" s="22">
        <v>8167066</v>
      </c>
      <c r="P339" s="23">
        <v>101027288</v>
      </c>
      <c r="Q339" s="23">
        <v>97267336</v>
      </c>
      <c r="R339" s="24"/>
      <c r="S339" s="23">
        <v>3445552</v>
      </c>
      <c r="T339" s="26"/>
      <c r="U339" s="26"/>
      <c r="V339" s="26"/>
      <c r="W339" s="25">
        <v>88.641762</v>
      </c>
      <c r="X339" s="27"/>
      <c r="Y339" s="27"/>
      <c r="AA339" s="19">
        <f t="shared" si="63"/>
        <v>1.6677633333333333</v>
      </c>
      <c r="AB339" s="20">
        <f t="shared" si="64"/>
        <v>12.252355986837868</v>
      </c>
      <c r="AC339" s="20">
        <f t="shared" si="65"/>
        <v>11.909703680611862</v>
      </c>
      <c r="AD339" s="21"/>
      <c r="AE339" s="20">
        <f t="shared" si="58"/>
        <v>0.30562554533047731</v>
      </c>
      <c r="AF339" s="20">
        <f t="shared" si="66"/>
        <v>12.252355986837868</v>
      </c>
      <c r="AG339" s="22">
        <v>8167066</v>
      </c>
      <c r="AH339" s="23">
        <v>100065800</v>
      </c>
      <c r="AI339" s="23">
        <v>97267336</v>
      </c>
      <c r="AJ339" s="24"/>
      <c r="AK339" s="23">
        <v>2496064</v>
      </c>
      <c r="AL339" s="26"/>
      <c r="AM339" s="26"/>
      <c r="AN339" s="26"/>
      <c r="AO339" s="25">
        <v>87.684826999999999</v>
      </c>
      <c r="AP339" s="27"/>
      <c r="AQ339" s="27"/>
      <c r="AS339" s="28">
        <f t="shared" si="67"/>
        <v>9.2509540348236774E-3</v>
      </c>
      <c r="AT339" s="28"/>
      <c r="AV339" s="30"/>
      <c r="AW339" s="30"/>
      <c r="AX339" s="30"/>
      <c r="AY339" s="29"/>
      <c r="BA339" s="30"/>
      <c r="BB339" s="30"/>
      <c r="BC339" s="30"/>
      <c r="BD339" s="29"/>
    </row>
    <row r="340" spans="1:56" outlineLevel="1" x14ac:dyDescent="0.15">
      <c r="A340" s="46"/>
      <c r="B340" s="46" t="s">
        <v>398</v>
      </c>
      <c r="C340" s="47" t="s">
        <v>230</v>
      </c>
      <c r="D340" s="46">
        <v>8167066</v>
      </c>
      <c r="E340" s="48">
        <v>18</v>
      </c>
      <c r="F340" s="47">
        <v>300</v>
      </c>
      <c r="G340" s="47">
        <v>5</v>
      </c>
      <c r="I340" s="49">
        <f t="shared" si="59"/>
        <v>1.7445686666666667</v>
      </c>
      <c r="J340" s="50">
        <f t="shared" si="60"/>
        <v>12.816612477479673</v>
      </c>
      <c r="K340" s="50">
        <f t="shared" si="61"/>
        <v>11.909703680611862</v>
      </c>
      <c r="L340" s="51"/>
      <c r="M340" s="50">
        <f t="shared" si="57"/>
        <v>0.86841272006372916</v>
      </c>
      <c r="N340" s="50">
        <f t="shared" si="62"/>
        <v>12.816612477479673</v>
      </c>
      <c r="O340" s="52">
        <v>8167066</v>
      </c>
      <c r="P340" s="53">
        <v>104674120</v>
      </c>
      <c r="Q340" s="53">
        <v>97267336</v>
      </c>
      <c r="R340" s="54"/>
      <c r="S340" s="53">
        <v>7092384</v>
      </c>
      <c r="T340" s="56"/>
      <c r="U340" s="56"/>
      <c r="V340" s="56"/>
      <c r="W340" s="55">
        <v>92.806118999999995</v>
      </c>
      <c r="X340" s="57"/>
      <c r="Y340" s="57"/>
      <c r="AA340" s="49">
        <f t="shared" si="63"/>
        <v>1.7177766666666667</v>
      </c>
      <c r="AB340" s="50">
        <f t="shared" si="64"/>
        <v>12.619782918369951</v>
      </c>
      <c r="AC340" s="50">
        <f t="shared" si="65"/>
        <v>11.909703680611862</v>
      </c>
      <c r="AD340" s="51"/>
      <c r="AE340" s="50">
        <f t="shared" si="58"/>
        <v>0.67305247686255998</v>
      </c>
      <c r="AF340" s="50">
        <f t="shared" si="66"/>
        <v>12.619782918369951</v>
      </c>
      <c r="AG340" s="52">
        <v>8167066</v>
      </c>
      <c r="AH340" s="53">
        <v>103066600</v>
      </c>
      <c r="AI340" s="53">
        <v>97267336</v>
      </c>
      <c r="AJ340" s="54"/>
      <c r="AK340" s="53">
        <v>5496864</v>
      </c>
      <c r="AL340" s="56"/>
      <c r="AM340" s="56"/>
      <c r="AN340" s="56"/>
      <c r="AO340" s="55">
        <v>91.408220999999998</v>
      </c>
      <c r="AP340" s="57"/>
      <c r="AQ340" s="57"/>
      <c r="AS340" s="58">
        <f t="shared" si="67"/>
        <v>1.4493261835596516E-2</v>
      </c>
      <c r="AT340" s="58"/>
      <c r="AV340" s="60"/>
      <c r="AW340" s="60"/>
      <c r="AX340" s="60"/>
      <c r="AY340" s="59"/>
      <c r="BA340" s="60"/>
      <c r="BB340" s="60"/>
      <c r="BC340" s="60"/>
      <c r="BD340" s="59"/>
    </row>
    <row r="341" spans="1:56" x14ac:dyDescent="0.15">
      <c r="B341" s="61" t="s">
        <v>401</v>
      </c>
      <c r="J341" s="62">
        <f>AVERAGE(J5:J136)</f>
        <v>4.8166708370822331</v>
      </c>
      <c r="K341" s="62">
        <f>AVERAGE(K5:K136)</f>
        <v>4.2144656323827689</v>
      </c>
      <c r="L341" s="62">
        <f>AVERAGE(L5:L136)</f>
        <v>0.6017872533963754</v>
      </c>
      <c r="M341" s="63"/>
      <c r="AB341" s="62">
        <f>AVERAGE(AB5:AB136)</f>
        <v>4.6499975445680803</v>
      </c>
      <c r="AC341" s="62">
        <f>AVERAGE(AC5:AC136)</f>
        <v>4.2144656323827689</v>
      </c>
      <c r="AD341" s="62">
        <f>AVERAGE(AD5:AD136)</f>
        <v>0.43511939436700553</v>
      </c>
      <c r="AE341" s="63"/>
      <c r="AT341" s="8">
        <f>AVERAGE(AT5:AT136)</f>
        <v>3.3932400427363202E-2</v>
      </c>
      <c r="AV341" s="4">
        <f>AVERAGE(AV5:AV136)</f>
        <v>9.673963860918032E-3</v>
      </c>
      <c r="AW341" s="4">
        <f>AVERAGE(AW5:AW136)</f>
        <v>0.15030735739440429</v>
      </c>
      <c r="AX341" s="4">
        <f>AVERAGE(AX5:AX136)</f>
        <v>0.2966525223629658</v>
      </c>
      <c r="AY341" s="5"/>
      <c r="BA341" s="4">
        <f>AVERAGE(BA5:BA136)</f>
        <v>-5.8111221440505208E-3</v>
      </c>
      <c r="BB341" s="4">
        <f>AVERAGE(BB5:BB136)</f>
        <v>2.5449324394860109E-2</v>
      </c>
      <c r="BC341" s="4">
        <f>AVERAGE(BC5:BC136)</f>
        <v>2.8075453416656241E-2</v>
      </c>
      <c r="BD341" s="5"/>
    </row>
    <row r="342" spans="1:56" x14ac:dyDescent="0.15">
      <c r="B342" s="61" t="s">
        <v>402</v>
      </c>
      <c r="J342" s="62">
        <f>AVERAGE(J137:J280)</f>
        <v>22.025237436753411</v>
      </c>
      <c r="K342" s="62">
        <f>AVERAGE(K137:K280)</f>
        <v>20.911408881280284</v>
      </c>
      <c r="L342" s="62">
        <f>AVERAGE(L137:L280)</f>
        <v>1.1134756952832907</v>
      </c>
      <c r="M342" s="63"/>
      <c r="AB342" s="62">
        <f>AVERAGE(AB137:AB280)</f>
        <v>21.735568187377851</v>
      </c>
      <c r="AC342" s="62">
        <f>AVERAGE(AC137:AC280)</f>
        <v>20.911408881280284</v>
      </c>
      <c r="AD342" s="62">
        <f>AVERAGE(AD137:AD280)</f>
        <v>0.8238106109076434</v>
      </c>
      <c r="AE342" s="63"/>
      <c r="AT342" s="8">
        <f>AVERAGE(AT137:AT280)</f>
        <v>1.4734272211157237E-2</v>
      </c>
      <c r="AV342" s="4">
        <f>AVERAGE(AV137:AV280)</f>
        <v>-7.6134480725570511E-2</v>
      </c>
      <c r="AW342" s="4">
        <f>AVERAGE(AW137:AW280)</f>
        <v>9.9615895764068429E-2</v>
      </c>
      <c r="AX342" s="4">
        <f>AVERAGE(AX137:AX280)</f>
        <v>0.19226825187211227</v>
      </c>
      <c r="AY342" s="5"/>
      <c r="BA342" s="4">
        <f>AVERAGE(BA137:BA280)</f>
        <v>-6.3985974840789174E-3</v>
      </c>
      <c r="BB342" s="4">
        <f>AVERAGE(BB137:BB280)</f>
        <v>4.5049596307728161E-3</v>
      </c>
      <c r="BC342" s="4">
        <f>AVERAGE(BC137:BC280)</f>
        <v>5.2504503463843737E-3</v>
      </c>
      <c r="BD342" s="5"/>
    </row>
    <row r="343" spans="1:56" x14ac:dyDescent="0.15">
      <c r="B343" s="61" t="s">
        <v>403</v>
      </c>
      <c r="J343" s="62">
        <f>AVERAGE(J281:J298)</f>
        <v>22.297957080584979</v>
      </c>
      <c r="K343" s="62">
        <f>AVERAGE(K281:K298)</f>
        <v>19.697263571956881</v>
      </c>
      <c r="L343" s="62">
        <f>AVERAGE(L281:L298)</f>
        <v>1.6718704189978637</v>
      </c>
      <c r="M343" s="62">
        <f>AVERAGE(M281:M298)</f>
        <v>0.92855930800097275</v>
      </c>
      <c r="AB343" s="62">
        <f>AVERAGE(AB281:AB298)</f>
        <v>21.712213782593167</v>
      </c>
      <c r="AC343" s="62">
        <f>AVERAGE(AC281:AC298)</f>
        <v>19.697263571956881</v>
      </c>
      <c r="AD343" s="62">
        <f>AVERAGE(AD281:AD298)</f>
        <v>1.2773631836400645</v>
      </c>
      <c r="AE343" s="62">
        <f>AVERAGE(AE281:AE298)</f>
        <v>0.73733389323095522</v>
      </c>
      <c r="AT343" s="8">
        <f>AVERAGE(AT281:AT298)</f>
        <v>2.1597369962115514E-2</v>
      </c>
      <c r="AV343" s="4">
        <f>AVERAGE(AV281:AV298)</f>
        <v>-0.11882111733148171</v>
      </c>
      <c r="AW343" s="4">
        <f>AVERAGE(AW281:AW298)</f>
        <v>-4.8183716006475384E-2</v>
      </c>
      <c r="AX343" s="4">
        <f>AVERAGE(AX281:AX298)</f>
        <v>-4.4312676955016173E-2</v>
      </c>
      <c r="AY343" s="4">
        <f>AVERAGE(AY281:AY298)</f>
        <v>-6.912228775369178E-2</v>
      </c>
      <c r="BA343" s="4">
        <f>AVERAGE(BA281:BA298)</f>
        <v>-9.2256153435662878E-3</v>
      </c>
      <c r="BB343" s="4">
        <f>AVERAGE(BB281:BB298)</f>
        <v>-4.7744988099771941E-3</v>
      </c>
      <c r="BC343" s="4">
        <f>AVERAGE(BC281:BC298)</f>
        <v>-5.4434103160042975E-3</v>
      </c>
      <c r="BD343" s="4">
        <f>AVERAGE(BD281:BD298)</f>
        <v>-8.3254468815431304E-3</v>
      </c>
    </row>
    <row r="344" spans="1:56" x14ac:dyDescent="0.15">
      <c r="B344" s="61" t="s">
        <v>404</v>
      </c>
      <c r="J344" s="62">
        <f>AVERAGE(J299:J340)</f>
        <v>14.589397838735097</v>
      </c>
      <c r="K344" s="62">
        <f>AVERAGE(K299:K340)</f>
        <v>13.978217927319671</v>
      </c>
      <c r="L344" s="63"/>
      <c r="M344" s="62">
        <f>AVERAGE(M299:M340)</f>
        <v>0.58066952758930357</v>
      </c>
      <c r="AB344" s="62">
        <f>AVERAGE(AB299:AB340)</f>
        <v>14.477992836657522</v>
      </c>
      <c r="AC344" s="62">
        <f>AVERAGE(AC299:AC340)</f>
        <v>13.978217927319671</v>
      </c>
      <c r="AD344" s="63"/>
      <c r="AE344" s="62">
        <f>AVERAGE(AE299:AE340)</f>
        <v>0.47024301098941007</v>
      </c>
      <c r="AT344" s="8">
        <f>AVERAGE(AT299:AT340)</f>
        <v>6.5623015461185085E-3</v>
      </c>
      <c r="AV344" s="5"/>
      <c r="AW344" s="5"/>
      <c r="AX344" s="5"/>
      <c r="AY344" s="4">
        <f>AVERAGE(AY299:AY340)</f>
        <v>-6.0811183674634263E-2</v>
      </c>
      <c r="BA344" s="5"/>
      <c r="BB344" s="5"/>
      <c r="BC344" s="5"/>
      <c r="BD344" s="4">
        <f>AVERAGE(BD299:BD340)</f>
        <v>-2.0375281722589795E-3</v>
      </c>
    </row>
    <row r="345" spans="1:56" x14ac:dyDescent="0.15">
      <c r="B345" s="61" t="s">
        <v>405</v>
      </c>
      <c r="J345" s="62">
        <f>AVERAGE(J5:J340)</f>
        <v>14.349859160906993</v>
      </c>
      <c r="K345" s="62">
        <f>AVERAGE(K5:K340)</f>
        <v>13.420203094111695</v>
      </c>
      <c r="L345" s="62">
        <f>AVERAGE(L5:L298)</f>
        <v>0.91792545956148641</v>
      </c>
      <c r="M345" s="62">
        <f>AVERAGE(M281:M340)</f>
        <v>0.68503646171280452</v>
      </c>
      <c r="AB345" s="62">
        <f>AVERAGE(AB5:AB340)</f>
        <v>14.114931672891942</v>
      </c>
      <c r="AC345" s="62">
        <f>AVERAGE(AC5:AC340)</f>
        <v>13.420203094111695</v>
      </c>
      <c r="AD345" s="62">
        <f>AVERAGE(AD5:AD298)</f>
        <v>0.67706471201587271</v>
      </c>
      <c r="AE345" s="62">
        <f>AVERAGE(AE281:AE340)</f>
        <v>0.55037027566187346</v>
      </c>
      <c r="AT345" s="8">
        <f>AVERAGE(AT5:AT340)</f>
        <v>2.1622563628195344E-2</v>
      </c>
      <c r="AV345" s="4">
        <f>AVERAGE(AV5:AV298)</f>
        <v>-4.0221707846284503E-2</v>
      </c>
      <c r="AW345" s="4">
        <f>AVERAGE(AW5:AW298)</f>
        <v>0.11332637169377778</v>
      </c>
      <c r="AX345" s="4">
        <f>AVERAGE(AX5:AX298)</f>
        <v>0.22465011236838561</v>
      </c>
      <c r="AY345" s="4">
        <f>AVERAGE(AY281:AY340)</f>
        <v>-6.330451489835151E-2</v>
      </c>
      <c r="BA345" s="4">
        <f>AVERAGE(BA5:BA298)</f>
        <v>-6.3079157717898845E-3</v>
      </c>
      <c r="BB345" s="4">
        <f>AVERAGE(BB5:BB298)</f>
        <v>1.334042186521507E-2</v>
      </c>
      <c r="BC345" s="4">
        <f>AVERAGE(BC5:BC298)</f>
        <v>1.4843684745543866E-2</v>
      </c>
      <c r="BD345" s="4">
        <f>AVERAGE(BD281:BD340)</f>
        <v>-3.9239037850442252E-3</v>
      </c>
    </row>
    <row r="346" spans="1:56" hidden="1" outlineLevel="2" x14ac:dyDescent="0.15">
      <c r="A346" s="61" t="s">
        <v>406</v>
      </c>
      <c r="B346" s="61" t="s">
        <v>407</v>
      </c>
      <c r="X346" s="64">
        <f>SUM(X5:X136,X137:X280,X281:X298,X299:X340)</f>
        <v>0</v>
      </c>
      <c r="Y346" s="64">
        <f>SUM(Y5:Y136,Y137:Y280,Y281:Y298,Y299:Y340)</f>
        <v>0</v>
      </c>
      <c r="AP346" s="64">
        <f>SUM(AP5:AP136,AP137:AP280,AP281:AP298,AP299:AP340)</f>
        <v>0</v>
      </c>
      <c r="AQ346" s="64">
        <f>SUM(AQ5:AQ136,AQ137:AQ280,AQ281:AQ298,AQ299:AQ340)</f>
        <v>0</v>
      </c>
    </row>
    <row r="347" spans="1:56" hidden="1" outlineLevel="2" x14ac:dyDescent="0.15">
      <c r="B347" s="61" t="s">
        <v>408</v>
      </c>
      <c r="AP347" s="8" t="e">
        <f>AP346/X346</f>
        <v>#DIV/0!</v>
      </c>
      <c r="AQ347" s="8" t="e">
        <f>AQ346/Y346</f>
        <v>#DIV/0!</v>
      </c>
    </row>
    <row r="348" spans="1:56" ht="27" hidden="1" outlineLevel="2" x14ac:dyDescent="0.15">
      <c r="B348" s="61" t="s">
        <v>409</v>
      </c>
      <c r="X348" s="64" t="e">
        <f>GEOMEAN(X5:X136,X137:X280,X281:X298,X299:X340)</f>
        <v>#NUM!</v>
      </c>
      <c r="Y348" s="64" t="e">
        <f>GEOMEAN(Y5:Y136,Y137:Y280,Y281:Y298,Y299:Y340)</f>
        <v>#NUM!</v>
      </c>
      <c r="AP348" s="64" t="e">
        <f>GEOMEAN(AP5:AP136,AP137:AP280,AP281:AP298,AP299:AP340)</f>
        <v>#NUM!</v>
      </c>
      <c r="AQ348" s="64" t="e">
        <f>GEOMEAN(AQ5:AQ136,AQ137:AQ280,AQ281:AQ298,AQ299:AQ340)</f>
        <v>#NUM!</v>
      </c>
    </row>
    <row r="349" spans="1:56" ht="27" outlineLevel="2" collapsed="1" x14ac:dyDescent="0.15">
      <c r="B349" s="61" t="s">
        <v>410</v>
      </c>
      <c r="AP349" s="8" t="e">
        <f>AP348/X348</f>
        <v>#NUM!</v>
      </c>
      <c r="AQ349" s="8" t="e">
        <f>AQ348/Y348</f>
        <v>#NUM!</v>
      </c>
    </row>
  </sheetData>
  <mergeCells count="30">
    <mergeCell ref="A2:A3"/>
    <mergeCell ref="B2:B3"/>
    <mergeCell ref="C2:C3"/>
    <mergeCell ref="D2:D3"/>
    <mergeCell ref="E2:E3"/>
    <mergeCell ref="P2:S2"/>
    <mergeCell ref="T2:W2"/>
    <mergeCell ref="X2:X3"/>
    <mergeCell ref="Y2:Y3"/>
    <mergeCell ref="F2:F3"/>
    <mergeCell ref="G2:G3"/>
    <mergeCell ref="I2:I3"/>
    <mergeCell ref="J2:M2"/>
    <mergeCell ref="N2:N3"/>
    <mergeCell ref="AV2:AY2"/>
    <mergeCell ref="BA2:BD2"/>
    <mergeCell ref="A1:G1"/>
    <mergeCell ref="I1:Y1"/>
    <mergeCell ref="AA1:AQ1"/>
    <mergeCell ref="AL2:AO2"/>
    <mergeCell ref="AP2:AP3"/>
    <mergeCell ref="AQ2:AQ3"/>
    <mergeCell ref="AS2:AS3"/>
    <mergeCell ref="AT2:AT3"/>
    <mergeCell ref="AA2:AA3"/>
    <mergeCell ref="AB2:AE2"/>
    <mergeCell ref="AF2:AF3"/>
    <mergeCell ref="AG2:AG3"/>
    <mergeCell ref="AH2:AK2"/>
    <mergeCell ref="O2:O3"/>
  </mergeCells>
  <phoneticPr fontId="2" type="noConversion"/>
  <conditionalFormatting sqref="AV5 AV6 AV7 AV8 AV9 AV10 AV11 AV12 AV13 AV14 AV15 AV16 AV17 AV18 AV19 AV20 AV21 AV22 AV23 AV24 AV25 AV26 AV27 AV28 AV29 AV30 AV31 AV32 AV33 AV34 AV35 AV36 AV37 AV38 AV39 AV40 AV41 AV42 AV43 AV44 AV45 AV46 AV47 AV48 AV49 AV50 AV51 AV52 AV53 AV54 AV55 AV56 AV57 AV58 AV59 AV60 AV61 AV62 AV63 AV64 AV65 AV66 AV67 AV68 AV69 AV70 AV71 AV72 AV73 AV74 AV75 AV76 AV77 AV78 AV79 AV80 AV81 AV82 AV83 AV84 AV85 AV86 AV87 AV88 AV89 AV90 AV91 AV92 AV93 AV94 AV95 AV96 AV97 AV98 AV99 AV100 AV101 AV102 AV103 AV104 AV105 AV106 AV107 AV108 AV109 AV110 AV111 AV112 AV113 AV114 AV115 AV116 AV117 AV118 AV119 AV120 AV121 AV122 AV123 AV124 AV125 AV126 AV127 AV128 AV129 AV130 AV131 AV132 AV133 AV134 AV135 AV136 AV137 AV138 AV139 AV140 AV141 AV142 AV143 AV144 AV145 AV146 AV147 AV148 AV149 AV150 AV151 AV152 AV153 AV154 AV155 AV156 AV157 AV158 AV159 AV160 AV161 AV162 AV163 AV164 AV165 AV166 AV167 AV168 AV169 AV170 AV171 AV172 AV173 AV174 AV175 AV176 AV177 AV178 AV179 AV180 AV181 AV182 AV183 AV184 AV185 AV186 AV187 AV188 AV189 AV190 AV191 AV192 AV193 AV194 AV195 AV196 AV197 AV198 AV199 AV200 AV201 AV202 AV203 AV204 AV205 AV206 AV207 AV208 AV209 AV210 AV211 AV212 AV213 AV214 AV215 AV216 AV217 AV218 AV219 AV220 AV221 AV222 AV223 AV224 AV225 AV226 AV227 AV228 AV229 AV230 AV231 AV232 AV233 AV234 AV235 AV236 AV237 AV238 AV239 AV240 AV241 AV242 AV243 AV244 AV245 AV246 AV247 AV248 AV249 AV250 AV251 AV252 AV253 AV254 AV255 AV256 AV257 AV258 AV259 AV260 AV261 AV262 AV263 AV264 AV265 AV266 AV267 AV268 AV269 AV270 AV271 AV272 AV273 AV274 AV275 AV276 AV277 AV278 AV279 AV280 AV281 AV282 AV283 AV284 AV285 AV286 AV287 AV288 AV289 AV290 AV291 AV292 AV293 AV294 AV295 AV296 AV297 AV298 AV299 AV300 AV301 AV302 AV303 AV304 AV305 AV306 AV307 AV308 AV309 AV310 AV311 AV312 AV313 AV314 AV315 AV316 AV317 AV318 AV319 AV320 AV321 AV322 AV323 AV324 AV325 AV326 AV327 AV328 AV329 AV330 AV331 AV332 AV333 AV334 AV335 AV336 AV337 AV338 AV339 AV340 AV341 AV342 AV343 AV345">
    <cfRule type="cellIs" dxfId="79" priority="13" operator="greaterThanOrEqual">
      <formula>0.03</formula>
    </cfRule>
    <cfRule type="cellIs" dxfId="78" priority="14" operator="lessThanOrEqual">
      <formula>-0.03</formula>
    </cfRule>
  </conditionalFormatting>
  <conditionalFormatting sqref="AW5 AW6 AW7 AW8 AW9 AW10 AW11 AW12 AW13 AW14 AW15 AW16 AW17 AW18 AW19 AW20 AW21 AW22 AW23 AW24 AW25 AW26 AW27 AW28 AW29 AW30 AW31 AW32 AW33 AW34 AW35 AW36 AW37 AW38 AW39 AW40 AW41 AW42 AW43 AW44 AW45 AW46 AW47 AW48 AW49 AW50 AW51 AW52 AW53 AW54 AW55 AW56 AW57 AW58 AW59 AW60 AW61 AW62 AW63 AW64 AW65 AW66 AW67 AW68 AW69 AW70 AW71 AW72 AW73 AW74 AW75 AW76 AW77 AW78 AW79 AW80 AW81 AW82 AW83 AW84 AW85 AW86 AW87 AW88 AW89 AW90 AW91 AW92 AW93 AW94 AW95 AW96 AW97 AW98 AW99 AW100 AW101 AW102 AW103 AW104 AW105 AW106 AW107 AW108 AW109 AW110 AW111 AW112 AW113 AW114 AW115 AW116 AW117 AW118 AW119 AW120 AW121 AW122 AW123 AW124 AW125 AW126 AW127 AW128 AW129 AW130 AW131 AW132 AW133 AW134 AW135 AW136 AW137 AW138 AW139 AW140 AW141 AW142 AW143 AW144 AW145 AW146 AW147 AW148 AW149 AW150 AW151 AW152 AW153 AW154 AW155 AW156 AW157 AW158 AW159 AW160 AW161 AW162 AW163 AW164 AW165 AW166 AW167 AW168 AW169 AW170 AW171 AW172 AW173 AW174 AW175 AW176 AW177 AW178 AW179 AW180 AW181 AW182 AW183 AW184 AW185 AW186 AW187 AW188 AW189 AW190 AW191 AW192 AW193 AW194 AW195 AW196 AW197 AW198 AW199 AW200 AW201 AW202 AW203 AW204 AW205 AW206 AW207 AW208 AW209 AW210 AW211 AW212 AW213 AW214 AW215 AW216 AW217 AW218 AW219 AW220 AW221 AW222 AW223 AW224 AW225 AW226 AW227 AW228 AW229 AW230 AW231 AW232 AW233 AW234 AW235 AW236 AW237 AW238 AW239 AW240 AW241 AW242 AW243 AW244 AW245 AW246 AW247 AW248 AW249 AW250 AW251 AW252 AW253 AW254 AW255 AW256 AW257 AW258 AW259 AW260 AW261 AW262 AW263 AW264 AW265 AW266 AW267 AW268 AW269 AW270 AW271 AW272 AW273 AW274 AW275 AW276 AW277 AW278 AW279 AW280 AW281 AW282 AW283 AW284 AW285 AW286 AW287 AW288 AW289 AW290 AW291 AW292 AW293 AW294 AW295 AW296 AW297 AW298 AW299 AW300 AW301 AW302 AW303 AW304 AW305 AW306 AW307 AW308 AW309 AW310 AW311 AW312 AW313 AW314 AW315 AW316 AW317 AW318 AW319 AW320 AW321 AW322 AW323 AW324 AW325 AW326 AW327 AW328 AW329 AW330 AW331 AW332 AW333 AW334 AW335 AW336 AW337 AW338 AW339 AW340 AW341 AW342 AW343 AW345">
    <cfRule type="cellIs" dxfId="77" priority="15" operator="greaterThanOrEqual">
      <formula>0.03</formula>
    </cfRule>
    <cfRule type="cellIs" dxfId="76" priority="16" operator="lessThanOrEqual">
      <formula>-0.03</formula>
    </cfRule>
  </conditionalFormatting>
  <conditionalFormatting sqref="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AX230 AX231 AX232 AX233 AX234 AX235 AX236 AX237 AX238 AX239 AX240 AX241 AX242 AX243 AX244 AX245 AX246 AX247 AX248 AX249 AX250 AX251 AX252 AX253 AX254 AX255 AX256 AX257 AX258 AX259 AX260 AX261 AX262 AX263 AX264 AX265 AX266 AX267 AX268 AX269 AX270 AX271 AX272 AX273 AX274 AX275 AX276 AX277 AX278 AX279 AX280 AX281 AX282 AX283 AX284 AX285 AX286 AX287 AX288 AX289 AX290 AX291 AX292 AX293 AX294 AX295 AX296 AX297 AX298 AX299 AX300 AX301 AX302 AX303 AX304 AX305 AX306 AX307 AX308 AX309 AX310 AX311 AX312 AX313 AX314 AX315 AX316 AX317 AX318 AX319 AX320 AX321 AX322 AX323 AX324 AX325 AX326 AX327 AX328 AX329 AX330 AX331 AX332 AX333 AX334 AX335 AX336 AX337 AX338 AX339 AX340 AX341 AX342 AX343 AX345">
    <cfRule type="cellIs" dxfId="75" priority="11" operator="greaterThanOrEqual">
      <formula>0.03</formula>
    </cfRule>
    <cfRule type="cellIs" dxfId="74" priority="12" operator="lessThanOrEqual">
      <formula>-0.03</formula>
    </cfRule>
  </conditionalFormatting>
  <conditionalFormatting sqref="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AY230 AY231 AY232 AY233 AY234 AY235 AY236 AY237 AY238 AY239 AY240 AY241 AY242 AY243 AY244 AY245 AY246 AY247 AY248 AY249 AY250 AY251 AY252 AY253 AY254 AY255 AY256 AY257 AY258 AY259 AY260 AY261 AY262 AY263 AY264 AY265 AY266 AY267 AY268 AY269 AY270 AY271 AY272 AY273 AY274 AY275 AY276 AY277 AY278 AY279 AY280 AY281 AY282 AY283 AY284 AY285 AY286 AY287 AY288 AY289 AY290 AY291 AY292 AY293 AY294 AY295 AY296 AY297 AY298 AY299 AY300 AY301 AY302 AY303 AY304 AY305 AY306 AY307 AY308 AY309 AY310 AY311 AY312 AY313 AY314 AY315 AY316 AY317 AY318 AY319 AY320 AY321 AY322 AY323 AY324 AY325 AY326 AY327 AY328 AY329 AY330 AY331 AY332 AY333 AY334 AY335 AY336 AY337 AY338 AY339 AY340 AY343 AY344 AY345">
    <cfRule type="cellIs" dxfId="73" priority="5" operator="greaterThanOrEqual">
      <formula>0.03</formula>
    </cfRule>
    <cfRule type="cellIs" dxfId="72" priority="6"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5">
    <cfRule type="cellIs" dxfId="71" priority="3" operator="greaterThanOrEqual">
      <formula>0.03</formula>
    </cfRule>
    <cfRule type="cellIs" dxfId="70" priority="4"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69" priority="1" operator="greaterThanOrEqual">
      <formula>0.03</formula>
    </cfRule>
    <cfRule type="cellIs" dxfId="68" priority="2"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67" priority="9" operator="greaterThanOrEqual">
      <formula>0.03</formula>
    </cfRule>
    <cfRule type="cellIs" dxfId="66" priority="10"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3 BD344 BD345">
    <cfRule type="cellIs" dxfId="65" priority="7" operator="greaterThanOrEqual">
      <formula>0.03</formula>
    </cfRule>
    <cfRule type="cellIs" dxfId="64" priority="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53"/>
  <sheetViews>
    <sheetView workbookViewId="0"/>
  </sheetViews>
  <sheetFormatPr defaultRowHeight="13.5" x14ac:dyDescent="0.15"/>
  <sheetData>
    <row r="1" spans="1:2" x14ac:dyDescent="0.15">
      <c r="A1" t="s">
        <v>93</v>
      </c>
      <c r="B1">
        <v>1</v>
      </c>
    </row>
    <row r="2" spans="1:2" x14ac:dyDescent="0.15">
      <c r="A2" t="s">
        <v>96</v>
      </c>
      <c r="B2">
        <v>2</v>
      </c>
    </row>
    <row r="3" spans="1:2" x14ac:dyDescent="0.15">
      <c r="A3" t="s">
        <v>99</v>
      </c>
      <c r="B3">
        <v>3</v>
      </c>
    </row>
    <row r="4" spans="1:2" x14ac:dyDescent="0.15">
      <c r="A4" t="s">
        <v>102</v>
      </c>
      <c r="B4">
        <v>4</v>
      </c>
    </row>
    <row r="5" spans="1:2" x14ac:dyDescent="0.15">
      <c r="A5" t="s">
        <v>105</v>
      </c>
      <c r="B5">
        <v>5</v>
      </c>
    </row>
    <row r="6" spans="1:2" x14ac:dyDescent="0.15">
      <c r="A6" t="s">
        <v>108</v>
      </c>
      <c r="B6">
        <v>6</v>
      </c>
    </row>
    <row r="7" spans="1:2" x14ac:dyDescent="0.15">
      <c r="A7" t="s">
        <v>111</v>
      </c>
      <c r="B7">
        <v>7</v>
      </c>
    </row>
    <row r="8" spans="1:2" x14ac:dyDescent="0.15">
      <c r="A8" t="s">
        <v>114</v>
      </c>
      <c r="B8">
        <v>9</v>
      </c>
    </row>
    <row r="9" spans="1:2" x14ac:dyDescent="0.15">
      <c r="A9" t="s">
        <v>118</v>
      </c>
      <c r="B9">
        <v>10</v>
      </c>
    </row>
    <row r="10" spans="1:2" x14ac:dyDescent="0.15">
      <c r="A10" t="s">
        <v>121</v>
      </c>
      <c r="B10">
        <v>11</v>
      </c>
    </row>
    <row r="11" spans="1:2" x14ac:dyDescent="0.15">
      <c r="A11" t="s">
        <v>124</v>
      </c>
      <c r="B11">
        <v>12</v>
      </c>
    </row>
    <row r="12" spans="1:2" x14ac:dyDescent="0.15">
      <c r="A12" t="s">
        <v>127</v>
      </c>
      <c r="B12">
        <v>13</v>
      </c>
    </row>
    <row r="13" spans="1:2" x14ac:dyDescent="0.15">
      <c r="A13" t="s">
        <v>130</v>
      </c>
      <c r="B13">
        <v>14</v>
      </c>
    </row>
    <row r="14" spans="1:2" x14ac:dyDescent="0.15">
      <c r="A14" t="s">
        <v>132</v>
      </c>
      <c r="B14">
        <v>15</v>
      </c>
    </row>
    <row r="15" spans="1:2" x14ac:dyDescent="0.15">
      <c r="A15" t="s">
        <v>135</v>
      </c>
      <c r="B15">
        <v>16</v>
      </c>
    </row>
    <row r="16" spans="1:2" x14ac:dyDescent="0.15">
      <c r="A16" t="s">
        <v>137</v>
      </c>
      <c r="B16">
        <v>17</v>
      </c>
    </row>
    <row r="17" spans="1:2" x14ac:dyDescent="0.15">
      <c r="A17" t="s">
        <v>140</v>
      </c>
      <c r="B17">
        <v>18</v>
      </c>
    </row>
    <row r="18" spans="1:2" x14ac:dyDescent="0.15">
      <c r="A18" t="s">
        <v>142</v>
      </c>
      <c r="B18">
        <v>19</v>
      </c>
    </row>
    <row r="19" spans="1:2" x14ac:dyDescent="0.15">
      <c r="A19" t="s">
        <v>146</v>
      </c>
      <c r="B19">
        <v>20</v>
      </c>
    </row>
    <row r="20" spans="1:2" x14ac:dyDescent="0.15">
      <c r="A20" t="s">
        <v>149</v>
      </c>
      <c r="B20">
        <v>21</v>
      </c>
    </row>
    <row r="21" spans="1:2" x14ac:dyDescent="0.15">
      <c r="A21" t="s">
        <v>152</v>
      </c>
      <c r="B21">
        <v>22</v>
      </c>
    </row>
    <row r="22" spans="1:2" x14ac:dyDescent="0.15">
      <c r="A22" t="s">
        <v>154</v>
      </c>
      <c r="B22">
        <v>23</v>
      </c>
    </row>
    <row r="23" spans="1:2" x14ac:dyDescent="0.15">
      <c r="A23" t="s">
        <v>157</v>
      </c>
      <c r="B23">
        <v>24</v>
      </c>
    </row>
    <row r="24" spans="1:2" x14ac:dyDescent="0.15">
      <c r="A24" t="s">
        <v>160</v>
      </c>
      <c r="B24">
        <v>25</v>
      </c>
    </row>
    <row r="25" spans="1:2" x14ac:dyDescent="0.15">
      <c r="A25" t="s">
        <v>162</v>
      </c>
      <c r="B25">
        <v>27</v>
      </c>
    </row>
    <row r="26" spans="1:2" x14ac:dyDescent="0.15">
      <c r="A26" t="s">
        <v>164</v>
      </c>
      <c r="B26">
        <v>28</v>
      </c>
    </row>
    <row r="27" spans="1:2" x14ac:dyDescent="0.15">
      <c r="A27" t="s">
        <v>166</v>
      </c>
      <c r="B27">
        <v>29</v>
      </c>
    </row>
    <row r="28" spans="1:2" x14ac:dyDescent="0.15">
      <c r="A28" t="s">
        <v>168</v>
      </c>
      <c r="B28">
        <v>30</v>
      </c>
    </row>
    <row r="29" spans="1:2" x14ac:dyDescent="0.15">
      <c r="A29" t="s">
        <v>170</v>
      </c>
      <c r="B29">
        <v>31</v>
      </c>
    </row>
    <row r="30" spans="1:2" x14ac:dyDescent="0.15">
      <c r="A30" t="s">
        <v>172</v>
      </c>
      <c r="B30">
        <v>32</v>
      </c>
    </row>
    <row r="31" spans="1:2" x14ac:dyDescent="0.15">
      <c r="A31" t="s">
        <v>174</v>
      </c>
      <c r="B31">
        <v>33</v>
      </c>
    </row>
    <row r="32" spans="1:2" x14ac:dyDescent="0.15">
      <c r="A32" t="s">
        <v>176</v>
      </c>
      <c r="B32">
        <v>34</v>
      </c>
    </row>
    <row r="33" spans="1:2" x14ac:dyDescent="0.15">
      <c r="A33" t="s">
        <v>178</v>
      </c>
      <c r="B33">
        <v>35</v>
      </c>
    </row>
    <row r="34" spans="1:2" x14ac:dyDescent="0.15">
      <c r="A34" t="s">
        <v>180</v>
      </c>
      <c r="B34">
        <v>36</v>
      </c>
    </row>
    <row r="35" spans="1:2" x14ac:dyDescent="0.15">
      <c r="A35" t="s">
        <v>182</v>
      </c>
      <c r="B35">
        <v>37</v>
      </c>
    </row>
    <row r="36" spans="1:2" x14ac:dyDescent="0.15">
      <c r="A36" t="s">
        <v>184</v>
      </c>
      <c r="B36">
        <v>38</v>
      </c>
    </row>
    <row r="37" spans="1:2" x14ac:dyDescent="0.15">
      <c r="A37" t="s">
        <v>186</v>
      </c>
      <c r="B37">
        <v>39</v>
      </c>
    </row>
    <row r="38" spans="1:2" x14ac:dyDescent="0.15">
      <c r="A38" t="s">
        <v>188</v>
      </c>
      <c r="B38">
        <v>40</v>
      </c>
    </row>
    <row r="39" spans="1:2" x14ac:dyDescent="0.15">
      <c r="A39" t="s">
        <v>190</v>
      </c>
      <c r="B39">
        <v>41</v>
      </c>
    </row>
    <row r="40" spans="1:2" x14ac:dyDescent="0.15">
      <c r="A40" t="s">
        <v>192</v>
      </c>
      <c r="B40">
        <v>42</v>
      </c>
    </row>
    <row r="41" spans="1:2" x14ac:dyDescent="0.15">
      <c r="A41" t="s">
        <v>194</v>
      </c>
      <c r="B41">
        <v>43</v>
      </c>
    </row>
    <row r="42" spans="1:2" x14ac:dyDescent="0.15">
      <c r="A42" t="s">
        <v>197</v>
      </c>
      <c r="B42">
        <v>45</v>
      </c>
    </row>
    <row r="43" spans="1:2" x14ac:dyDescent="0.15">
      <c r="A43" t="s">
        <v>199</v>
      </c>
      <c r="B43">
        <v>46</v>
      </c>
    </row>
    <row r="44" spans="1:2" x14ac:dyDescent="0.15">
      <c r="A44" t="s">
        <v>202</v>
      </c>
      <c r="B44">
        <v>48</v>
      </c>
    </row>
    <row r="45" spans="1:2" x14ac:dyDescent="0.15">
      <c r="A45" t="s">
        <v>204</v>
      </c>
      <c r="B45">
        <v>49</v>
      </c>
    </row>
    <row r="46" spans="1:2" x14ac:dyDescent="0.15">
      <c r="A46" t="s">
        <v>206</v>
      </c>
      <c r="B46">
        <v>50</v>
      </c>
    </row>
    <row r="47" spans="1:2" x14ac:dyDescent="0.15">
      <c r="A47" t="s">
        <v>208</v>
      </c>
      <c r="B47">
        <v>51</v>
      </c>
    </row>
    <row r="48" spans="1:2" x14ac:dyDescent="0.15">
      <c r="A48" t="s">
        <v>211</v>
      </c>
      <c r="B48">
        <v>53</v>
      </c>
    </row>
    <row r="49" spans="1:2" x14ac:dyDescent="0.15">
      <c r="A49" t="s">
        <v>213</v>
      </c>
      <c r="B49">
        <v>54</v>
      </c>
    </row>
    <row r="50" spans="1:2" x14ac:dyDescent="0.15">
      <c r="A50" t="s">
        <v>215</v>
      </c>
      <c r="B50">
        <v>55</v>
      </c>
    </row>
    <row r="51" spans="1:2" x14ac:dyDescent="0.15">
      <c r="A51" t="s">
        <v>217</v>
      </c>
      <c r="B51">
        <v>56</v>
      </c>
    </row>
    <row r="52" spans="1:2" x14ac:dyDescent="0.15">
      <c r="A52" t="s">
        <v>219</v>
      </c>
      <c r="B52" t="s">
        <v>220</v>
      </c>
    </row>
    <row r="53" spans="1:2" x14ac:dyDescent="0.15">
      <c r="A53" t="s">
        <v>221</v>
      </c>
      <c r="B53" t="s">
        <v>222</v>
      </c>
    </row>
    <row r="54" spans="1:2" x14ac:dyDescent="0.15">
      <c r="A54" t="s">
        <v>231</v>
      </c>
      <c r="B54" t="s">
        <v>232</v>
      </c>
    </row>
    <row r="55" spans="1:2" x14ac:dyDescent="0.15">
      <c r="A55" t="s">
        <v>234</v>
      </c>
      <c r="B55" t="s">
        <v>235</v>
      </c>
    </row>
    <row r="56" spans="1:2" x14ac:dyDescent="0.15">
      <c r="A56" t="s">
        <v>237</v>
      </c>
      <c r="B56" t="s">
        <v>238</v>
      </c>
    </row>
    <row r="57" spans="1:2" x14ac:dyDescent="0.15">
      <c r="A57" t="s">
        <v>240</v>
      </c>
      <c r="B57" t="s">
        <v>241</v>
      </c>
    </row>
    <row r="58" spans="1:2" x14ac:dyDescent="0.15">
      <c r="A58" t="s">
        <v>243</v>
      </c>
      <c r="B58" t="s">
        <v>244</v>
      </c>
    </row>
    <row r="59" spans="1:2" x14ac:dyDescent="0.15">
      <c r="A59" t="s">
        <v>246</v>
      </c>
      <c r="B59" t="s">
        <v>247</v>
      </c>
    </row>
    <row r="60" spans="1:2" x14ac:dyDescent="0.15">
      <c r="A60" t="s">
        <v>249</v>
      </c>
      <c r="B60" t="s">
        <v>250</v>
      </c>
    </row>
    <row r="61" spans="1:2" x14ac:dyDescent="0.15">
      <c r="A61" t="s">
        <v>252</v>
      </c>
      <c r="B61" t="s">
        <v>253</v>
      </c>
    </row>
    <row r="62" spans="1:2" x14ac:dyDescent="0.15">
      <c r="A62" t="s">
        <v>255</v>
      </c>
      <c r="B62" t="s">
        <v>256</v>
      </c>
    </row>
    <row r="63" spans="1:2" x14ac:dyDescent="0.15">
      <c r="A63" t="s">
        <v>258</v>
      </c>
      <c r="B63" t="s">
        <v>259</v>
      </c>
    </row>
    <row r="64" spans="1:2" x14ac:dyDescent="0.15">
      <c r="A64" t="s">
        <v>261</v>
      </c>
      <c r="B64" t="s">
        <v>262</v>
      </c>
    </row>
    <row r="65" spans="1:2" x14ac:dyDescent="0.15">
      <c r="A65" t="s">
        <v>264</v>
      </c>
      <c r="B65" t="s">
        <v>265</v>
      </c>
    </row>
    <row r="66" spans="1:2" x14ac:dyDescent="0.15">
      <c r="A66" t="s">
        <v>267</v>
      </c>
      <c r="B66" t="s">
        <v>268</v>
      </c>
    </row>
    <row r="67" spans="1:2" x14ac:dyDescent="0.15">
      <c r="A67" t="s">
        <v>270</v>
      </c>
      <c r="B67" t="s">
        <v>271</v>
      </c>
    </row>
    <row r="68" spans="1:2" x14ac:dyDescent="0.15">
      <c r="A68" t="s">
        <v>273</v>
      </c>
      <c r="B68" t="s">
        <v>274</v>
      </c>
    </row>
    <row r="69" spans="1:2" x14ac:dyDescent="0.15">
      <c r="A69" t="s">
        <v>276</v>
      </c>
      <c r="B69" t="s">
        <v>277</v>
      </c>
    </row>
    <row r="70" spans="1:2" x14ac:dyDescent="0.15">
      <c r="A70" t="s">
        <v>279</v>
      </c>
      <c r="B70" t="s">
        <v>280</v>
      </c>
    </row>
    <row r="71" spans="1:2" x14ac:dyDescent="0.15">
      <c r="A71" t="s">
        <v>282</v>
      </c>
      <c r="B71" t="s">
        <v>283</v>
      </c>
    </row>
    <row r="72" spans="1:2" x14ac:dyDescent="0.15">
      <c r="A72" t="s">
        <v>285</v>
      </c>
      <c r="B72" t="s">
        <v>286</v>
      </c>
    </row>
    <row r="73" spans="1:2" x14ac:dyDescent="0.15">
      <c r="A73" t="s">
        <v>288</v>
      </c>
      <c r="B73" t="s">
        <v>289</v>
      </c>
    </row>
    <row r="74" spans="1:2" x14ac:dyDescent="0.15">
      <c r="A74" t="s">
        <v>291</v>
      </c>
      <c r="B74" t="s">
        <v>292</v>
      </c>
    </row>
    <row r="75" spans="1:2" x14ac:dyDescent="0.15">
      <c r="A75" t="s">
        <v>294</v>
      </c>
      <c r="B75" t="s">
        <v>295</v>
      </c>
    </row>
    <row r="76" spans="1:2" x14ac:dyDescent="0.15">
      <c r="A76" t="s">
        <v>298</v>
      </c>
      <c r="B76" t="s">
        <v>299</v>
      </c>
    </row>
    <row r="77" spans="1:2" x14ac:dyDescent="0.15">
      <c r="A77" t="s">
        <v>301</v>
      </c>
      <c r="B77" t="s">
        <v>302</v>
      </c>
    </row>
    <row r="78" spans="1:2" x14ac:dyDescent="0.15">
      <c r="A78" t="s">
        <v>304</v>
      </c>
      <c r="B78" t="s">
        <v>305</v>
      </c>
    </row>
    <row r="79" spans="1:2" x14ac:dyDescent="0.15">
      <c r="A79" t="s">
        <v>307</v>
      </c>
      <c r="B79" t="s">
        <v>308</v>
      </c>
    </row>
    <row r="80" spans="1:2" x14ac:dyDescent="0.15">
      <c r="A80" t="s">
        <v>310</v>
      </c>
      <c r="B80" t="s">
        <v>311</v>
      </c>
    </row>
    <row r="81" spans="1:2" x14ac:dyDescent="0.15">
      <c r="A81" t="s">
        <v>313</v>
      </c>
      <c r="B81" t="s">
        <v>314</v>
      </c>
    </row>
    <row r="82" spans="1:2" x14ac:dyDescent="0.15">
      <c r="A82" t="s">
        <v>316</v>
      </c>
      <c r="B82" t="s">
        <v>317</v>
      </c>
    </row>
    <row r="83" spans="1:2" x14ac:dyDescent="0.15">
      <c r="A83" t="s">
        <v>319</v>
      </c>
      <c r="B83" t="s">
        <v>320</v>
      </c>
    </row>
    <row r="84" spans="1:2" x14ac:dyDescent="0.15">
      <c r="A84" t="s">
        <v>322</v>
      </c>
      <c r="B84" t="s">
        <v>323</v>
      </c>
    </row>
    <row r="85" spans="1:2" x14ac:dyDescent="0.15">
      <c r="A85" t="s">
        <v>325</v>
      </c>
      <c r="B85" t="s">
        <v>326</v>
      </c>
    </row>
    <row r="86" spans="1:2" x14ac:dyDescent="0.15">
      <c r="A86" t="s">
        <v>328</v>
      </c>
      <c r="B86" t="s">
        <v>329</v>
      </c>
    </row>
    <row r="87" spans="1:2" x14ac:dyDescent="0.15">
      <c r="A87" t="s">
        <v>331</v>
      </c>
      <c r="B87" t="s">
        <v>332</v>
      </c>
    </row>
    <row r="88" spans="1:2" x14ac:dyDescent="0.15">
      <c r="A88" t="s">
        <v>334</v>
      </c>
      <c r="B88" t="s">
        <v>335</v>
      </c>
    </row>
    <row r="89" spans="1:2" x14ac:dyDescent="0.15">
      <c r="A89" t="s">
        <v>337</v>
      </c>
      <c r="B89" t="s">
        <v>338</v>
      </c>
    </row>
    <row r="90" spans="1:2" x14ac:dyDescent="0.15">
      <c r="A90" t="s">
        <v>340</v>
      </c>
      <c r="B90" t="s">
        <v>341</v>
      </c>
    </row>
    <row r="91" spans="1:2" x14ac:dyDescent="0.15">
      <c r="A91" t="s">
        <v>343</v>
      </c>
      <c r="B91" t="s">
        <v>344</v>
      </c>
    </row>
    <row r="92" spans="1:2" x14ac:dyDescent="0.15">
      <c r="A92" t="s">
        <v>346</v>
      </c>
      <c r="B92" t="s">
        <v>347</v>
      </c>
    </row>
    <row r="93" spans="1:2" x14ac:dyDescent="0.15">
      <c r="A93" t="s">
        <v>349</v>
      </c>
      <c r="B93" t="s">
        <v>350</v>
      </c>
    </row>
    <row r="94" spans="1:2" x14ac:dyDescent="0.15">
      <c r="A94" t="s">
        <v>352</v>
      </c>
      <c r="B94" t="s">
        <v>353</v>
      </c>
    </row>
    <row r="95" spans="1:2" x14ac:dyDescent="0.15">
      <c r="A95" t="s">
        <v>355</v>
      </c>
      <c r="B95" t="s">
        <v>356</v>
      </c>
    </row>
    <row r="96" spans="1:2" x14ac:dyDescent="0.15">
      <c r="A96" t="s">
        <v>358</v>
      </c>
      <c r="B96" t="s">
        <v>359</v>
      </c>
    </row>
    <row r="97" spans="1:18" x14ac:dyDescent="0.15">
      <c r="A97" t="s">
        <v>361</v>
      </c>
      <c r="B97" t="s">
        <v>362</v>
      </c>
    </row>
    <row r="98" spans="1:18" x14ac:dyDescent="0.15">
      <c r="A98" t="s">
        <v>364</v>
      </c>
      <c r="B98" t="s">
        <v>365</v>
      </c>
    </row>
    <row r="99" spans="1:18" x14ac:dyDescent="0.15">
      <c r="A99" t="s">
        <v>367</v>
      </c>
      <c r="B99" t="s">
        <v>368</v>
      </c>
    </row>
    <row r="100" spans="1:18" x14ac:dyDescent="0.15">
      <c r="A100" t="s">
        <v>371</v>
      </c>
      <c r="B100" t="s">
        <v>372</v>
      </c>
    </row>
    <row r="101" spans="1:18" x14ac:dyDescent="0.15">
      <c r="A101" t="s">
        <v>374</v>
      </c>
      <c r="B101" t="s">
        <v>375</v>
      </c>
    </row>
    <row r="102" spans="1:18" x14ac:dyDescent="0.15">
      <c r="A102" t="s">
        <v>377</v>
      </c>
      <c r="B102" t="s">
        <v>378</v>
      </c>
    </row>
    <row r="103" spans="1:18" x14ac:dyDescent="0.15">
      <c r="A103" t="s">
        <v>381</v>
      </c>
      <c r="B103" t="s">
        <v>382</v>
      </c>
    </row>
    <row r="104" spans="1:18" x14ac:dyDescent="0.15">
      <c r="A104" t="s">
        <v>384</v>
      </c>
      <c r="B104" t="s">
        <v>385</v>
      </c>
    </row>
    <row r="105" spans="1:18" x14ac:dyDescent="0.15">
      <c r="A105" t="s">
        <v>387</v>
      </c>
      <c r="B105" t="s">
        <v>388</v>
      </c>
    </row>
    <row r="106" spans="1:18" x14ac:dyDescent="0.15">
      <c r="A106" t="s">
        <v>390</v>
      </c>
      <c r="B106" t="s">
        <v>391</v>
      </c>
    </row>
    <row r="107" spans="1:18" x14ac:dyDescent="0.15">
      <c r="A107" t="s">
        <v>393</v>
      </c>
      <c r="B107" t="s">
        <v>394</v>
      </c>
    </row>
    <row r="108" spans="1:18" x14ac:dyDescent="0.15">
      <c r="A108" t="s">
        <v>396</v>
      </c>
      <c r="B108" t="s">
        <v>397</v>
      </c>
    </row>
    <row r="109" spans="1:18" x14ac:dyDescent="0.15">
      <c r="A109" t="s">
        <v>399</v>
      </c>
      <c r="B109" t="s">
        <v>400</v>
      </c>
    </row>
    <row r="110" spans="1:18" x14ac:dyDescent="0.15">
      <c r="A110" t="s">
        <v>417</v>
      </c>
      <c r="B110" t="s">
        <v>67</v>
      </c>
      <c r="C110" t="s">
        <v>35</v>
      </c>
      <c r="D110" t="s">
        <v>55</v>
      </c>
      <c r="E110" t="s">
        <v>71</v>
      </c>
      <c r="F110" t="s">
        <v>21</v>
      </c>
      <c r="G110" t="s">
        <v>53</v>
      </c>
      <c r="H110" t="s">
        <v>43</v>
      </c>
      <c r="I110" t="s">
        <v>51</v>
      </c>
      <c r="J110" t="s">
        <v>33</v>
      </c>
      <c r="K110" t="s">
        <v>45</v>
      </c>
      <c r="L110" t="s">
        <v>69</v>
      </c>
      <c r="M110" t="s">
        <v>65</v>
      </c>
      <c r="N110" t="s">
        <v>47</v>
      </c>
      <c r="O110" t="s">
        <v>9</v>
      </c>
      <c r="P110" t="s">
        <v>61</v>
      </c>
      <c r="Q110" t="s">
        <v>5</v>
      </c>
      <c r="R110" t="s">
        <v>75</v>
      </c>
    </row>
    <row r="111" spans="1:18" x14ac:dyDescent="0.15">
      <c r="A111" t="s">
        <v>419</v>
      </c>
      <c r="B111">
        <v>1</v>
      </c>
    </row>
    <row r="112" spans="1:18" x14ac:dyDescent="0.15">
      <c r="A112" t="s">
        <v>420</v>
      </c>
      <c r="B112">
        <v>2</v>
      </c>
    </row>
    <row r="113" spans="1:2" x14ac:dyDescent="0.15">
      <c r="A113" t="s">
        <v>421</v>
      </c>
      <c r="B113">
        <v>3</v>
      </c>
    </row>
    <row r="114" spans="1:2" x14ac:dyDescent="0.15">
      <c r="A114" t="s">
        <v>422</v>
      </c>
      <c r="B114">
        <v>4</v>
      </c>
    </row>
    <row r="115" spans="1:2" x14ac:dyDescent="0.15">
      <c r="A115" t="s">
        <v>423</v>
      </c>
      <c r="B115">
        <v>5</v>
      </c>
    </row>
    <row r="116" spans="1:2" x14ac:dyDescent="0.15">
      <c r="A116" t="s">
        <v>424</v>
      </c>
      <c r="B116">
        <v>6</v>
      </c>
    </row>
    <row r="117" spans="1:2" x14ac:dyDescent="0.15">
      <c r="A117" t="s">
        <v>425</v>
      </c>
      <c r="B117">
        <v>7</v>
      </c>
    </row>
    <row r="118" spans="1:2" x14ac:dyDescent="0.15">
      <c r="A118" t="s">
        <v>426</v>
      </c>
      <c r="B118">
        <v>9</v>
      </c>
    </row>
    <row r="119" spans="1:2" x14ac:dyDescent="0.15">
      <c r="A119" t="s">
        <v>427</v>
      </c>
      <c r="B119">
        <v>10</v>
      </c>
    </row>
    <row r="120" spans="1:2" x14ac:dyDescent="0.15">
      <c r="A120" t="s">
        <v>428</v>
      </c>
      <c r="B120">
        <v>11</v>
      </c>
    </row>
    <row r="121" spans="1:2" x14ac:dyDescent="0.15">
      <c r="A121" t="s">
        <v>429</v>
      </c>
      <c r="B121">
        <v>12</v>
      </c>
    </row>
    <row r="122" spans="1:2" x14ac:dyDescent="0.15">
      <c r="A122" t="s">
        <v>430</v>
      </c>
      <c r="B122">
        <v>13</v>
      </c>
    </row>
    <row r="123" spans="1:2" x14ac:dyDescent="0.15">
      <c r="A123" t="s">
        <v>431</v>
      </c>
      <c r="B123">
        <v>14</v>
      </c>
    </row>
    <row r="124" spans="1:2" x14ac:dyDescent="0.15">
      <c r="A124" t="s">
        <v>432</v>
      </c>
      <c r="B124">
        <v>15</v>
      </c>
    </row>
    <row r="125" spans="1:2" x14ac:dyDescent="0.15">
      <c r="A125" t="s">
        <v>433</v>
      </c>
      <c r="B125">
        <v>16</v>
      </c>
    </row>
    <row r="126" spans="1:2" x14ac:dyDescent="0.15">
      <c r="A126" t="s">
        <v>434</v>
      </c>
      <c r="B126">
        <v>17</v>
      </c>
    </row>
    <row r="127" spans="1:2" x14ac:dyDescent="0.15">
      <c r="A127" t="s">
        <v>435</v>
      </c>
      <c r="B127">
        <v>18</v>
      </c>
    </row>
    <row r="128" spans="1:2" x14ac:dyDescent="0.15">
      <c r="A128" t="s">
        <v>436</v>
      </c>
      <c r="B128">
        <v>19</v>
      </c>
    </row>
    <row r="129" spans="1:2" x14ac:dyDescent="0.15">
      <c r="A129" t="s">
        <v>440</v>
      </c>
      <c r="B129">
        <v>20</v>
      </c>
    </row>
    <row r="130" spans="1:2" x14ac:dyDescent="0.15">
      <c r="A130" t="s">
        <v>443</v>
      </c>
      <c r="B130">
        <v>21</v>
      </c>
    </row>
    <row r="131" spans="1:2" x14ac:dyDescent="0.15">
      <c r="A131" t="s">
        <v>444</v>
      </c>
      <c r="B131">
        <v>22</v>
      </c>
    </row>
    <row r="132" spans="1:2" x14ac:dyDescent="0.15">
      <c r="A132" t="s">
        <v>445</v>
      </c>
      <c r="B132">
        <v>23</v>
      </c>
    </row>
    <row r="133" spans="1:2" x14ac:dyDescent="0.15">
      <c r="A133" t="s">
        <v>446</v>
      </c>
      <c r="B133">
        <v>24</v>
      </c>
    </row>
    <row r="134" spans="1:2" x14ac:dyDescent="0.15">
      <c r="A134" t="s">
        <v>447</v>
      </c>
      <c r="B134">
        <v>25</v>
      </c>
    </row>
    <row r="135" spans="1:2" x14ac:dyDescent="0.15">
      <c r="A135" t="s">
        <v>448</v>
      </c>
      <c r="B135">
        <v>26</v>
      </c>
    </row>
    <row r="136" spans="1:2" x14ac:dyDescent="0.15">
      <c r="A136" t="s">
        <v>449</v>
      </c>
      <c r="B136">
        <v>27</v>
      </c>
    </row>
    <row r="137" spans="1:2" x14ac:dyDescent="0.15">
      <c r="A137" t="s">
        <v>450</v>
      </c>
      <c r="B137">
        <v>29</v>
      </c>
    </row>
    <row r="138" spans="1:2" x14ac:dyDescent="0.15">
      <c r="A138" t="s">
        <v>451</v>
      </c>
      <c r="B138">
        <v>30</v>
      </c>
    </row>
    <row r="139" spans="1:2" x14ac:dyDescent="0.15">
      <c r="A139" t="s">
        <v>452</v>
      </c>
      <c r="B139">
        <v>31</v>
      </c>
    </row>
    <row r="140" spans="1:2" x14ac:dyDescent="0.15">
      <c r="A140" t="s">
        <v>453</v>
      </c>
      <c r="B140">
        <v>32</v>
      </c>
    </row>
    <row r="141" spans="1:2" x14ac:dyDescent="0.15">
      <c r="A141" t="s">
        <v>454</v>
      </c>
      <c r="B141">
        <v>33</v>
      </c>
    </row>
    <row r="142" spans="1:2" x14ac:dyDescent="0.15">
      <c r="A142" t="s">
        <v>455</v>
      </c>
      <c r="B142">
        <v>34</v>
      </c>
    </row>
    <row r="143" spans="1:2" x14ac:dyDescent="0.15">
      <c r="A143" t="s">
        <v>456</v>
      </c>
      <c r="B143">
        <v>35</v>
      </c>
    </row>
    <row r="144" spans="1:2" x14ac:dyDescent="0.15">
      <c r="A144" t="s">
        <v>457</v>
      </c>
      <c r="B144">
        <v>36</v>
      </c>
    </row>
    <row r="145" spans="1:2" x14ac:dyDescent="0.15">
      <c r="A145" t="s">
        <v>458</v>
      </c>
      <c r="B145">
        <v>37</v>
      </c>
    </row>
    <row r="146" spans="1:2" x14ac:dyDescent="0.15">
      <c r="A146" t="s">
        <v>459</v>
      </c>
      <c r="B146">
        <v>38</v>
      </c>
    </row>
    <row r="147" spans="1:2" x14ac:dyDescent="0.15">
      <c r="A147" t="s">
        <v>460</v>
      </c>
      <c r="B147">
        <v>39</v>
      </c>
    </row>
    <row r="148" spans="1:2" x14ac:dyDescent="0.15">
      <c r="A148" t="s">
        <v>462</v>
      </c>
      <c r="B148">
        <v>40</v>
      </c>
    </row>
    <row r="149" spans="1:2" x14ac:dyDescent="0.15">
      <c r="A149" t="s">
        <v>464</v>
      </c>
      <c r="B149">
        <v>41</v>
      </c>
    </row>
    <row r="150" spans="1:2" x14ac:dyDescent="0.15">
      <c r="A150" t="s">
        <v>465</v>
      </c>
      <c r="B150">
        <v>42</v>
      </c>
    </row>
    <row r="151" spans="1:2" x14ac:dyDescent="0.15">
      <c r="A151" t="s">
        <v>466</v>
      </c>
      <c r="B151">
        <v>43</v>
      </c>
    </row>
    <row r="152" spans="1:2" x14ac:dyDescent="0.15">
      <c r="A152" t="s">
        <v>467</v>
      </c>
      <c r="B152">
        <v>44</v>
      </c>
    </row>
    <row r="153" spans="1:2" x14ac:dyDescent="0.15">
      <c r="A153" t="s">
        <v>468</v>
      </c>
      <c r="B153">
        <v>45</v>
      </c>
    </row>
    <row r="154" spans="1:2" x14ac:dyDescent="0.15">
      <c r="A154" t="s">
        <v>469</v>
      </c>
      <c r="B154">
        <v>46</v>
      </c>
    </row>
    <row r="155" spans="1:2" x14ac:dyDescent="0.15">
      <c r="A155" t="s">
        <v>470</v>
      </c>
      <c r="B155">
        <v>47</v>
      </c>
    </row>
    <row r="156" spans="1:2" x14ac:dyDescent="0.15">
      <c r="A156" t="s">
        <v>471</v>
      </c>
      <c r="B156">
        <v>49</v>
      </c>
    </row>
    <row r="157" spans="1:2" x14ac:dyDescent="0.15">
      <c r="A157" t="s">
        <v>472</v>
      </c>
      <c r="B157">
        <v>50</v>
      </c>
    </row>
    <row r="158" spans="1:2" x14ac:dyDescent="0.15">
      <c r="A158" t="s">
        <v>475</v>
      </c>
      <c r="B158">
        <v>52</v>
      </c>
    </row>
    <row r="159" spans="1:2" x14ac:dyDescent="0.15">
      <c r="A159" t="s">
        <v>477</v>
      </c>
      <c r="B159">
        <v>53</v>
      </c>
    </row>
    <row r="160" spans="1:2" x14ac:dyDescent="0.15">
      <c r="A160" t="s">
        <v>478</v>
      </c>
      <c r="B160">
        <v>54</v>
      </c>
    </row>
    <row r="161" spans="1:2" x14ac:dyDescent="0.15">
      <c r="A161" t="s">
        <v>479</v>
      </c>
      <c r="B161">
        <v>55</v>
      </c>
    </row>
    <row r="162" spans="1:2" x14ac:dyDescent="0.15">
      <c r="A162" t="s">
        <v>480</v>
      </c>
      <c r="B162">
        <v>56</v>
      </c>
    </row>
    <row r="163" spans="1:2" x14ac:dyDescent="0.15">
      <c r="A163" t="s">
        <v>481</v>
      </c>
      <c r="B163">
        <v>57</v>
      </c>
    </row>
    <row r="164" spans="1:2" x14ac:dyDescent="0.15">
      <c r="A164" t="s">
        <v>484</v>
      </c>
      <c r="B164">
        <v>59</v>
      </c>
    </row>
    <row r="165" spans="1:2" x14ac:dyDescent="0.15">
      <c r="A165" t="s">
        <v>486</v>
      </c>
      <c r="B165">
        <v>60</v>
      </c>
    </row>
    <row r="166" spans="1:2" x14ac:dyDescent="0.15">
      <c r="A166" t="s">
        <v>487</v>
      </c>
      <c r="B166">
        <v>61</v>
      </c>
    </row>
    <row r="167" spans="1:2" x14ac:dyDescent="0.15">
      <c r="A167" t="s">
        <v>488</v>
      </c>
      <c r="B167">
        <v>62</v>
      </c>
    </row>
    <row r="168" spans="1:2" x14ac:dyDescent="0.15">
      <c r="A168" t="s">
        <v>489</v>
      </c>
      <c r="B168">
        <v>63</v>
      </c>
    </row>
    <row r="169" spans="1:2" x14ac:dyDescent="0.15">
      <c r="A169" t="s">
        <v>490</v>
      </c>
      <c r="B169">
        <v>64</v>
      </c>
    </row>
    <row r="170" spans="1:2" x14ac:dyDescent="0.15">
      <c r="A170" t="s">
        <v>492</v>
      </c>
      <c r="B170" t="s">
        <v>493</v>
      </c>
    </row>
    <row r="171" spans="1:2" x14ac:dyDescent="0.15">
      <c r="A171" t="s">
        <v>494</v>
      </c>
      <c r="B171" t="s">
        <v>495</v>
      </c>
    </row>
    <row r="172" spans="1:2" x14ac:dyDescent="0.15">
      <c r="A172" t="s">
        <v>496</v>
      </c>
      <c r="B172" t="s">
        <v>497</v>
      </c>
    </row>
    <row r="173" spans="1:2" x14ac:dyDescent="0.15">
      <c r="A173" t="s">
        <v>498</v>
      </c>
      <c r="B173" t="s">
        <v>499</v>
      </c>
    </row>
    <row r="174" spans="1:2" x14ac:dyDescent="0.15">
      <c r="A174" t="s">
        <v>500</v>
      </c>
      <c r="B174" t="s">
        <v>501</v>
      </c>
    </row>
    <row r="175" spans="1:2" x14ac:dyDescent="0.15">
      <c r="A175" t="s">
        <v>502</v>
      </c>
      <c r="B175" t="s">
        <v>503</v>
      </c>
    </row>
    <row r="176" spans="1:2" x14ac:dyDescent="0.15">
      <c r="A176" t="s">
        <v>504</v>
      </c>
      <c r="B176" t="s">
        <v>505</v>
      </c>
    </row>
    <row r="177" spans="1:2" x14ac:dyDescent="0.15">
      <c r="A177" t="s">
        <v>506</v>
      </c>
      <c r="B177" t="s">
        <v>507</v>
      </c>
    </row>
    <row r="178" spans="1:2" x14ac:dyDescent="0.15">
      <c r="A178" t="s">
        <v>508</v>
      </c>
      <c r="B178" t="s">
        <v>509</v>
      </c>
    </row>
    <row r="179" spans="1:2" x14ac:dyDescent="0.15">
      <c r="A179" t="s">
        <v>510</v>
      </c>
      <c r="B179" t="s">
        <v>511</v>
      </c>
    </row>
    <row r="180" spans="1:2" x14ac:dyDescent="0.15">
      <c r="A180" t="s">
        <v>512</v>
      </c>
      <c r="B180" t="s">
        <v>513</v>
      </c>
    </row>
    <row r="181" spans="1:2" x14ac:dyDescent="0.15">
      <c r="A181" t="s">
        <v>514</v>
      </c>
      <c r="B181" t="s">
        <v>515</v>
      </c>
    </row>
    <row r="182" spans="1:2" x14ac:dyDescent="0.15">
      <c r="A182" t="s">
        <v>516</v>
      </c>
      <c r="B182" t="s">
        <v>517</v>
      </c>
    </row>
    <row r="183" spans="1:2" x14ac:dyDescent="0.15">
      <c r="A183" t="s">
        <v>518</v>
      </c>
      <c r="B183" t="s">
        <v>519</v>
      </c>
    </row>
    <row r="184" spans="1:2" x14ac:dyDescent="0.15">
      <c r="A184" t="s">
        <v>520</v>
      </c>
      <c r="B184" t="s">
        <v>521</v>
      </c>
    </row>
    <row r="185" spans="1:2" x14ac:dyDescent="0.15">
      <c r="A185" t="s">
        <v>522</v>
      </c>
      <c r="B185" t="s">
        <v>523</v>
      </c>
    </row>
    <row r="186" spans="1:2" x14ac:dyDescent="0.15">
      <c r="A186" t="s">
        <v>524</v>
      </c>
      <c r="B186" t="s">
        <v>525</v>
      </c>
    </row>
    <row r="187" spans="1:2" x14ac:dyDescent="0.15">
      <c r="A187" t="s">
        <v>526</v>
      </c>
      <c r="B187" t="s">
        <v>527</v>
      </c>
    </row>
    <row r="188" spans="1:2" x14ac:dyDescent="0.15">
      <c r="A188" t="s">
        <v>528</v>
      </c>
      <c r="B188" t="s">
        <v>529</v>
      </c>
    </row>
    <row r="189" spans="1:2" x14ac:dyDescent="0.15">
      <c r="A189" t="s">
        <v>530</v>
      </c>
      <c r="B189" t="s">
        <v>531</v>
      </c>
    </row>
    <row r="190" spans="1:2" x14ac:dyDescent="0.15">
      <c r="A190" t="s">
        <v>532</v>
      </c>
      <c r="B190" t="s">
        <v>533</v>
      </c>
    </row>
    <row r="191" spans="1:2" x14ac:dyDescent="0.15">
      <c r="A191" t="s">
        <v>534</v>
      </c>
      <c r="B191" t="s">
        <v>535</v>
      </c>
    </row>
    <row r="192" spans="1:2" x14ac:dyDescent="0.15">
      <c r="A192" t="s">
        <v>536</v>
      </c>
      <c r="B192" t="s">
        <v>537</v>
      </c>
    </row>
    <row r="193" spans="1:2" x14ac:dyDescent="0.15">
      <c r="A193" t="s">
        <v>538</v>
      </c>
      <c r="B193" t="s">
        <v>539</v>
      </c>
    </row>
    <row r="194" spans="1:2" x14ac:dyDescent="0.15">
      <c r="A194" t="s">
        <v>540</v>
      </c>
      <c r="B194" t="s">
        <v>541</v>
      </c>
    </row>
    <row r="195" spans="1:2" x14ac:dyDescent="0.15">
      <c r="A195" t="s">
        <v>542</v>
      </c>
      <c r="B195" t="s">
        <v>543</v>
      </c>
    </row>
    <row r="196" spans="1:2" x14ac:dyDescent="0.15">
      <c r="A196" t="s">
        <v>544</v>
      </c>
      <c r="B196" t="s">
        <v>545</v>
      </c>
    </row>
    <row r="197" spans="1:2" x14ac:dyDescent="0.15">
      <c r="A197" t="s">
        <v>546</v>
      </c>
      <c r="B197" t="s">
        <v>547</v>
      </c>
    </row>
    <row r="198" spans="1:2" x14ac:dyDescent="0.15">
      <c r="A198" t="s">
        <v>548</v>
      </c>
      <c r="B198" t="s">
        <v>549</v>
      </c>
    </row>
    <row r="199" spans="1:2" x14ac:dyDescent="0.15">
      <c r="A199" t="s">
        <v>550</v>
      </c>
      <c r="B199" t="s">
        <v>551</v>
      </c>
    </row>
    <row r="200" spans="1:2" x14ac:dyDescent="0.15">
      <c r="A200" t="s">
        <v>552</v>
      </c>
      <c r="B200" t="s">
        <v>553</v>
      </c>
    </row>
    <row r="201" spans="1:2" x14ac:dyDescent="0.15">
      <c r="A201" t="s">
        <v>554</v>
      </c>
      <c r="B201" t="s">
        <v>555</v>
      </c>
    </row>
    <row r="202" spans="1:2" x14ac:dyDescent="0.15">
      <c r="A202" t="s">
        <v>556</v>
      </c>
      <c r="B202" t="s">
        <v>557</v>
      </c>
    </row>
    <row r="203" spans="1:2" x14ac:dyDescent="0.15">
      <c r="A203" t="s">
        <v>558</v>
      </c>
      <c r="B203" t="s">
        <v>559</v>
      </c>
    </row>
    <row r="204" spans="1:2" x14ac:dyDescent="0.15">
      <c r="A204" t="s">
        <v>560</v>
      </c>
      <c r="B204" t="s">
        <v>561</v>
      </c>
    </row>
    <row r="205" spans="1:2" x14ac:dyDescent="0.15">
      <c r="A205" t="s">
        <v>562</v>
      </c>
      <c r="B205" t="s">
        <v>563</v>
      </c>
    </row>
    <row r="206" spans="1:2" x14ac:dyDescent="0.15">
      <c r="A206" t="s">
        <v>564</v>
      </c>
      <c r="B206" t="s">
        <v>565</v>
      </c>
    </row>
    <row r="207" spans="1:2" x14ac:dyDescent="0.15">
      <c r="A207" t="s">
        <v>566</v>
      </c>
      <c r="B207" t="s">
        <v>567</v>
      </c>
    </row>
    <row r="208" spans="1:2" x14ac:dyDescent="0.15">
      <c r="A208" t="s">
        <v>568</v>
      </c>
      <c r="B208" t="s">
        <v>569</v>
      </c>
    </row>
    <row r="209" spans="1:2" x14ac:dyDescent="0.15">
      <c r="A209" t="s">
        <v>570</v>
      </c>
      <c r="B209" t="s">
        <v>571</v>
      </c>
    </row>
    <row r="210" spans="1:2" x14ac:dyDescent="0.15">
      <c r="A210" t="s">
        <v>572</v>
      </c>
      <c r="B210" t="s">
        <v>573</v>
      </c>
    </row>
    <row r="211" spans="1:2" x14ac:dyDescent="0.15">
      <c r="A211" t="s">
        <v>574</v>
      </c>
      <c r="B211" t="s">
        <v>575</v>
      </c>
    </row>
    <row r="212" spans="1:2" x14ac:dyDescent="0.15">
      <c r="A212" t="s">
        <v>576</v>
      </c>
      <c r="B212" t="s">
        <v>577</v>
      </c>
    </row>
    <row r="213" spans="1:2" x14ac:dyDescent="0.15">
      <c r="A213" t="s">
        <v>578</v>
      </c>
      <c r="B213" t="s">
        <v>579</v>
      </c>
    </row>
    <row r="214" spans="1:2" x14ac:dyDescent="0.15">
      <c r="A214" t="s">
        <v>580</v>
      </c>
      <c r="B214" t="s">
        <v>581</v>
      </c>
    </row>
    <row r="215" spans="1:2" x14ac:dyDescent="0.15">
      <c r="A215" t="s">
        <v>582</v>
      </c>
      <c r="B215" t="s">
        <v>583</v>
      </c>
    </row>
    <row r="216" spans="1:2" x14ac:dyDescent="0.15">
      <c r="A216" t="s">
        <v>584</v>
      </c>
      <c r="B216" t="s">
        <v>585</v>
      </c>
    </row>
    <row r="217" spans="1:2" x14ac:dyDescent="0.15">
      <c r="A217" t="s">
        <v>586</v>
      </c>
      <c r="B217" t="s">
        <v>587</v>
      </c>
    </row>
    <row r="218" spans="1:2" x14ac:dyDescent="0.15">
      <c r="A218" t="s">
        <v>588</v>
      </c>
      <c r="B218" t="s">
        <v>589</v>
      </c>
    </row>
    <row r="219" spans="1:2" x14ac:dyDescent="0.15">
      <c r="A219" t="s">
        <v>590</v>
      </c>
      <c r="B219" t="s">
        <v>591</v>
      </c>
    </row>
    <row r="220" spans="1:2" x14ac:dyDescent="0.15">
      <c r="A220" t="s">
        <v>592</v>
      </c>
      <c r="B220" t="s">
        <v>593</v>
      </c>
    </row>
    <row r="221" spans="1:2" x14ac:dyDescent="0.15">
      <c r="A221" t="s">
        <v>594</v>
      </c>
      <c r="B221" t="s">
        <v>595</v>
      </c>
    </row>
    <row r="222" spans="1:2" x14ac:dyDescent="0.15">
      <c r="A222" t="s">
        <v>596</v>
      </c>
      <c r="B222" t="s">
        <v>597</v>
      </c>
    </row>
    <row r="223" spans="1:2" x14ac:dyDescent="0.15">
      <c r="A223" t="s">
        <v>598</v>
      </c>
      <c r="B223" t="s">
        <v>599</v>
      </c>
    </row>
    <row r="224" spans="1:2" x14ac:dyDescent="0.15">
      <c r="A224" t="s">
        <v>600</v>
      </c>
      <c r="B224" t="s">
        <v>601</v>
      </c>
    </row>
    <row r="225" spans="1:20" x14ac:dyDescent="0.15">
      <c r="A225" t="s">
        <v>602</v>
      </c>
      <c r="B225" t="s">
        <v>603</v>
      </c>
    </row>
    <row r="226" spans="1:20" x14ac:dyDescent="0.15">
      <c r="A226" t="s">
        <v>604</v>
      </c>
      <c r="B226" t="s">
        <v>605</v>
      </c>
    </row>
    <row r="227" spans="1:20" x14ac:dyDescent="0.15">
      <c r="A227" t="s">
        <v>606</v>
      </c>
      <c r="B227" t="s">
        <v>607</v>
      </c>
    </row>
    <row r="228" spans="1:20" x14ac:dyDescent="0.15">
      <c r="A228" t="s">
        <v>611</v>
      </c>
      <c r="B228" t="s">
        <v>75</v>
      </c>
      <c r="C228" t="s">
        <v>5</v>
      </c>
      <c r="D228" t="s">
        <v>47</v>
      </c>
      <c r="E228" t="s">
        <v>61</v>
      </c>
      <c r="F228" t="s">
        <v>9</v>
      </c>
      <c r="G228" t="s">
        <v>65</v>
      </c>
      <c r="H228" t="s">
        <v>13</v>
      </c>
      <c r="I228" t="s">
        <v>69</v>
      </c>
      <c r="J228" t="s">
        <v>45</v>
      </c>
      <c r="K228" t="s">
        <v>33</v>
      </c>
      <c r="L228" t="s">
        <v>51</v>
      </c>
      <c r="M228" t="s">
        <v>17</v>
      </c>
      <c r="N228" t="s">
        <v>43</v>
      </c>
      <c r="O228" t="s">
        <v>53</v>
      </c>
      <c r="P228" t="s">
        <v>21</v>
      </c>
      <c r="Q228" t="s">
        <v>71</v>
      </c>
      <c r="R228" t="s">
        <v>35</v>
      </c>
      <c r="S228" t="s">
        <v>55</v>
      </c>
      <c r="T228" t="s">
        <v>67</v>
      </c>
    </row>
    <row r="229" spans="1:20" x14ac:dyDescent="0.15">
      <c r="A229" t="s">
        <v>613</v>
      </c>
      <c r="B229">
        <v>1</v>
      </c>
    </row>
    <row r="230" spans="1:20" x14ac:dyDescent="0.15">
      <c r="A230" t="s">
        <v>614</v>
      </c>
      <c r="B230">
        <v>2</v>
      </c>
    </row>
    <row r="231" spans="1:20" x14ac:dyDescent="0.15">
      <c r="A231" t="s">
        <v>615</v>
      </c>
      <c r="B231">
        <v>3</v>
      </c>
    </row>
    <row r="232" spans="1:20" x14ac:dyDescent="0.15">
      <c r="A232" t="s">
        <v>616</v>
      </c>
      <c r="B232">
        <v>4</v>
      </c>
    </row>
    <row r="233" spans="1:20" x14ac:dyDescent="0.15">
      <c r="A233" t="s">
        <v>617</v>
      </c>
      <c r="B233">
        <v>5</v>
      </c>
    </row>
    <row r="234" spans="1:20" x14ac:dyDescent="0.15">
      <c r="A234" t="s">
        <v>618</v>
      </c>
      <c r="B234">
        <v>6</v>
      </c>
    </row>
    <row r="235" spans="1:20" x14ac:dyDescent="0.15">
      <c r="A235" t="s">
        <v>621</v>
      </c>
      <c r="B235">
        <v>8</v>
      </c>
    </row>
    <row r="236" spans="1:20" x14ac:dyDescent="0.15">
      <c r="A236" t="s">
        <v>622</v>
      </c>
      <c r="B236">
        <v>9</v>
      </c>
    </row>
    <row r="237" spans="1:20" x14ac:dyDescent="0.15">
      <c r="A237" t="s">
        <v>623</v>
      </c>
      <c r="B237">
        <v>10</v>
      </c>
    </row>
    <row r="238" spans="1:20" x14ac:dyDescent="0.15">
      <c r="A238" t="s">
        <v>624</v>
      </c>
      <c r="B238">
        <v>11</v>
      </c>
    </row>
    <row r="239" spans="1:20" x14ac:dyDescent="0.15">
      <c r="A239" t="s">
        <v>625</v>
      </c>
      <c r="B239">
        <v>12</v>
      </c>
    </row>
    <row r="240" spans="1:20" x14ac:dyDescent="0.15">
      <c r="A240" t="s">
        <v>626</v>
      </c>
      <c r="B240">
        <v>13</v>
      </c>
    </row>
    <row r="241" spans="1:2" x14ac:dyDescent="0.15">
      <c r="A241" t="s">
        <v>627</v>
      </c>
      <c r="B241">
        <v>14</v>
      </c>
    </row>
    <row r="242" spans="1:2" x14ac:dyDescent="0.15">
      <c r="A242" t="s">
        <v>628</v>
      </c>
      <c r="B242">
        <v>15</v>
      </c>
    </row>
    <row r="243" spans="1:2" x14ac:dyDescent="0.15">
      <c r="A243" t="s">
        <v>629</v>
      </c>
      <c r="B243">
        <v>16</v>
      </c>
    </row>
    <row r="244" spans="1:2" x14ac:dyDescent="0.15">
      <c r="A244" t="s">
        <v>630</v>
      </c>
      <c r="B244">
        <v>17</v>
      </c>
    </row>
    <row r="245" spans="1:2" x14ac:dyDescent="0.15">
      <c r="A245" t="s">
        <v>631</v>
      </c>
      <c r="B245">
        <v>18</v>
      </c>
    </row>
    <row r="246" spans="1:2" x14ac:dyDescent="0.15">
      <c r="A246" t="s">
        <v>632</v>
      </c>
      <c r="B246">
        <v>19</v>
      </c>
    </row>
    <row r="247" spans="1:2" x14ac:dyDescent="0.15">
      <c r="A247" t="s">
        <v>633</v>
      </c>
      <c r="B247">
        <v>20</v>
      </c>
    </row>
    <row r="248" spans="1:2" x14ac:dyDescent="0.15">
      <c r="A248" t="s">
        <v>634</v>
      </c>
      <c r="B248">
        <v>21</v>
      </c>
    </row>
    <row r="249" spans="1:2" x14ac:dyDescent="0.15">
      <c r="A249" t="s">
        <v>636</v>
      </c>
      <c r="B249">
        <v>23</v>
      </c>
    </row>
    <row r="250" spans="1:2" x14ac:dyDescent="0.15">
      <c r="A250" t="s">
        <v>637</v>
      </c>
      <c r="B250">
        <v>24</v>
      </c>
    </row>
    <row r="251" spans="1:2" x14ac:dyDescent="0.15">
      <c r="A251" t="s">
        <v>638</v>
      </c>
      <c r="B251">
        <v>25</v>
      </c>
    </row>
    <row r="252" spans="1:2" x14ac:dyDescent="0.15">
      <c r="A252" t="s">
        <v>639</v>
      </c>
      <c r="B252">
        <v>26</v>
      </c>
    </row>
    <row r="253" spans="1:2" x14ac:dyDescent="0.15">
      <c r="A253" t="s">
        <v>640</v>
      </c>
      <c r="B253">
        <v>27</v>
      </c>
    </row>
    <row r="254" spans="1:2" x14ac:dyDescent="0.15">
      <c r="A254" t="s">
        <v>641</v>
      </c>
      <c r="B254">
        <v>28</v>
      </c>
    </row>
    <row r="255" spans="1:2" x14ac:dyDescent="0.15">
      <c r="A255" t="s">
        <v>642</v>
      </c>
      <c r="B255">
        <v>29</v>
      </c>
    </row>
    <row r="256" spans="1:2" x14ac:dyDescent="0.15">
      <c r="A256" t="s">
        <v>643</v>
      </c>
      <c r="B256">
        <v>30</v>
      </c>
    </row>
    <row r="257" spans="1:2" x14ac:dyDescent="0.15">
      <c r="A257" t="s">
        <v>644</v>
      </c>
      <c r="B257">
        <v>31</v>
      </c>
    </row>
    <row r="258" spans="1:2" x14ac:dyDescent="0.15">
      <c r="A258" t="s">
        <v>645</v>
      </c>
      <c r="B258">
        <v>32</v>
      </c>
    </row>
    <row r="259" spans="1:2" x14ac:dyDescent="0.15">
      <c r="A259" t="s">
        <v>646</v>
      </c>
      <c r="B259">
        <v>33</v>
      </c>
    </row>
    <row r="260" spans="1:2" x14ac:dyDescent="0.15">
      <c r="A260" t="s">
        <v>647</v>
      </c>
      <c r="B260">
        <v>34</v>
      </c>
    </row>
    <row r="261" spans="1:2" x14ac:dyDescent="0.15">
      <c r="A261" t="s">
        <v>648</v>
      </c>
      <c r="B261">
        <v>35</v>
      </c>
    </row>
    <row r="262" spans="1:2" x14ac:dyDescent="0.15">
      <c r="A262" t="s">
        <v>649</v>
      </c>
      <c r="B262">
        <v>36</v>
      </c>
    </row>
    <row r="263" spans="1:2" x14ac:dyDescent="0.15">
      <c r="A263" t="s">
        <v>652</v>
      </c>
      <c r="B263">
        <v>38</v>
      </c>
    </row>
    <row r="264" spans="1:2" x14ac:dyDescent="0.15">
      <c r="A264" t="s">
        <v>654</v>
      </c>
      <c r="B264">
        <v>39</v>
      </c>
    </row>
    <row r="265" spans="1:2" x14ac:dyDescent="0.15">
      <c r="A265" t="s">
        <v>656</v>
      </c>
      <c r="B265">
        <v>40</v>
      </c>
    </row>
    <row r="266" spans="1:2" x14ac:dyDescent="0.15">
      <c r="A266" t="s">
        <v>658</v>
      </c>
      <c r="B266">
        <v>41</v>
      </c>
    </row>
    <row r="267" spans="1:2" x14ac:dyDescent="0.15">
      <c r="A267" t="s">
        <v>659</v>
      </c>
      <c r="B267">
        <v>42</v>
      </c>
    </row>
    <row r="268" spans="1:2" x14ac:dyDescent="0.15">
      <c r="A268" t="s">
        <v>660</v>
      </c>
      <c r="B268">
        <v>43</v>
      </c>
    </row>
    <row r="269" spans="1:2" x14ac:dyDescent="0.15">
      <c r="A269" t="s">
        <v>662</v>
      </c>
      <c r="B269" t="s">
        <v>663</v>
      </c>
    </row>
    <row r="270" spans="1:2" x14ac:dyDescent="0.15">
      <c r="A270" t="s">
        <v>664</v>
      </c>
      <c r="B270" t="s">
        <v>665</v>
      </c>
    </row>
    <row r="271" spans="1:2" x14ac:dyDescent="0.15">
      <c r="A271" t="s">
        <v>666</v>
      </c>
      <c r="B271" t="s">
        <v>667</v>
      </c>
    </row>
    <row r="272" spans="1:2" x14ac:dyDescent="0.15">
      <c r="A272" t="s">
        <v>668</v>
      </c>
      <c r="B272" t="s">
        <v>669</v>
      </c>
    </row>
    <row r="273" spans="1:2" x14ac:dyDescent="0.15">
      <c r="A273" t="s">
        <v>670</v>
      </c>
      <c r="B273" t="s">
        <v>671</v>
      </c>
    </row>
    <row r="274" spans="1:2" x14ac:dyDescent="0.15">
      <c r="A274" t="s">
        <v>672</v>
      </c>
      <c r="B274" t="s">
        <v>673</v>
      </c>
    </row>
    <row r="275" spans="1:2" x14ac:dyDescent="0.15">
      <c r="A275" t="s">
        <v>674</v>
      </c>
      <c r="B275" t="s">
        <v>675</v>
      </c>
    </row>
    <row r="276" spans="1:2" x14ac:dyDescent="0.15">
      <c r="A276" t="s">
        <v>676</v>
      </c>
      <c r="B276" t="s">
        <v>677</v>
      </c>
    </row>
    <row r="277" spans="1:2" x14ac:dyDescent="0.15">
      <c r="A277" t="s">
        <v>678</v>
      </c>
      <c r="B277" t="s">
        <v>679</v>
      </c>
    </row>
    <row r="278" spans="1:2" x14ac:dyDescent="0.15">
      <c r="A278" t="s">
        <v>680</v>
      </c>
      <c r="B278" t="s">
        <v>681</v>
      </c>
    </row>
    <row r="279" spans="1:2" x14ac:dyDescent="0.15">
      <c r="A279" t="s">
        <v>682</v>
      </c>
      <c r="B279" t="s">
        <v>683</v>
      </c>
    </row>
    <row r="280" spans="1:2" x14ac:dyDescent="0.15">
      <c r="A280" t="s">
        <v>684</v>
      </c>
      <c r="B280" t="s">
        <v>685</v>
      </c>
    </row>
    <row r="281" spans="1:2" x14ac:dyDescent="0.15">
      <c r="A281" t="s">
        <v>686</v>
      </c>
      <c r="B281" t="s">
        <v>687</v>
      </c>
    </row>
    <row r="282" spans="1:2" x14ac:dyDescent="0.15">
      <c r="A282" t="s">
        <v>688</v>
      </c>
      <c r="B282" t="s">
        <v>689</v>
      </c>
    </row>
    <row r="283" spans="1:2" x14ac:dyDescent="0.15">
      <c r="A283" t="s">
        <v>690</v>
      </c>
      <c r="B283" t="s">
        <v>691</v>
      </c>
    </row>
    <row r="284" spans="1:2" x14ac:dyDescent="0.15">
      <c r="A284" t="s">
        <v>692</v>
      </c>
      <c r="B284" t="s">
        <v>693</v>
      </c>
    </row>
    <row r="285" spans="1:2" x14ac:dyDescent="0.15">
      <c r="A285" t="s">
        <v>694</v>
      </c>
      <c r="B285" t="s">
        <v>695</v>
      </c>
    </row>
    <row r="286" spans="1:2" x14ac:dyDescent="0.15">
      <c r="A286" t="s">
        <v>696</v>
      </c>
      <c r="B286" t="s">
        <v>697</v>
      </c>
    </row>
    <row r="287" spans="1:2" x14ac:dyDescent="0.15">
      <c r="A287" t="s">
        <v>698</v>
      </c>
      <c r="B287" t="s">
        <v>699</v>
      </c>
    </row>
    <row r="288" spans="1:2" x14ac:dyDescent="0.15">
      <c r="A288" t="s">
        <v>700</v>
      </c>
      <c r="B288" t="s">
        <v>701</v>
      </c>
    </row>
    <row r="289" spans="1:2" x14ac:dyDescent="0.15">
      <c r="A289" t="s">
        <v>702</v>
      </c>
      <c r="B289" t="s">
        <v>703</v>
      </c>
    </row>
    <row r="290" spans="1:2" x14ac:dyDescent="0.15">
      <c r="A290" t="s">
        <v>704</v>
      </c>
      <c r="B290" t="s">
        <v>705</v>
      </c>
    </row>
    <row r="291" spans="1:2" x14ac:dyDescent="0.15">
      <c r="A291" t="s">
        <v>706</v>
      </c>
      <c r="B291" t="s">
        <v>707</v>
      </c>
    </row>
    <row r="292" spans="1:2" x14ac:dyDescent="0.15">
      <c r="A292" t="s">
        <v>708</v>
      </c>
      <c r="B292" t="s">
        <v>709</v>
      </c>
    </row>
    <row r="293" spans="1:2" x14ac:dyDescent="0.15">
      <c r="A293" t="s">
        <v>710</v>
      </c>
      <c r="B293" t="s">
        <v>711</v>
      </c>
    </row>
    <row r="294" spans="1:2" x14ac:dyDescent="0.15">
      <c r="A294" t="s">
        <v>712</v>
      </c>
      <c r="B294" t="s">
        <v>713</v>
      </c>
    </row>
    <row r="295" spans="1:2" x14ac:dyDescent="0.15">
      <c r="A295" t="s">
        <v>714</v>
      </c>
      <c r="B295" t="s">
        <v>715</v>
      </c>
    </row>
    <row r="296" spans="1:2" x14ac:dyDescent="0.15">
      <c r="A296" t="s">
        <v>716</v>
      </c>
      <c r="B296" t="s">
        <v>717</v>
      </c>
    </row>
    <row r="297" spans="1:2" x14ac:dyDescent="0.15">
      <c r="A297" t="s">
        <v>718</v>
      </c>
      <c r="B297" t="s">
        <v>719</v>
      </c>
    </row>
    <row r="298" spans="1:2" x14ac:dyDescent="0.15">
      <c r="A298" t="s">
        <v>720</v>
      </c>
      <c r="B298" t="s">
        <v>721</v>
      </c>
    </row>
    <row r="299" spans="1:2" x14ac:dyDescent="0.15">
      <c r="A299" t="s">
        <v>722</v>
      </c>
      <c r="B299" t="s">
        <v>723</v>
      </c>
    </row>
    <row r="300" spans="1:2" x14ac:dyDescent="0.15">
      <c r="A300" t="s">
        <v>724</v>
      </c>
      <c r="B300" t="s">
        <v>725</v>
      </c>
    </row>
    <row r="301" spans="1:2" x14ac:dyDescent="0.15">
      <c r="A301" t="s">
        <v>726</v>
      </c>
      <c r="B301" t="s">
        <v>727</v>
      </c>
    </row>
    <row r="302" spans="1:2" x14ac:dyDescent="0.15">
      <c r="A302" t="s">
        <v>728</v>
      </c>
      <c r="B302" t="s">
        <v>729</v>
      </c>
    </row>
    <row r="303" spans="1:2" x14ac:dyDescent="0.15">
      <c r="A303" t="s">
        <v>730</v>
      </c>
      <c r="B303" t="s">
        <v>731</v>
      </c>
    </row>
    <row r="304" spans="1:2" x14ac:dyDescent="0.15">
      <c r="A304" t="s">
        <v>732</v>
      </c>
      <c r="B304" t="s">
        <v>733</v>
      </c>
    </row>
    <row r="305" spans="1:2" x14ac:dyDescent="0.15">
      <c r="A305" t="s">
        <v>734</v>
      </c>
      <c r="B305" t="s">
        <v>735</v>
      </c>
    </row>
    <row r="306" spans="1:2" x14ac:dyDescent="0.15">
      <c r="A306" t="s">
        <v>736</v>
      </c>
      <c r="B306" t="s">
        <v>737</v>
      </c>
    </row>
    <row r="307" spans="1:2" x14ac:dyDescent="0.15">
      <c r="A307" t="s">
        <v>738</v>
      </c>
      <c r="B307" t="s">
        <v>739</v>
      </c>
    </row>
    <row r="308" spans="1:2" x14ac:dyDescent="0.15">
      <c r="A308" t="s">
        <v>740</v>
      </c>
      <c r="B308" t="s">
        <v>741</v>
      </c>
    </row>
    <row r="309" spans="1:2" x14ac:dyDescent="0.15">
      <c r="A309" t="s">
        <v>742</v>
      </c>
      <c r="B309" t="s">
        <v>743</v>
      </c>
    </row>
    <row r="310" spans="1:2" x14ac:dyDescent="0.15">
      <c r="A310" t="s">
        <v>744</v>
      </c>
      <c r="B310" t="s">
        <v>745</v>
      </c>
    </row>
    <row r="311" spans="1:2" x14ac:dyDescent="0.15">
      <c r="A311" t="s">
        <v>746</v>
      </c>
      <c r="B311" t="s">
        <v>747</v>
      </c>
    </row>
    <row r="312" spans="1:2" x14ac:dyDescent="0.15">
      <c r="A312" t="s">
        <v>748</v>
      </c>
      <c r="B312" t="s">
        <v>749</v>
      </c>
    </row>
    <row r="313" spans="1:2" x14ac:dyDescent="0.15">
      <c r="A313" t="s">
        <v>750</v>
      </c>
      <c r="B313" t="s">
        <v>751</v>
      </c>
    </row>
    <row r="314" spans="1:2" x14ac:dyDescent="0.15">
      <c r="A314" t="s">
        <v>752</v>
      </c>
      <c r="B314" t="s">
        <v>753</v>
      </c>
    </row>
    <row r="315" spans="1:2" x14ac:dyDescent="0.15">
      <c r="A315" t="s">
        <v>754</v>
      </c>
      <c r="B315" t="s">
        <v>755</v>
      </c>
    </row>
    <row r="316" spans="1:2" x14ac:dyDescent="0.15">
      <c r="A316" t="s">
        <v>756</v>
      </c>
      <c r="B316" t="s">
        <v>757</v>
      </c>
    </row>
    <row r="317" spans="1:2" x14ac:dyDescent="0.15">
      <c r="A317" t="s">
        <v>758</v>
      </c>
      <c r="B317" t="s">
        <v>759</v>
      </c>
    </row>
    <row r="318" spans="1:2" x14ac:dyDescent="0.15">
      <c r="A318" t="s">
        <v>760</v>
      </c>
      <c r="B318" t="s">
        <v>761</v>
      </c>
    </row>
    <row r="319" spans="1:2" x14ac:dyDescent="0.15">
      <c r="A319" t="s">
        <v>762</v>
      </c>
      <c r="B319" t="s">
        <v>763</v>
      </c>
    </row>
    <row r="320" spans="1:2" x14ac:dyDescent="0.15">
      <c r="A320" t="s">
        <v>764</v>
      </c>
      <c r="B320" t="s">
        <v>765</v>
      </c>
    </row>
    <row r="321" spans="1:15" x14ac:dyDescent="0.15">
      <c r="A321" t="s">
        <v>766</v>
      </c>
      <c r="B321" t="s">
        <v>767</v>
      </c>
    </row>
    <row r="322" spans="1:15" x14ac:dyDescent="0.15">
      <c r="A322" t="s">
        <v>768</v>
      </c>
      <c r="B322" t="s">
        <v>769</v>
      </c>
    </row>
    <row r="323" spans="1:15" x14ac:dyDescent="0.15">
      <c r="A323" t="s">
        <v>770</v>
      </c>
      <c r="B323" t="s">
        <v>771</v>
      </c>
    </row>
    <row r="324" spans="1:15" x14ac:dyDescent="0.15">
      <c r="A324" t="s">
        <v>772</v>
      </c>
      <c r="B324" t="s">
        <v>773</v>
      </c>
    </row>
    <row r="325" spans="1:15" x14ac:dyDescent="0.15">
      <c r="A325" t="s">
        <v>774</v>
      </c>
      <c r="B325" t="s">
        <v>775</v>
      </c>
    </row>
    <row r="326" spans="1:15" x14ac:dyDescent="0.15">
      <c r="A326" t="s">
        <v>776</v>
      </c>
      <c r="B326" t="s">
        <v>777</v>
      </c>
    </row>
    <row r="327" spans="1:15" x14ac:dyDescent="0.15">
      <c r="A327" t="s">
        <v>781</v>
      </c>
      <c r="B327" t="s">
        <v>61</v>
      </c>
      <c r="C327" t="s">
        <v>35</v>
      </c>
      <c r="D327" t="s">
        <v>47</v>
      </c>
      <c r="E327" t="s">
        <v>55</v>
      </c>
      <c r="F327" t="s">
        <v>67</v>
      </c>
      <c r="G327" t="s">
        <v>75</v>
      </c>
      <c r="H327" t="s">
        <v>51</v>
      </c>
      <c r="I327" t="s">
        <v>53</v>
      </c>
      <c r="J327" t="s">
        <v>77</v>
      </c>
      <c r="K327" t="s">
        <v>69</v>
      </c>
      <c r="L327" t="s">
        <v>45</v>
      </c>
      <c r="M327" t="s">
        <v>65</v>
      </c>
      <c r="N327" t="s">
        <v>21</v>
      </c>
      <c r="O327" t="s">
        <v>71</v>
      </c>
    </row>
    <row r="328" spans="1:15" x14ac:dyDescent="0.15">
      <c r="A328" t="s">
        <v>783</v>
      </c>
      <c r="B328">
        <v>1</v>
      </c>
    </row>
    <row r="329" spans="1:15" x14ac:dyDescent="0.15">
      <c r="A329" t="s">
        <v>784</v>
      </c>
      <c r="B329">
        <v>2</v>
      </c>
    </row>
    <row r="330" spans="1:15" x14ac:dyDescent="0.15">
      <c r="A330" t="s">
        <v>785</v>
      </c>
      <c r="B330">
        <v>3</v>
      </c>
    </row>
    <row r="331" spans="1:15" x14ac:dyDescent="0.15">
      <c r="A331" t="s">
        <v>786</v>
      </c>
      <c r="B331">
        <v>4</v>
      </c>
    </row>
    <row r="332" spans="1:15" x14ac:dyDescent="0.15">
      <c r="A332" t="s">
        <v>787</v>
      </c>
      <c r="B332">
        <v>5</v>
      </c>
    </row>
    <row r="333" spans="1:15" x14ac:dyDescent="0.15">
      <c r="A333" t="s">
        <v>788</v>
      </c>
      <c r="B333">
        <v>6</v>
      </c>
    </row>
    <row r="334" spans="1:15" x14ac:dyDescent="0.15">
      <c r="A334" t="s">
        <v>789</v>
      </c>
      <c r="B334">
        <v>7</v>
      </c>
    </row>
    <row r="335" spans="1:15" x14ac:dyDescent="0.15">
      <c r="A335" t="s">
        <v>790</v>
      </c>
      <c r="B335">
        <v>9</v>
      </c>
    </row>
    <row r="336" spans="1:15" x14ac:dyDescent="0.15">
      <c r="A336" t="s">
        <v>791</v>
      </c>
      <c r="B336">
        <v>10</v>
      </c>
    </row>
    <row r="337" spans="1:2" x14ac:dyDescent="0.15">
      <c r="A337" t="s">
        <v>792</v>
      </c>
      <c r="B337">
        <v>11</v>
      </c>
    </row>
    <row r="338" spans="1:2" x14ac:dyDescent="0.15">
      <c r="A338" t="s">
        <v>793</v>
      </c>
      <c r="B338">
        <v>12</v>
      </c>
    </row>
    <row r="339" spans="1:2" x14ac:dyDescent="0.15">
      <c r="A339" t="s">
        <v>794</v>
      </c>
      <c r="B339">
        <v>13</v>
      </c>
    </row>
    <row r="340" spans="1:2" x14ac:dyDescent="0.15">
      <c r="A340" t="s">
        <v>795</v>
      </c>
      <c r="B340">
        <v>14</v>
      </c>
    </row>
    <row r="341" spans="1:2" x14ac:dyDescent="0.15">
      <c r="A341" t="s">
        <v>796</v>
      </c>
      <c r="B341">
        <v>15</v>
      </c>
    </row>
    <row r="342" spans="1:2" x14ac:dyDescent="0.15">
      <c r="A342" t="s">
        <v>797</v>
      </c>
      <c r="B342">
        <v>16</v>
      </c>
    </row>
    <row r="343" spans="1:2" x14ac:dyDescent="0.15">
      <c r="A343" t="s">
        <v>798</v>
      </c>
      <c r="B343">
        <v>17</v>
      </c>
    </row>
    <row r="344" spans="1:2" x14ac:dyDescent="0.15">
      <c r="A344" t="s">
        <v>799</v>
      </c>
      <c r="B344">
        <v>18</v>
      </c>
    </row>
    <row r="345" spans="1:2" x14ac:dyDescent="0.15">
      <c r="A345" t="s">
        <v>800</v>
      </c>
      <c r="B345">
        <v>19</v>
      </c>
    </row>
    <row r="346" spans="1:2" x14ac:dyDescent="0.15">
      <c r="A346" t="s">
        <v>801</v>
      </c>
      <c r="B346">
        <v>20</v>
      </c>
    </row>
    <row r="347" spans="1:2" x14ac:dyDescent="0.15">
      <c r="A347" t="s">
        <v>802</v>
      </c>
      <c r="B347">
        <v>21</v>
      </c>
    </row>
    <row r="348" spans="1:2" x14ac:dyDescent="0.15">
      <c r="A348" t="s">
        <v>803</v>
      </c>
      <c r="B348">
        <v>22</v>
      </c>
    </row>
    <row r="349" spans="1:2" x14ac:dyDescent="0.15">
      <c r="A349" t="s">
        <v>804</v>
      </c>
      <c r="B349">
        <v>23</v>
      </c>
    </row>
    <row r="350" spans="1:2" x14ac:dyDescent="0.15">
      <c r="A350" t="s">
        <v>807</v>
      </c>
      <c r="B350">
        <v>24</v>
      </c>
    </row>
    <row r="351" spans="1:2" x14ac:dyDescent="0.15">
      <c r="A351" t="s">
        <v>809</v>
      </c>
      <c r="B351">
        <v>25</v>
      </c>
    </row>
    <row r="352" spans="1:2" x14ac:dyDescent="0.15">
      <c r="A352" t="s">
        <v>811</v>
      </c>
      <c r="B352">
        <v>26</v>
      </c>
    </row>
    <row r="353" spans="1:2" x14ac:dyDescent="0.15">
      <c r="A353" t="s">
        <v>813</v>
      </c>
      <c r="B353">
        <v>27</v>
      </c>
    </row>
    <row r="354" spans="1:2" x14ac:dyDescent="0.15">
      <c r="A354" t="s">
        <v>814</v>
      </c>
      <c r="B354">
        <v>28</v>
      </c>
    </row>
    <row r="355" spans="1:2" x14ac:dyDescent="0.15">
      <c r="A355" t="s">
        <v>815</v>
      </c>
      <c r="B355">
        <v>29</v>
      </c>
    </row>
    <row r="356" spans="1:2" x14ac:dyDescent="0.15">
      <c r="A356" t="s">
        <v>816</v>
      </c>
      <c r="B356">
        <v>31</v>
      </c>
    </row>
    <row r="357" spans="1:2" x14ac:dyDescent="0.15">
      <c r="A357" t="s">
        <v>817</v>
      </c>
      <c r="B357">
        <v>32</v>
      </c>
    </row>
    <row r="358" spans="1:2" x14ac:dyDescent="0.15">
      <c r="A358" t="s">
        <v>818</v>
      </c>
      <c r="B358">
        <v>33</v>
      </c>
    </row>
    <row r="359" spans="1:2" x14ac:dyDescent="0.15">
      <c r="A359" t="s">
        <v>819</v>
      </c>
      <c r="B359">
        <v>34</v>
      </c>
    </row>
    <row r="360" spans="1:2" x14ac:dyDescent="0.15">
      <c r="A360" t="s">
        <v>820</v>
      </c>
      <c r="B360">
        <v>35</v>
      </c>
    </row>
    <row r="361" spans="1:2" x14ac:dyDescent="0.15">
      <c r="A361" t="s">
        <v>821</v>
      </c>
      <c r="B361">
        <v>36</v>
      </c>
    </row>
    <row r="362" spans="1:2" x14ac:dyDescent="0.15">
      <c r="A362" t="s">
        <v>822</v>
      </c>
      <c r="B362">
        <v>37</v>
      </c>
    </row>
    <row r="363" spans="1:2" x14ac:dyDescent="0.15">
      <c r="A363" t="s">
        <v>823</v>
      </c>
      <c r="B363">
        <v>38</v>
      </c>
    </row>
    <row r="364" spans="1:2" x14ac:dyDescent="0.15">
      <c r="A364" t="s">
        <v>824</v>
      </c>
      <c r="B364">
        <v>39</v>
      </c>
    </row>
    <row r="365" spans="1:2" x14ac:dyDescent="0.15">
      <c r="A365" t="s">
        <v>825</v>
      </c>
      <c r="B365">
        <v>40</v>
      </c>
    </row>
    <row r="366" spans="1:2" x14ac:dyDescent="0.15">
      <c r="A366" t="s">
        <v>826</v>
      </c>
      <c r="B366">
        <v>41</v>
      </c>
    </row>
    <row r="367" spans="1:2" x14ac:dyDescent="0.15">
      <c r="A367" t="s">
        <v>827</v>
      </c>
      <c r="B367">
        <v>42</v>
      </c>
    </row>
    <row r="368" spans="1:2" x14ac:dyDescent="0.15">
      <c r="A368" t="s">
        <v>828</v>
      </c>
      <c r="B368">
        <v>43</v>
      </c>
    </row>
    <row r="369" spans="1:2" x14ac:dyDescent="0.15">
      <c r="A369" t="s">
        <v>829</v>
      </c>
      <c r="B369">
        <v>44</v>
      </c>
    </row>
    <row r="370" spans="1:2" x14ac:dyDescent="0.15">
      <c r="A370" t="s">
        <v>830</v>
      </c>
      <c r="B370">
        <v>45</v>
      </c>
    </row>
    <row r="371" spans="1:2" x14ac:dyDescent="0.15">
      <c r="A371" t="s">
        <v>832</v>
      </c>
      <c r="B371">
        <v>46</v>
      </c>
    </row>
    <row r="372" spans="1:2" x14ac:dyDescent="0.15">
      <c r="A372" t="s">
        <v>834</v>
      </c>
      <c r="B372">
        <v>47</v>
      </c>
    </row>
    <row r="373" spans="1:2" x14ac:dyDescent="0.15">
      <c r="A373" t="s">
        <v>836</v>
      </c>
      <c r="B373">
        <v>48</v>
      </c>
    </row>
    <row r="374" spans="1:2" x14ac:dyDescent="0.15">
      <c r="A374" t="s">
        <v>838</v>
      </c>
      <c r="B374">
        <v>49</v>
      </c>
    </row>
    <row r="375" spans="1:2" x14ac:dyDescent="0.15">
      <c r="A375" t="s">
        <v>839</v>
      </c>
      <c r="B375">
        <v>50</v>
      </c>
    </row>
    <row r="376" spans="1:2" x14ac:dyDescent="0.15">
      <c r="A376" t="s">
        <v>840</v>
      </c>
      <c r="B376">
        <v>51</v>
      </c>
    </row>
    <row r="377" spans="1:2" x14ac:dyDescent="0.15">
      <c r="A377" t="s">
        <v>841</v>
      </c>
      <c r="B377">
        <v>53</v>
      </c>
    </row>
    <row r="378" spans="1:2" x14ac:dyDescent="0.15">
      <c r="A378" t="s">
        <v>842</v>
      </c>
      <c r="B378">
        <v>54</v>
      </c>
    </row>
    <row r="379" spans="1:2" x14ac:dyDescent="0.15">
      <c r="A379" t="s">
        <v>843</v>
      </c>
      <c r="B379">
        <v>56</v>
      </c>
    </row>
    <row r="380" spans="1:2" x14ac:dyDescent="0.15">
      <c r="A380" t="s">
        <v>844</v>
      </c>
      <c r="B380">
        <v>57</v>
      </c>
    </row>
    <row r="381" spans="1:2" x14ac:dyDescent="0.15">
      <c r="A381" t="s">
        <v>845</v>
      </c>
      <c r="B381">
        <v>58</v>
      </c>
    </row>
    <row r="382" spans="1:2" x14ac:dyDescent="0.15">
      <c r="A382" t="s">
        <v>846</v>
      </c>
      <c r="B382">
        <v>59</v>
      </c>
    </row>
    <row r="383" spans="1:2" x14ac:dyDescent="0.15">
      <c r="A383" t="s">
        <v>849</v>
      </c>
      <c r="B383">
        <v>61</v>
      </c>
    </row>
    <row r="384" spans="1:2" x14ac:dyDescent="0.15">
      <c r="A384" t="s">
        <v>851</v>
      </c>
      <c r="B384">
        <v>62</v>
      </c>
    </row>
    <row r="385" spans="1:2" x14ac:dyDescent="0.15">
      <c r="A385" t="s">
        <v>853</v>
      </c>
      <c r="B385">
        <v>63</v>
      </c>
    </row>
    <row r="386" spans="1:2" x14ac:dyDescent="0.15">
      <c r="A386" t="s">
        <v>855</v>
      </c>
      <c r="B386">
        <v>64</v>
      </c>
    </row>
    <row r="387" spans="1:2" x14ac:dyDescent="0.15">
      <c r="A387" t="s">
        <v>856</v>
      </c>
      <c r="B387">
        <v>66</v>
      </c>
    </row>
    <row r="388" spans="1:2" x14ac:dyDescent="0.15">
      <c r="A388" t="s">
        <v>857</v>
      </c>
      <c r="B388">
        <v>67</v>
      </c>
    </row>
    <row r="389" spans="1:2" x14ac:dyDescent="0.15">
      <c r="A389" t="s">
        <v>858</v>
      </c>
      <c r="B389">
        <v>68</v>
      </c>
    </row>
    <row r="390" spans="1:2" x14ac:dyDescent="0.15">
      <c r="A390" t="s">
        <v>859</v>
      </c>
      <c r="B390">
        <v>69</v>
      </c>
    </row>
    <row r="391" spans="1:2" x14ac:dyDescent="0.15">
      <c r="A391" t="s">
        <v>862</v>
      </c>
      <c r="B391">
        <v>71</v>
      </c>
    </row>
    <row r="392" spans="1:2" x14ac:dyDescent="0.15">
      <c r="A392" t="s">
        <v>864</v>
      </c>
      <c r="B392">
        <v>72</v>
      </c>
    </row>
    <row r="393" spans="1:2" x14ac:dyDescent="0.15">
      <c r="A393" t="s">
        <v>866</v>
      </c>
      <c r="B393">
        <v>73</v>
      </c>
    </row>
    <row r="394" spans="1:2" x14ac:dyDescent="0.15">
      <c r="A394" t="s">
        <v>868</v>
      </c>
      <c r="B394">
        <v>74</v>
      </c>
    </row>
    <row r="395" spans="1:2" x14ac:dyDescent="0.15">
      <c r="A395" t="s">
        <v>869</v>
      </c>
      <c r="B395" t="s">
        <v>870</v>
      </c>
    </row>
    <row r="396" spans="1:2" x14ac:dyDescent="0.15">
      <c r="A396" t="s">
        <v>871</v>
      </c>
      <c r="B396" t="s">
        <v>872</v>
      </c>
    </row>
    <row r="397" spans="1:2" x14ac:dyDescent="0.15">
      <c r="A397" t="s">
        <v>873</v>
      </c>
      <c r="B397" t="s">
        <v>874</v>
      </c>
    </row>
    <row r="398" spans="1:2" x14ac:dyDescent="0.15">
      <c r="A398" t="s">
        <v>875</v>
      </c>
      <c r="B398" t="s">
        <v>876</v>
      </c>
    </row>
    <row r="399" spans="1:2" x14ac:dyDescent="0.15">
      <c r="A399" t="s">
        <v>877</v>
      </c>
      <c r="B399" t="s">
        <v>878</v>
      </c>
    </row>
    <row r="400" spans="1:2" x14ac:dyDescent="0.15">
      <c r="A400" t="s">
        <v>879</v>
      </c>
      <c r="B400" t="s">
        <v>880</v>
      </c>
    </row>
    <row r="401" spans="1:2" x14ac:dyDescent="0.15">
      <c r="A401" t="s">
        <v>881</v>
      </c>
      <c r="B401" t="s">
        <v>882</v>
      </c>
    </row>
    <row r="402" spans="1:2" x14ac:dyDescent="0.15">
      <c r="A402" t="s">
        <v>883</v>
      </c>
      <c r="B402" t="s">
        <v>884</v>
      </c>
    </row>
    <row r="403" spans="1:2" x14ac:dyDescent="0.15">
      <c r="A403" t="s">
        <v>885</v>
      </c>
      <c r="B403" t="s">
        <v>886</v>
      </c>
    </row>
    <row r="404" spans="1:2" x14ac:dyDescent="0.15">
      <c r="A404" t="s">
        <v>887</v>
      </c>
      <c r="B404" t="s">
        <v>888</v>
      </c>
    </row>
    <row r="405" spans="1:2" x14ac:dyDescent="0.15">
      <c r="A405" t="s">
        <v>889</v>
      </c>
      <c r="B405" t="s">
        <v>890</v>
      </c>
    </row>
    <row r="406" spans="1:2" x14ac:dyDescent="0.15">
      <c r="A406" t="s">
        <v>891</v>
      </c>
      <c r="B406" t="s">
        <v>892</v>
      </c>
    </row>
    <row r="407" spans="1:2" x14ac:dyDescent="0.15">
      <c r="A407" t="s">
        <v>893</v>
      </c>
      <c r="B407" t="s">
        <v>894</v>
      </c>
    </row>
    <row r="408" spans="1:2" x14ac:dyDescent="0.15">
      <c r="A408" t="s">
        <v>895</v>
      </c>
      <c r="B408" t="s">
        <v>896</v>
      </c>
    </row>
    <row r="409" spans="1:2" x14ac:dyDescent="0.15">
      <c r="A409" t="s">
        <v>897</v>
      </c>
      <c r="B409" t="s">
        <v>898</v>
      </c>
    </row>
    <row r="410" spans="1:2" x14ac:dyDescent="0.15">
      <c r="A410" t="s">
        <v>899</v>
      </c>
      <c r="B410" t="s">
        <v>900</v>
      </c>
    </row>
    <row r="411" spans="1:2" x14ac:dyDescent="0.15">
      <c r="A411" t="s">
        <v>901</v>
      </c>
      <c r="B411" t="s">
        <v>902</v>
      </c>
    </row>
    <row r="412" spans="1:2" x14ac:dyDescent="0.15">
      <c r="A412" t="s">
        <v>903</v>
      </c>
      <c r="B412" t="s">
        <v>904</v>
      </c>
    </row>
    <row r="413" spans="1:2" x14ac:dyDescent="0.15">
      <c r="A413" t="s">
        <v>905</v>
      </c>
      <c r="B413" t="s">
        <v>906</v>
      </c>
    </row>
    <row r="414" spans="1:2" x14ac:dyDescent="0.15">
      <c r="A414" t="s">
        <v>907</v>
      </c>
      <c r="B414" t="s">
        <v>908</v>
      </c>
    </row>
    <row r="415" spans="1:2" x14ac:dyDescent="0.15">
      <c r="A415" t="s">
        <v>909</v>
      </c>
      <c r="B415" t="s">
        <v>910</v>
      </c>
    </row>
    <row r="416" spans="1:2" x14ac:dyDescent="0.15">
      <c r="A416" t="s">
        <v>911</v>
      </c>
      <c r="B416" t="s">
        <v>912</v>
      </c>
    </row>
    <row r="417" spans="1:2" x14ac:dyDescent="0.15">
      <c r="A417" t="s">
        <v>913</v>
      </c>
      <c r="B417" t="s">
        <v>914</v>
      </c>
    </row>
    <row r="418" spans="1:2" x14ac:dyDescent="0.15">
      <c r="A418" t="s">
        <v>915</v>
      </c>
      <c r="B418" t="s">
        <v>916</v>
      </c>
    </row>
    <row r="419" spans="1:2" x14ac:dyDescent="0.15">
      <c r="A419" t="s">
        <v>917</v>
      </c>
      <c r="B419" t="s">
        <v>918</v>
      </c>
    </row>
    <row r="420" spans="1:2" x14ac:dyDescent="0.15">
      <c r="A420" t="s">
        <v>919</v>
      </c>
      <c r="B420" t="s">
        <v>920</v>
      </c>
    </row>
    <row r="421" spans="1:2" x14ac:dyDescent="0.15">
      <c r="A421" t="s">
        <v>921</v>
      </c>
      <c r="B421" t="s">
        <v>922</v>
      </c>
    </row>
    <row r="422" spans="1:2" x14ac:dyDescent="0.15">
      <c r="A422" t="s">
        <v>923</v>
      </c>
      <c r="B422" t="s">
        <v>924</v>
      </c>
    </row>
    <row r="423" spans="1:2" x14ac:dyDescent="0.15">
      <c r="A423" t="s">
        <v>925</v>
      </c>
      <c r="B423" t="s">
        <v>926</v>
      </c>
    </row>
    <row r="424" spans="1:2" x14ac:dyDescent="0.15">
      <c r="A424" t="s">
        <v>927</v>
      </c>
      <c r="B424" t="s">
        <v>928</v>
      </c>
    </row>
    <row r="425" spans="1:2" x14ac:dyDescent="0.15">
      <c r="A425" t="s">
        <v>929</v>
      </c>
      <c r="B425" t="s">
        <v>930</v>
      </c>
    </row>
    <row r="426" spans="1:2" x14ac:dyDescent="0.15">
      <c r="A426" t="s">
        <v>931</v>
      </c>
      <c r="B426" t="s">
        <v>932</v>
      </c>
    </row>
    <row r="427" spans="1:2" x14ac:dyDescent="0.15">
      <c r="A427" t="s">
        <v>933</v>
      </c>
      <c r="B427" t="s">
        <v>934</v>
      </c>
    </row>
    <row r="428" spans="1:2" x14ac:dyDescent="0.15">
      <c r="A428" t="s">
        <v>935</v>
      </c>
      <c r="B428" t="s">
        <v>936</v>
      </c>
    </row>
    <row r="429" spans="1:2" x14ac:dyDescent="0.15">
      <c r="A429" t="s">
        <v>937</v>
      </c>
      <c r="B429" t="s">
        <v>938</v>
      </c>
    </row>
    <row r="430" spans="1:2" x14ac:dyDescent="0.15">
      <c r="A430" t="s">
        <v>939</v>
      </c>
      <c r="B430" t="s">
        <v>940</v>
      </c>
    </row>
    <row r="431" spans="1:2" x14ac:dyDescent="0.15">
      <c r="A431" t="s">
        <v>941</v>
      </c>
      <c r="B431" t="s">
        <v>942</v>
      </c>
    </row>
    <row r="432" spans="1:2" x14ac:dyDescent="0.15">
      <c r="A432" t="s">
        <v>943</v>
      </c>
      <c r="B432" t="s">
        <v>944</v>
      </c>
    </row>
    <row r="433" spans="1:2" x14ac:dyDescent="0.15">
      <c r="A433" t="s">
        <v>945</v>
      </c>
      <c r="B433" t="s">
        <v>946</v>
      </c>
    </row>
    <row r="434" spans="1:2" x14ac:dyDescent="0.15">
      <c r="A434" t="s">
        <v>947</v>
      </c>
      <c r="B434" t="s">
        <v>948</v>
      </c>
    </row>
    <row r="435" spans="1:2" x14ac:dyDescent="0.15">
      <c r="A435" t="s">
        <v>949</v>
      </c>
      <c r="B435" t="s">
        <v>950</v>
      </c>
    </row>
    <row r="436" spans="1:2" x14ac:dyDescent="0.15">
      <c r="A436" t="s">
        <v>951</v>
      </c>
      <c r="B436" t="s">
        <v>952</v>
      </c>
    </row>
    <row r="437" spans="1:2" x14ac:dyDescent="0.15">
      <c r="A437" t="s">
        <v>953</v>
      </c>
      <c r="B437" t="s">
        <v>954</v>
      </c>
    </row>
    <row r="438" spans="1:2" x14ac:dyDescent="0.15">
      <c r="A438" t="s">
        <v>955</v>
      </c>
      <c r="B438" t="s">
        <v>956</v>
      </c>
    </row>
    <row r="439" spans="1:2" x14ac:dyDescent="0.15">
      <c r="A439" t="s">
        <v>957</v>
      </c>
      <c r="B439" t="s">
        <v>958</v>
      </c>
    </row>
    <row r="440" spans="1:2" x14ac:dyDescent="0.15">
      <c r="A440" t="s">
        <v>959</v>
      </c>
      <c r="B440" t="s">
        <v>960</v>
      </c>
    </row>
    <row r="441" spans="1:2" x14ac:dyDescent="0.15">
      <c r="A441" t="s">
        <v>961</v>
      </c>
      <c r="B441" t="s">
        <v>962</v>
      </c>
    </row>
    <row r="442" spans="1:2" x14ac:dyDescent="0.15">
      <c r="A442" t="s">
        <v>963</v>
      </c>
      <c r="B442" t="s">
        <v>964</v>
      </c>
    </row>
    <row r="443" spans="1:2" x14ac:dyDescent="0.15">
      <c r="A443" t="s">
        <v>965</v>
      </c>
      <c r="B443" t="s">
        <v>966</v>
      </c>
    </row>
    <row r="444" spans="1:2" x14ac:dyDescent="0.15">
      <c r="A444" t="s">
        <v>967</v>
      </c>
      <c r="B444" t="s">
        <v>968</v>
      </c>
    </row>
    <row r="445" spans="1:2" x14ac:dyDescent="0.15">
      <c r="A445" t="s">
        <v>969</v>
      </c>
      <c r="B445" t="s">
        <v>970</v>
      </c>
    </row>
    <row r="446" spans="1:2" x14ac:dyDescent="0.15">
      <c r="A446" t="s">
        <v>971</v>
      </c>
      <c r="B446" t="s">
        <v>972</v>
      </c>
    </row>
    <row r="447" spans="1:2" x14ac:dyDescent="0.15">
      <c r="A447" t="s">
        <v>973</v>
      </c>
      <c r="B447" t="s">
        <v>974</v>
      </c>
    </row>
    <row r="448" spans="1:2" x14ac:dyDescent="0.15">
      <c r="A448" t="s">
        <v>975</v>
      </c>
      <c r="B448" t="s">
        <v>976</v>
      </c>
    </row>
    <row r="449" spans="1:22" x14ac:dyDescent="0.15">
      <c r="A449" t="s">
        <v>977</v>
      </c>
      <c r="B449" t="s">
        <v>978</v>
      </c>
    </row>
    <row r="450" spans="1:22" x14ac:dyDescent="0.15">
      <c r="A450" t="s">
        <v>979</v>
      </c>
      <c r="B450" t="s">
        <v>980</v>
      </c>
    </row>
    <row r="451" spans="1:22" x14ac:dyDescent="0.15">
      <c r="A451" t="s">
        <v>981</v>
      </c>
      <c r="B451" t="s">
        <v>982</v>
      </c>
    </row>
    <row r="452" spans="1:22" x14ac:dyDescent="0.15">
      <c r="A452" t="s">
        <v>983</v>
      </c>
      <c r="B452" t="s">
        <v>984</v>
      </c>
    </row>
    <row r="453" spans="1:22" x14ac:dyDescent="0.15">
      <c r="A453" t="s">
        <v>988</v>
      </c>
      <c r="B453" t="s">
        <v>21</v>
      </c>
      <c r="C453" t="s">
        <v>71</v>
      </c>
      <c r="D453" t="s">
        <v>53</v>
      </c>
      <c r="E453" t="s">
        <v>31</v>
      </c>
      <c r="F453" t="s">
        <v>3</v>
      </c>
      <c r="G453" t="s">
        <v>7</v>
      </c>
      <c r="H453" t="s">
        <v>67</v>
      </c>
      <c r="I453" t="s">
        <v>35</v>
      </c>
      <c r="J453" t="s">
        <v>55</v>
      </c>
      <c r="K453" t="s">
        <v>5</v>
      </c>
      <c r="L453" t="s">
        <v>47</v>
      </c>
      <c r="M453" t="s">
        <v>61</v>
      </c>
      <c r="N453" t="s">
        <v>9</v>
      </c>
      <c r="O453" t="s">
        <v>75</v>
      </c>
      <c r="P453" t="s">
        <v>41</v>
      </c>
      <c r="Q453" t="s">
        <v>45</v>
      </c>
      <c r="R453" t="s">
        <v>69</v>
      </c>
      <c r="S453" t="s">
        <v>33</v>
      </c>
      <c r="T453" t="s">
        <v>51</v>
      </c>
      <c r="U453" t="s">
        <v>43</v>
      </c>
      <c r="V453" t="s">
        <v>65</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L349"/>
  <sheetViews>
    <sheetView workbookViewId="0">
      <pane xSplit="2" ySplit="4" topLeftCell="C5" activePane="bottomRight" state="frozen"/>
      <selection pane="topRight" activeCell="C1" sqref="C1"/>
      <selection pane="bottomLeft" activeCell="A5" sqref="A5"/>
      <selection pane="bottomRight"/>
    </sheetView>
  </sheetViews>
  <sheetFormatPr defaultRowHeight="13.5" outlineLevelRow="2" x14ac:dyDescent="0.15"/>
  <cols>
    <col min="1" max="1" width="9.125"/>
    <col min="2" max="2" width="24.625" customWidth="1"/>
    <col min="3" max="3" width="9.125"/>
    <col min="4" max="5" width="10.625" customWidth="1"/>
    <col min="6" max="7" width="9.125"/>
    <col min="8" max="8" width="1.625" customWidth="1"/>
    <col min="9" max="9" width="9.125"/>
    <col min="10" max="12" width="10.625" customWidth="1"/>
    <col min="13" max="13" width="11.625" customWidth="1"/>
    <col min="14" max="14" width="12.625" customWidth="1"/>
    <col min="15" max="15" width="10.625" customWidth="1"/>
    <col min="16" max="19" width="12.625" customWidth="1"/>
    <col min="20" max="25" width="11.625" customWidth="1"/>
    <col min="26" max="27" width="9.125"/>
    <col min="28" max="28" width="1.625" customWidth="1"/>
    <col min="29" max="29" width="9.125"/>
    <col min="30" max="32" width="10.625" customWidth="1"/>
    <col min="33" max="33" width="11.625" customWidth="1"/>
    <col min="34" max="34" width="12.625" customWidth="1"/>
    <col min="35" max="35" width="10.625" customWidth="1"/>
    <col min="36" max="39" width="12.625" customWidth="1"/>
    <col min="40" max="45" width="11.625" customWidth="1"/>
    <col min="46" max="47" width="9.125"/>
    <col min="48" max="48" width="1.625" customWidth="1"/>
    <col min="49" max="50" width="9.125"/>
    <col min="51" max="51" width="1.625" customWidth="1"/>
    <col min="52" max="53" width="9.125"/>
    <col min="54" max="57" width="11.625" customWidth="1"/>
    <col min="58" max="58" width="1.625" customWidth="1"/>
    <col min="59" max="60" width="9.125"/>
    <col min="61" max="64" width="11.625" customWidth="1"/>
    <col min="65" max="65" width="1.625" customWidth="1"/>
  </cols>
  <sheetData>
    <row r="1" spans="1:64" x14ac:dyDescent="0.15">
      <c r="A1" s="90" t="s">
        <v>491</v>
      </c>
      <c r="B1" s="90"/>
      <c r="C1" s="90"/>
      <c r="D1" s="90"/>
      <c r="E1" s="90"/>
      <c r="F1" s="90"/>
      <c r="G1" s="90"/>
      <c r="I1" s="86" t="s">
        <v>990</v>
      </c>
      <c r="J1" s="86"/>
      <c r="K1" s="86"/>
      <c r="L1" s="86"/>
      <c r="M1" s="86"/>
      <c r="N1" s="86"/>
      <c r="O1" s="86"/>
      <c r="P1" s="86"/>
      <c r="Q1" s="86"/>
      <c r="R1" s="86"/>
      <c r="S1" s="86"/>
      <c r="T1" s="86"/>
      <c r="U1" s="86"/>
      <c r="V1" s="86"/>
      <c r="W1" s="86"/>
      <c r="X1" s="86"/>
      <c r="Y1" s="86"/>
      <c r="Z1" s="86"/>
      <c r="AA1" s="86"/>
      <c r="AC1" s="87" t="s">
        <v>991</v>
      </c>
      <c r="AD1" s="87"/>
      <c r="AE1" s="87"/>
      <c r="AF1" s="87"/>
      <c r="AG1" s="87"/>
      <c r="AH1" s="87"/>
      <c r="AI1" s="87"/>
      <c r="AJ1" s="87"/>
      <c r="AK1" s="87"/>
      <c r="AL1" s="87"/>
      <c r="AM1" s="87"/>
      <c r="AN1" s="87"/>
      <c r="AO1" s="87"/>
      <c r="AP1" s="87"/>
      <c r="AQ1" s="87"/>
      <c r="AR1" s="87"/>
      <c r="AS1" s="87"/>
      <c r="AT1" s="87"/>
      <c r="AU1" s="87"/>
    </row>
    <row r="2" spans="1:64" ht="30" customHeight="1" x14ac:dyDescent="0.15">
      <c r="A2" s="92" t="s">
        <v>91</v>
      </c>
      <c r="B2" s="91" t="s">
        <v>94</v>
      </c>
      <c r="C2" s="92" t="s">
        <v>97</v>
      </c>
      <c r="D2" s="91" t="s">
        <v>100</v>
      </c>
      <c r="E2" s="92" t="s">
        <v>103</v>
      </c>
      <c r="F2" s="91" t="s">
        <v>106</v>
      </c>
      <c r="G2" s="92" t="s">
        <v>109</v>
      </c>
      <c r="I2" s="91" t="s">
        <v>112</v>
      </c>
      <c r="J2" s="89" t="s">
        <v>115</v>
      </c>
      <c r="K2" s="89"/>
      <c r="L2" s="89"/>
      <c r="M2" s="89"/>
      <c r="N2" s="91" t="s">
        <v>128</v>
      </c>
      <c r="O2" s="92" t="s">
        <v>22</v>
      </c>
      <c r="P2" s="88" t="s">
        <v>133</v>
      </c>
      <c r="Q2" s="88"/>
      <c r="R2" s="88"/>
      <c r="S2" s="88"/>
      <c r="T2" s="89" t="s">
        <v>437</v>
      </c>
      <c r="U2" s="89"/>
      <c r="V2" s="88" t="s">
        <v>143</v>
      </c>
      <c r="W2" s="88"/>
      <c r="X2" s="88"/>
      <c r="Y2" s="88"/>
      <c r="Z2" s="92" t="s">
        <v>155</v>
      </c>
      <c r="AA2" s="91" t="s">
        <v>158</v>
      </c>
      <c r="AC2" s="92" t="s">
        <v>112</v>
      </c>
      <c r="AD2" s="88" t="s">
        <v>115</v>
      </c>
      <c r="AE2" s="88"/>
      <c r="AF2" s="88"/>
      <c r="AG2" s="88"/>
      <c r="AH2" s="92" t="s">
        <v>128</v>
      </c>
      <c r="AI2" s="91" t="s">
        <v>22</v>
      </c>
      <c r="AJ2" s="89" t="s">
        <v>133</v>
      </c>
      <c r="AK2" s="89"/>
      <c r="AL2" s="89"/>
      <c r="AM2" s="89"/>
      <c r="AN2" s="88" t="s">
        <v>437</v>
      </c>
      <c r="AO2" s="88"/>
      <c r="AP2" s="89" t="s">
        <v>143</v>
      </c>
      <c r="AQ2" s="89"/>
      <c r="AR2" s="89"/>
      <c r="AS2" s="89"/>
      <c r="AT2" s="91" t="s">
        <v>155</v>
      </c>
      <c r="AU2" s="92" t="s">
        <v>158</v>
      </c>
      <c r="AW2" s="91" t="s">
        <v>195</v>
      </c>
      <c r="AX2" s="92" t="s">
        <v>195</v>
      </c>
      <c r="AZ2" s="88" t="s">
        <v>473</v>
      </c>
      <c r="BA2" s="88"/>
      <c r="BB2" s="89" t="s">
        <v>200</v>
      </c>
      <c r="BC2" s="89"/>
      <c r="BD2" s="89"/>
      <c r="BE2" s="89"/>
      <c r="BG2" s="88" t="s">
        <v>482</v>
      </c>
      <c r="BH2" s="88"/>
      <c r="BI2" s="89" t="s">
        <v>209</v>
      </c>
      <c r="BJ2" s="89"/>
      <c r="BK2" s="89"/>
      <c r="BL2" s="89"/>
    </row>
    <row r="3" spans="1:64" ht="27" x14ac:dyDescent="0.15">
      <c r="A3" s="92"/>
      <c r="B3" s="91"/>
      <c r="C3" s="92"/>
      <c r="D3" s="91"/>
      <c r="E3" s="92"/>
      <c r="F3" s="91"/>
      <c r="G3" s="92"/>
      <c r="I3" s="91"/>
      <c r="J3" s="12" t="s">
        <v>116</v>
      </c>
      <c r="K3" s="12" t="s">
        <v>119</v>
      </c>
      <c r="L3" s="12" t="s">
        <v>122</v>
      </c>
      <c r="M3" s="12" t="s">
        <v>125</v>
      </c>
      <c r="N3" s="91"/>
      <c r="O3" s="92"/>
      <c r="P3" s="13" t="s">
        <v>116</v>
      </c>
      <c r="Q3" s="13" t="s">
        <v>119</v>
      </c>
      <c r="R3" s="13" t="s">
        <v>138</v>
      </c>
      <c r="S3" s="13" t="s">
        <v>125</v>
      </c>
      <c r="T3" s="12" t="s">
        <v>438</v>
      </c>
      <c r="U3" s="12" t="s">
        <v>441</v>
      </c>
      <c r="V3" s="13" t="s">
        <v>144</v>
      </c>
      <c r="W3" s="13" t="s">
        <v>147</v>
      </c>
      <c r="X3" s="13" t="s">
        <v>150</v>
      </c>
      <c r="Y3" s="13" t="s">
        <v>125</v>
      </c>
      <c r="Z3" s="92"/>
      <c r="AA3" s="91"/>
      <c r="AC3" s="92"/>
      <c r="AD3" s="13" t="s">
        <v>116</v>
      </c>
      <c r="AE3" s="13" t="s">
        <v>119</v>
      </c>
      <c r="AF3" s="13" t="s">
        <v>122</v>
      </c>
      <c r="AG3" s="13" t="s">
        <v>125</v>
      </c>
      <c r="AH3" s="92"/>
      <c r="AI3" s="91"/>
      <c r="AJ3" s="12" t="s">
        <v>116</v>
      </c>
      <c r="AK3" s="12" t="s">
        <v>119</v>
      </c>
      <c r="AL3" s="12" t="s">
        <v>138</v>
      </c>
      <c r="AM3" s="12" t="s">
        <v>125</v>
      </c>
      <c r="AN3" s="13" t="s">
        <v>438</v>
      </c>
      <c r="AO3" s="13" t="s">
        <v>441</v>
      </c>
      <c r="AP3" s="12" t="s">
        <v>144</v>
      </c>
      <c r="AQ3" s="12" t="s">
        <v>147</v>
      </c>
      <c r="AR3" s="12" t="s">
        <v>150</v>
      </c>
      <c r="AS3" s="12" t="s">
        <v>125</v>
      </c>
      <c r="AT3" s="91"/>
      <c r="AU3" s="92"/>
      <c r="AW3" s="91"/>
      <c r="AX3" s="92"/>
      <c r="AZ3" s="13" t="s">
        <v>438</v>
      </c>
      <c r="BA3" s="13" t="s">
        <v>441</v>
      </c>
      <c r="BB3" s="12" t="s">
        <v>144</v>
      </c>
      <c r="BC3" s="12" t="s">
        <v>147</v>
      </c>
      <c r="BD3" s="12" t="s">
        <v>150</v>
      </c>
      <c r="BE3" s="12" t="s">
        <v>125</v>
      </c>
      <c r="BG3" s="13" t="s">
        <v>438</v>
      </c>
      <c r="BH3" s="13" t="s">
        <v>441</v>
      </c>
      <c r="BI3" s="12" t="s">
        <v>144</v>
      </c>
      <c r="BJ3" s="12" t="s">
        <v>147</v>
      </c>
      <c r="BK3" s="12" t="s">
        <v>150</v>
      </c>
      <c r="BL3" s="12" t="s">
        <v>125</v>
      </c>
    </row>
    <row r="4" spans="1:64" ht="91.5" hidden="1" x14ac:dyDescent="0.15">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439</v>
      </c>
      <c r="U4" s="14" t="s">
        <v>442</v>
      </c>
      <c r="V4" s="15" t="s">
        <v>145</v>
      </c>
      <c r="W4" s="15" t="s">
        <v>148</v>
      </c>
      <c r="X4" s="15" t="s">
        <v>151</v>
      </c>
      <c r="Y4" s="15" t="s">
        <v>153</v>
      </c>
      <c r="Z4" s="14" t="s">
        <v>156</v>
      </c>
      <c r="AA4" s="15" t="s">
        <v>159</v>
      </c>
      <c r="AC4" s="14" t="s">
        <v>161</v>
      </c>
      <c r="AD4" s="15" t="s">
        <v>163</v>
      </c>
      <c r="AE4" s="15" t="s">
        <v>165</v>
      </c>
      <c r="AF4" s="15" t="s">
        <v>167</v>
      </c>
      <c r="AG4" s="15" t="s">
        <v>169</v>
      </c>
      <c r="AH4" s="14" t="s">
        <v>171</v>
      </c>
      <c r="AI4" s="15" t="s">
        <v>173</v>
      </c>
      <c r="AJ4" s="14" t="s">
        <v>175</v>
      </c>
      <c r="AK4" s="14" t="s">
        <v>177</v>
      </c>
      <c r="AL4" s="14" t="s">
        <v>179</v>
      </c>
      <c r="AM4" s="14" t="s">
        <v>181</v>
      </c>
      <c r="AN4" s="15" t="s">
        <v>461</v>
      </c>
      <c r="AO4" s="15" t="s">
        <v>463</v>
      </c>
      <c r="AP4" s="14" t="s">
        <v>183</v>
      </c>
      <c r="AQ4" s="14" t="s">
        <v>185</v>
      </c>
      <c r="AR4" s="14" t="s">
        <v>187</v>
      </c>
      <c r="AS4" s="14" t="s">
        <v>189</v>
      </c>
      <c r="AT4" s="15" t="s">
        <v>191</v>
      </c>
      <c r="AU4" s="14" t="s">
        <v>193</v>
      </c>
      <c r="AW4" s="15" t="s">
        <v>196</v>
      </c>
      <c r="AX4" s="14" t="s">
        <v>198</v>
      </c>
      <c r="AZ4" s="15" t="s">
        <v>474</v>
      </c>
      <c r="BA4" s="15" t="s">
        <v>476</v>
      </c>
      <c r="BB4" s="14" t="s">
        <v>201</v>
      </c>
      <c r="BC4" s="14" t="s">
        <v>203</v>
      </c>
      <c r="BD4" s="14" t="s">
        <v>205</v>
      </c>
      <c r="BE4" s="14" t="s">
        <v>207</v>
      </c>
      <c r="BG4" s="15" t="s">
        <v>483</v>
      </c>
      <c r="BH4" s="15" t="s">
        <v>485</v>
      </c>
      <c r="BI4" s="14" t="s">
        <v>210</v>
      </c>
      <c r="BJ4" s="14" t="s">
        <v>212</v>
      </c>
      <c r="BK4" s="14" t="s">
        <v>214</v>
      </c>
      <c r="BL4" s="14" t="s">
        <v>216</v>
      </c>
    </row>
    <row r="5" spans="1:64" collapsed="1" x14ac:dyDescent="0.15">
      <c r="A5" s="16" t="s">
        <v>224</v>
      </c>
      <c r="B5" s="16" t="s">
        <v>223</v>
      </c>
      <c r="C5" s="17" t="s">
        <v>225</v>
      </c>
      <c r="D5" s="16">
        <v>2925514</v>
      </c>
      <c r="E5" s="18">
        <v>11</v>
      </c>
      <c r="F5" s="17">
        <v>1</v>
      </c>
      <c r="G5" s="17"/>
      <c r="I5" s="19" t="str">
        <f t="shared" ref="I5:I68" si="0">IF(OR(ISBLANK(P5),ISBLANK(G5)),"·",P5*G5/F5/1000000)</f>
        <v>·</v>
      </c>
      <c r="J5" s="20">
        <f t="shared" ref="J5:J68" si="1">IF(ISBLANK(P5),"·",P5/D5)</f>
        <v>6.7024119522244635E-3</v>
      </c>
      <c r="K5" s="20">
        <f t="shared" ref="K5:K68" si="2">IF(Q5="","·",Q5/D5)</f>
        <v>6.0734626462221677E-3</v>
      </c>
      <c r="L5" s="20">
        <f t="shared" ref="L5:L68" si="3">IF(ISBLANK(R5),"·",R5/D5)</f>
        <v>4.5393732520165685E-4</v>
      </c>
      <c r="M5" s="21"/>
      <c r="N5" s="20">
        <f t="shared" ref="N5:N68" si="4">IF(ISBLANK(P5),"·",P5/O5)</f>
        <v>1.4844424256188962</v>
      </c>
      <c r="O5" s="22">
        <v>13209</v>
      </c>
      <c r="P5" s="23">
        <v>19608</v>
      </c>
      <c r="Q5" s="23">
        <v>17768</v>
      </c>
      <c r="R5" s="23">
        <v>1328</v>
      </c>
      <c r="S5" s="24"/>
      <c r="T5" s="25">
        <v>52.879600000000003</v>
      </c>
      <c r="U5" s="25">
        <v>55.088700000000003</v>
      </c>
      <c r="V5" s="25">
        <v>23.110900000000001</v>
      </c>
      <c r="W5" s="25">
        <v>36.8996</v>
      </c>
      <c r="X5" s="25">
        <v>37.526899999999998</v>
      </c>
      <c r="Y5" s="26"/>
      <c r="Z5" s="27"/>
      <c r="AA5" s="27"/>
      <c r="AC5" s="19" t="str">
        <f t="shared" ref="AC5:AC68" si="5">IF(OR(ISBLANK(AJ5),ISBLANK(G5)),"·",AJ5*G5/F5/1000000)</f>
        <v>·</v>
      </c>
      <c r="AD5" s="20">
        <f t="shared" ref="AD5:AD68" si="6">IF(ISBLANK(AJ5),"·",AJ5/D5)</f>
        <v>6.505523473823745E-3</v>
      </c>
      <c r="AE5" s="20">
        <f t="shared" ref="AE5:AE68" si="7">IF(AK5="","·",AK5/D5)</f>
        <v>6.0734626462221677E-3</v>
      </c>
      <c r="AF5" s="20">
        <f t="shared" ref="AF5:AF68" si="8">IF(ISBLANK(AL5),"·",AL5/D5)</f>
        <v>2.5978340900094821E-4</v>
      </c>
      <c r="AG5" s="21"/>
      <c r="AH5" s="20">
        <f t="shared" ref="AH5:AH68" si="9">IF(ISBLANK(AJ5),"·",AJ5/AI5)</f>
        <v>1.4408357937769702</v>
      </c>
      <c r="AI5" s="22">
        <v>13209</v>
      </c>
      <c r="AJ5" s="23">
        <v>19032</v>
      </c>
      <c r="AK5" s="23">
        <v>17768</v>
      </c>
      <c r="AL5" s="23">
        <v>760</v>
      </c>
      <c r="AM5" s="24"/>
      <c r="AN5" s="25">
        <v>52.879600000000003</v>
      </c>
      <c r="AO5" s="25">
        <v>55.088700000000003</v>
      </c>
      <c r="AP5" s="25">
        <v>21.4695</v>
      </c>
      <c r="AQ5" s="25">
        <v>35.818800000000003</v>
      </c>
      <c r="AR5" s="25">
        <v>37.457999999999998</v>
      </c>
      <c r="AS5" s="26"/>
      <c r="AT5" s="27"/>
      <c r="AU5" s="27"/>
      <c r="AW5" s="28">
        <f t="shared" ref="AW5:AW68" si="10">(AK5/AJ5) - (Q5/P5)</f>
        <v>2.7424789428922902E-2</v>
      </c>
      <c r="AX5" s="28">
        <f t="array" ref="AX5">AVERAGE(AK5:AK10/AJ5:AJ10) - AVERAGE(Q5:Q10/P5:P10)</f>
        <v>5.6330631102650686E-2</v>
      </c>
      <c r="AZ5" s="29">
        <f>IF( OR(ISBLANK(Q5:Q10),ISBLANK(AK5:AK10), ISBLANK(T5:T10),ISBLANK(AN5:AN10)), "·", bdRateExtend( Q5:Q10,T5:T10, AK5:AK10,AN5:AN10))</f>
        <v>0</v>
      </c>
      <c r="BA5" s="29">
        <f>IF( OR(ISBLANK(Q5:Q10),ISBLANK(AK5:AK10), ISBLANK(U5:U10),ISBLANK(AO5:AO10)), "·", bdRateExtend( Q5:Q10,U5:U10, AK5:AK10,AO5:AO10))</f>
        <v>0</v>
      </c>
      <c r="BB5" s="29">
        <f>IF( OR(ISBLANK(R5:R10),ISBLANK(AL5:AL10), ISBLANK(V5:V10),ISBLANK(AP5:AP10)), "·", bdRateExtend( R5:R10,V5:V10, AL5:AL10,AP5:AP10))</f>
        <v>-2.7205190904645127E-2</v>
      </c>
      <c r="BC5" s="29">
        <f>IF( OR(ISBLANK(R5:R10),ISBLANK(AL5:AL10), ISBLANK(W5:W10),ISBLANK(AQ5:AQ10)), "·", bdRateExtend( R5:R10,W5:W10, AL5:AL10,AQ5:AQ10))</f>
        <v>0.35353075160725522</v>
      </c>
      <c r="BD5" s="29">
        <f>IF( OR(ISBLANK(R5:R10),ISBLANK(AL5:AL10), ISBLANK(X5:X10),ISBLANK(AR5:AR10)), "·", bdRateExtend( R5:R10,X5:X10, AL5:AL10,AR5:AR10))</f>
        <v>0.40331236767908019</v>
      </c>
      <c r="BE5" s="30"/>
      <c r="BG5" s="29">
        <f>IF( OR(ISBLANK(P5:P10),ISBLANK(AJ5:AJ10), ISBLANK(T5:T10),ISBLANK(AN5:AN10)), "·", bdRateExtend( P5:P10,T5:T10, AJ5:AJ10,AN5:AN10))</f>
        <v>-5.5514304139207216E-2</v>
      </c>
      <c r="BH5" s="29">
        <f>IF( OR(ISBLANK(P5:P10),ISBLANK(AJ5:AJ10), ISBLANK(U5:U10),ISBLANK(AO5:AO10)), "·", bdRateExtend( P5:P10,U5:U10, AJ5:AJ10,AO5:AO10))</f>
        <v>-5.3971479700540392E-2</v>
      </c>
      <c r="BI5" s="29">
        <f>IF( OR(ISBLANK(P5:P10),ISBLANK(AJ5:AJ10), ISBLANK(V5:V10),ISBLANK(AP5:AP10)), "·", bdRateExtend( P5:P10,V5:V10, AJ5:AJ10,AP5:AP10))</f>
        <v>0.2661045237080859</v>
      </c>
      <c r="BJ5" s="29">
        <f>IF( OR(ISBLANK(P5:P10),ISBLANK(AJ5:AJ10), ISBLANK(W5:W10),ISBLANK(AQ5:AQ10)), "·", bdRateExtend( P5:P10,W5:W10, AJ5:AJ10,AQ5:AQ10))</f>
        <v>0.62612913305358231</v>
      </c>
      <c r="BK5" s="29">
        <f>IF( OR(ISBLANK(P5:P10),ISBLANK(AJ5:AJ10), ISBLANK(X5:X10),ISBLANK(AR5:AR10)), "·", bdRateExtend( P5:P10,X5:X10, AJ5:AJ10,AR5:AR10))</f>
        <v>0.68505545771326637</v>
      </c>
      <c r="BL5" s="30"/>
    </row>
    <row r="6" spans="1:64" outlineLevel="1" x14ac:dyDescent="0.15">
      <c r="A6" s="31"/>
      <c r="B6" s="31" t="s">
        <v>223</v>
      </c>
      <c r="C6" s="32" t="s">
        <v>226</v>
      </c>
      <c r="D6" s="31">
        <v>2925514</v>
      </c>
      <c r="E6" s="33">
        <v>11</v>
      </c>
      <c r="F6" s="32">
        <v>1</v>
      </c>
      <c r="G6" s="32"/>
      <c r="I6" s="34" t="str">
        <f t="shared" si="0"/>
        <v>·</v>
      </c>
      <c r="J6" s="35">
        <f t="shared" si="1"/>
        <v>2.201049114788034E-2</v>
      </c>
      <c r="K6" s="35">
        <f t="shared" si="2"/>
        <v>1.9683378715671843E-2</v>
      </c>
      <c r="L6" s="35">
        <f t="shared" si="3"/>
        <v>2.1493658892078452E-3</v>
      </c>
      <c r="M6" s="36"/>
      <c r="N6" s="35">
        <f t="shared" si="4"/>
        <v>1.2272623313257605</v>
      </c>
      <c r="O6" s="37">
        <v>52468</v>
      </c>
      <c r="P6" s="38">
        <v>64392</v>
      </c>
      <c r="Q6" s="38">
        <v>57584</v>
      </c>
      <c r="R6" s="38">
        <v>6288</v>
      </c>
      <c r="S6" s="39"/>
      <c r="T6" s="40">
        <v>58.814100000000003</v>
      </c>
      <c r="U6" s="40">
        <v>61.529299999999999</v>
      </c>
      <c r="V6" s="40">
        <v>26.970300000000002</v>
      </c>
      <c r="W6" s="40">
        <v>39.754800000000003</v>
      </c>
      <c r="X6" s="40">
        <v>41.589300000000001</v>
      </c>
      <c r="Y6" s="41"/>
      <c r="Z6" s="42"/>
      <c r="AA6" s="42"/>
      <c r="AC6" s="34" t="str">
        <f t="shared" si="5"/>
        <v>·</v>
      </c>
      <c r="AD6" s="35">
        <f t="shared" si="6"/>
        <v>2.1203795298877393E-2</v>
      </c>
      <c r="AE6" s="35">
        <f t="shared" si="7"/>
        <v>1.9683378715671843E-2</v>
      </c>
      <c r="AF6" s="35">
        <f t="shared" si="8"/>
        <v>1.3454046024049108E-3</v>
      </c>
      <c r="AG6" s="36"/>
      <c r="AH6" s="35">
        <f t="shared" si="9"/>
        <v>1.1822825341160326</v>
      </c>
      <c r="AI6" s="37">
        <v>52468</v>
      </c>
      <c r="AJ6" s="38">
        <v>62032</v>
      </c>
      <c r="AK6" s="38">
        <v>57584</v>
      </c>
      <c r="AL6" s="38">
        <v>3936</v>
      </c>
      <c r="AM6" s="39"/>
      <c r="AN6" s="40">
        <v>58.814100000000003</v>
      </c>
      <c r="AO6" s="40">
        <v>61.529299999999999</v>
      </c>
      <c r="AP6" s="40">
        <v>25.674199999999999</v>
      </c>
      <c r="AQ6" s="40">
        <v>38.500799999999998</v>
      </c>
      <c r="AR6" s="40">
        <v>39.640900000000002</v>
      </c>
      <c r="AS6" s="41"/>
      <c r="AT6" s="42"/>
      <c r="AU6" s="42"/>
      <c r="AW6" s="43">
        <f t="shared" si="10"/>
        <v>3.4022493065670512E-2</v>
      </c>
      <c r="AX6" s="43"/>
      <c r="AZ6" s="44"/>
      <c r="BA6" s="44"/>
      <c r="BB6" s="44"/>
      <c r="BC6" s="44"/>
      <c r="BD6" s="44"/>
      <c r="BE6" s="45"/>
      <c r="BG6" s="44"/>
      <c r="BH6" s="44"/>
      <c r="BI6" s="44"/>
      <c r="BJ6" s="44"/>
      <c r="BK6" s="44"/>
      <c r="BL6" s="45"/>
    </row>
    <row r="7" spans="1:64" outlineLevel="1" x14ac:dyDescent="0.15">
      <c r="A7" s="16"/>
      <c r="B7" s="16" t="s">
        <v>223</v>
      </c>
      <c r="C7" s="17" t="s">
        <v>227</v>
      </c>
      <c r="D7" s="16">
        <v>2925514</v>
      </c>
      <c r="E7" s="18">
        <v>11</v>
      </c>
      <c r="F7" s="17">
        <v>1</v>
      </c>
      <c r="G7" s="17"/>
      <c r="I7" s="19" t="str">
        <f t="shared" si="0"/>
        <v>·</v>
      </c>
      <c r="J7" s="20">
        <f t="shared" si="1"/>
        <v>7.8364348965686031E-2</v>
      </c>
      <c r="K7" s="20">
        <f t="shared" si="2"/>
        <v>6.6263911230641862E-2</v>
      </c>
      <c r="L7" s="20">
        <f t="shared" si="3"/>
        <v>1.1922691192043517E-2</v>
      </c>
      <c r="M7" s="21"/>
      <c r="N7" s="20">
        <f t="shared" si="4"/>
        <v>1.109059948140408</v>
      </c>
      <c r="O7" s="22">
        <v>206712</v>
      </c>
      <c r="P7" s="23">
        <v>229256</v>
      </c>
      <c r="Q7" s="23">
        <v>193856</v>
      </c>
      <c r="R7" s="23">
        <v>34880</v>
      </c>
      <c r="S7" s="24"/>
      <c r="T7" s="25">
        <v>64.459400000000002</v>
      </c>
      <c r="U7" s="25">
        <v>68.141099999999994</v>
      </c>
      <c r="V7" s="25">
        <v>31.6066</v>
      </c>
      <c r="W7" s="25">
        <v>42.064799999999998</v>
      </c>
      <c r="X7" s="25">
        <v>45.023899999999998</v>
      </c>
      <c r="Y7" s="26"/>
      <c r="Z7" s="27"/>
      <c r="AA7" s="27"/>
      <c r="AC7" s="19" t="str">
        <f t="shared" si="5"/>
        <v>·</v>
      </c>
      <c r="AD7" s="20">
        <f t="shared" si="6"/>
        <v>7.4473066955071832E-2</v>
      </c>
      <c r="AE7" s="20">
        <f t="shared" si="7"/>
        <v>6.6263911230641862E-2</v>
      </c>
      <c r="AF7" s="20">
        <f t="shared" si="8"/>
        <v>8.0341437436293253E-3</v>
      </c>
      <c r="AG7" s="21"/>
      <c r="AH7" s="20">
        <f t="shared" si="9"/>
        <v>1.0539881574364334</v>
      </c>
      <c r="AI7" s="22">
        <v>206712</v>
      </c>
      <c r="AJ7" s="23">
        <v>217872</v>
      </c>
      <c r="AK7" s="23">
        <v>193856</v>
      </c>
      <c r="AL7" s="23">
        <v>23504</v>
      </c>
      <c r="AM7" s="24"/>
      <c r="AN7" s="25">
        <v>64.459400000000002</v>
      </c>
      <c r="AO7" s="25">
        <v>68.141099999999994</v>
      </c>
      <c r="AP7" s="25">
        <v>30.468900000000001</v>
      </c>
      <c r="AQ7" s="25">
        <v>41.064</v>
      </c>
      <c r="AR7" s="25">
        <v>43.417299999999997</v>
      </c>
      <c r="AS7" s="26"/>
      <c r="AT7" s="27"/>
      <c r="AU7" s="27"/>
      <c r="AW7" s="28">
        <f t="shared" si="10"/>
        <v>4.4182674725138482E-2</v>
      </c>
      <c r="AX7" s="28"/>
      <c r="AZ7" s="29"/>
      <c r="BA7" s="29"/>
      <c r="BB7" s="29"/>
      <c r="BC7" s="29"/>
      <c r="BD7" s="29"/>
      <c r="BE7" s="30"/>
      <c r="BG7" s="29"/>
      <c r="BH7" s="29"/>
      <c r="BI7" s="29"/>
      <c r="BJ7" s="29"/>
      <c r="BK7" s="29"/>
      <c r="BL7" s="30"/>
    </row>
    <row r="8" spans="1:64" outlineLevel="1" x14ac:dyDescent="0.15">
      <c r="A8" s="31"/>
      <c r="B8" s="31" t="s">
        <v>223</v>
      </c>
      <c r="C8" s="32" t="s">
        <v>228</v>
      </c>
      <c r="D8" s="31">
        <v>2925514</v>
      </c>
      <c r="E8" s="33">
        <v>11</v>
      </c>
      <c r="F8" s="32">
        <v>1</v>
      </c>
      <c r="G8" s="32"/>
      <c r="I8" s="34" t="str">
        <f t="shared" si="0"/>
        <v>·</v>
      </c>
      <c r="J8" s="35">
        <f t="shared" si="1"/>
        <v>0.29275129088426854</v>
      </c>
      <c r="K8" s="35">
        <f t="shared" si="2"/>
        <v>0.2332581556608514</v>
      </c>
      <c r="L8" s="35">
        <f t="shared" si="3"/>
        <v>5.9312654118216492E-2</v>
      </c>
      <c r="M8" s="36"/>
      <c r="N8" s="35">
        <f t="shared" si="4"/>
        <v>1.07567213180641</v>
      </c>
      <c r="O8" s="37">
        <v>796198</v>
      </c>
      <c r="P8" s="38">
        <v>856448</v>
      </c>
      <c r="Q8" s="38">
        <v>682400</v>
      </c>
      <c r="R8" s="38">
        <v>173520</v>
      </c>
      <c r="S8" s="39"/>
      <c r="T8" s="40">
        <v>69.234300000000005</v>
      </c>
      <c r="U8" s="40">
        <v>74.3506</v>
      </c>
      <c r="V8" s="40">
        <v>36.599400000000003</v>
      </c>
      <c r="W8" s="40">
        <v>43.81</v>
      </c>
      <c r="X8" s="40">
        <v>48.075200000000002</v>
      </c>
      <c r="Y8" s="41"/>
      <c r="Z8" s="42"/>
      <c r="AA8" s="42"/>
      <c r="AC8" s="34" t="str">
        <f t="shared" si="5"/>
        <v>·</v>
      </c>
      <c r="AD8" s="35">
        <f t="shared" si="6"/>
        <v>0.27319096746759713</v>
      </c>
      <c r="AE8" s="35">
        <f t="shared" si="7"/>
        <v>0.2332581556608514</v>
      </c>
      <c r="AF8" s="35">
        <f t="shared" si="8"/>
        <v>3.9755065263745108E-2</v>
      </c>
      <c r="AG8" s="36"/>
      <c r="AH8" s="35">
        <f t="shared" si="9"/>
        <v>1.0038005621717212</v>
      </c>
      <c r="AI8" s="37">
        <v>796198</v>
      </c>
      <c r="AJ8" s="38">
        <v>799224</v>
      </c>
      <c r="AK8" s="38">
        <v>682400</v>
      </c>
      <c r="AL8" s="38">
        <v>116304</v>
      </c>
      <c r="AM8" s="39"/>
      <c r="AN8" s="40">
        <v>69.234300000000005</v>
      </c>
      <c r="AO8" s="40">
        <v>74.3506</v>
      </c>
      <c r="AP8" s="40">
        <v>35.5976</v>
      </c>
      <c r="AQ8" s="40">
        <v>42.9711</v>
      </c>
      <c r="AR8" s="40">
        <v>46.668199999999999</v>
      </c>
      <c r="AS8" s="41"/>
      <c r="AT8" s="42"/>
      <c r="AU8" s="42"/>
      <c r="AW8" s="43">
        <f t="shared" si="10"/>
        <v>5.7048957650331578E-2</v>
      </c>
      <c r="AX8" s="43"/>
      <c r="AZ8" s="44"/>
      <c r="BA8" s="44"/>
      <c r="BB8" s="44"/>
      <c r="BC8" s="44"/>
      <c r="BD8" s="44"/>
      <c r="BE8" s="45"/>
      <c r="BG8" s="44"/>
      <c r="BH8" s="44"/>
      <c r="BI8" s="44"/>
      <c r="BJ8" s="44"/>
      <c r="BK8" s="44"/>
      <c r="BL8" s="45"/>
    </row>
    <row r="9" spans="1:64" outlineLevel="1" x14ac:dyDescent="0.15">
      <c r="A9" s="16"/>
      <c r="B9" s="16" t="s">
        <v>223</v>
      </c>
      <c r="C9" s="17" t="s">
        <v>229</v>
      </c>
      <c r="D9" s="16">
        <v>2925514</v>
      </c>
      <c r="E9" s="18">
        <v>11</v>
      </c>
      <c r="F9" s="17">
        <v>1</v>
      </c>
      <c r="G9" s="17"/>
      <c r="I9" s="19" t="str">
        <f t="shared" si="0"/>
        <v>·</v>
      </c>
      <c r="J9" s="20">
        <f t="shared" si="1"/>
        <v>0.77994636156244679</v>
      </c>
      <c r="K9" s="20">
        <f t="shared" si="2"/>
        <v>0.57158639473268624</v>
      </c>
      <c r="L9" s="20">
        <f t="shared" si="3"/>
        <v>0.20814940554035974</v>
      </c>
      <c r="M9" s="21"/>
      <c r="N9" s="20">
        <f t="shared" si="4"/>
        <v>1.3282231944732266</v>
      </c>
      <c r="O9" s="22">
        <v>1717892</v>
      </c>
      <c r="P9" s="23">
        <v>2281744</v>
      </c>
      <c r="Q9" s="23">
        <v>1672184</v>
      </c>
      <c r="R9" s="23">
        <v>608944</v>
      </c>
      <c r="S9" s="24"/>
      <c r="T9" s="25">
        <v>74.001800000000003</v>
      </c>
      <c r="U9" s="25">
        <v>79.191000000000003</v>
      </c>
      <c r="V9" s="25">
        <v>39.5886</v>
      </c>
      <c r="W9" s="25">
        <v>45.4619</v>
      </c>
      <c r="X9" s="25">
        <v>49.9373</v>
      </c>
      <c r="Y9" s="26"/>
      <c r="Z9" s="27"/>
      <c r="AA9" s="27"/>
      <c r="AC9" s="19" t="str">
        <f t="shared" si="5"/>
        <v>·</v>
      </c>
      <c r="AD9" s="20">
        <f t="shared" si="6"/>
        <v>0.70853326970918618</v>
      </c>
      <c r="AE9" s="20">
        <f t="shared" si="7"/>
        <v>0.57158639473268624</v>
      </c>
      <c r="AF9" s="20">
        <f t="shared" si="8"/>
        <v>0.13673904824929911</v>
      </c>
      <c r="AG9" s="21"/>
      <c r="AH9" s="20">
        <f t="shared" si="9"/>
        <v>1.2066090301369352</v>
      </c>
      <c r="AI9" s="22">
        <v>1717892</v>
      </c>
      <c r="AJ9" s="23">
        <v>2072824</v>
      </c>
      <c r="AK9" s="23">
        <v>1672184</v>
      </c>
      <c r="AL9" s="23">
        <v>400032</v>
      </c>
      <c r="AM9" s="24"/>
      <c r="AN9" s="25">
        <v>74.001800000000003</v>
      </c>
      <c r="AO9" s="25">
        <v>79.191000000000003</v>
      </c>
      <c r="AP9" s="25">
        <v>38.877600000000001</v>
      </c>
      <c r="AQ9" s="25">
        <v>44.562800000000003</v>
      </c>
      <c r="AR9" s="25">
        <v>48.784500000000001</v>
      </c>
      <c r="AS9" s="26"/>
      <c r="AT9" s="27"/>
      <c r="AU9" s="27"/>
      <c r="AW9" s="28">
        <f t="shared" si="10"/>
        <v>7.3864325294948241E-2</v>
      </c>
      <c r="AX9" s="28"/>
      <c r="AZ9" s="29"/>
      <c r="BA9" s="29"/>
      <c r="BB9" s="29"/>
      <c r="BC9" s="29"/>
      <c r="BD9" s="29"/>
      <c r="BE9" s="30"/>
      <c r="BG9" s="29"/>
      <c r="BH9" s="29"/>
      <c r="BI9" s="29"/>
      <c r="BJ9" s="29"/>
      <c r="BK9" s="29"/>
      <c r="BL9" s="30"/>
    </row>
    <row r="10" spans="1:64" outlineLevel="1" x14ac:dyDescent="0.15">
      <c r="A10" s="31"/>
      <c r="B10" s="46" t="s">
        <v>223</v>
      </c>
      <c r="C10" s="47" t="s">
        <v>230</v>
      </c>
      <c r="D10" s="46">
        <v>2925514</v>
      </c>
      <c r="E10" s="48">
        <v>11</v>
      </c>
      <c r="F10" s="47">
        <v>1</v>
      </c>
      <c r="G10" s="47"/>
      <c r="I10" s="49" t="str">
        <f t="shared" si="0"/>
        <v>·</v>
      </c>
      <c r="J10" s="50">
        <f t="shared" si="1"/>
        <v>1.2889878496565048</v>
      </c>
      <c r="K10" s="50">
        <f t="shared" si="2"/>
        <v>0.74458026862971771</v>
      </c>
      <c r="L10" s="50">
        <f t="shared" si="3"/>
        <v>0.54414232849338617</v>
      </c>
      <c r="M10" s="51"/>
      <c r="N10" s="50">
        <f t="shared" si="4"/>
        <v>1.646905298464441</v>
      </c>
      <c r="O10" s="52">
        <v>2289720</v>
      </c>
      <c r="P10" s="53">
        <v>3770952</v>
      </c>
      <c r="Q10" s="53">
        <v>2178280</v>
      </c>
      <c r="R10" s="53">
        <v>1591896</v>
      </c>
      <c r="S10" s="54"/>
      <c r="T10" s="55">
        <v>75.715999999999994</v>
      </c>
      <c r="U10" s="55">
        <v>80.646100000000004</v>
      </c>
      <c r="V10" s="55">
        <v>41.932600000000001</v>
      </c>
      <c r="W10" s="55">
        <v>46.972499999999997</v>
      </c>
      <c r="X10" s="55">
        <v>51.202399999999997</v>
      </c>
      <c r="Y10" s="56"/>
      <c r="Z10" s="57"/>
      <c r="AA10" s="57"/>
      <c r="AC10" s="49" t="str">
        <f t="shared" si="5"/>
        <v>·</v>
      </c>
      <c r="AD10" s="50">
        <f t="shared" si="6"/>
        <v>1.096441856029402</v>
      </c>
      <c r="AE10" s="50">
        <f t="shared" si="7"/>
        <v>0.74458026862971771</v>
      </c>
      <c r="AF10" s="50">
        <f t="shared" si="8"/>
        <v>0.35159906942848335</v>
      </c>
      <c r="AG10" s="51"/>
      <c r="AH10" s="50">
        <f t="shared" si="9"/>
        <v>1.4008944325070314</v>
      </c>
      <c r="AI10" s="52">
        <v>2289720</v>
      </c>
      <c r="AJ10" s="53">
        <v>3207656</v>
      </c>
      <c r="AK10" s="53">
        <v>2178280</v>
      </c>
      <c r="AL10" s="53">
        <v>1028608</v>
      </c>
      <c r="AM10" s="54"/>
      <c r="AN10" s="55">
        <v>75.715999999999994</v>
      </c>
      <c r="AO10" s="55">
        <v>80.646100000000004</v>
      </c>
      <c r="AP10" s="55">
        <v>41.258699999999997</v>
      </c>
      <c r="AQ10" s="55">
        <v>46.020200000000003</v>
      </c>
      <c r="AR10" s="55">
        <v>50.187100000000001</v>
      </c>
      <c r="AS10" s="56"/>
      <c r="AT10" s="57"/>
      <c r="AU10" s="57"/>
      <c r="AW10" s="58">
        <f t="shared" si="10"/>
        <v>0.10144054645089307</v>
      </c>
      <c r="AX10" s="58"/>
      <c r="AZ10" s="59"/>
      <c r="BA10" s="59"/>
      <c r="BB10" s="59"/>
      <c r="BC10" s="59"/>
      <c r="BD10" s="59"/>
      <c r="BE10" s="60"/>
      <c r="BG10" s="59"/>
      <c r="BH10" s="59"/>
      <c r="BI10" s="59"/>
      <c r="BJ10" s="59"/>
      <c r="BK10" s="59"/>
      <c r="BL10" s="60"/>
    </row>
    <row r="11" spans="1:64" collapsed="1" x14ac:dyDescent="0.15">
      <c r="A11" s="16"/>
      <c r="B11" s="16" t="s">
        <v>233</v>
      </c>
      <c r="C11" s="17" t="s">
        <v>225</v>
      </c>
      <c r="D11" s="16">
        <v>3493085</v>
      </c>
      <c r="E11" s="18">
        <v>12</v>
      </c>
      <c r="F11" s="17">
        <v>1</v>
      </c>
      <c r="G11" s="17"/>
      <c r="I11" s="19" t="str">
        <f t="shared" si="0"/>
        <v>·</v>
      </c>
      <c r="J11" s="20">
        <f t="shared" si="1"/>
        <v>7.0035513020725235E-3</v>
      </c>
      <c r="K11" s="20">
        <f t="shared" si="2"/>
        <v>6.5752765821616137E-3</v>
      </c>
      <c r="L11" s="20">
        <f t="shared" si="3"/>
        <v>2.86279892988576E-4</v>
      </c>
      <c r="M11" s="21"/>
      <c r="N11" s="20">
        <f t="shared" si="4"/>
        <v>1.3203087052728155</v>
      </c>
      <c r="O11" s="22">
        <v>18529</v>
      </c>
      <c r="P11" s="23">
        <v>24464</v>
      </c>
      <c r="Q11" s="23">
        <v>22968</v>
      </c>
      <c r="R11" s="23">
        <v>1000</v>
      </c>
      <c r="S11" s="24"/>
      <c r="T11" s="25">
        <v>52.927199999999999</v>
      </c>
      <c r="U11" s="25">
        <v>54.8521</v>
      </c>
      <c r="V11" s="25">
        <v>25.593399999999999</v>
      </c>
      <c r="W11" s="25">
        <v>37.269500000000001</v>
      </c>
      <c r="X11" s="25">
        <v>37.089199999999998</v>
      </c>
      <c r="Y11" s="26"/>
      <c r="Z11" s="27"/>
      <c r="AA11" s="27"/>
      <c r="AC11" s="19" t="str">
        <f t="shared" si="5"/>
        <v>·</v>
      </c>
      <c r="AD11" s="20">
        <f t="shared" si="6"/>
        <v>6.8615564751501896E-3</v>
      </c>
      <c r="AE11" s="20">
        <f t="shared" si="7"/>
        <v>6.5752765821616137E-3</v>
      </c>
      <c r="AF11" s="20">
        <f t="shared" si="8"/>
        <v>1.4657530521015091E-4</v>
      </c>
      <c r="AG11" s="21"/>
      <c r="AH11" s="20">
        <f t="shared" si="9"/>
        <v>1.2935398564412544</v>
      </c>
      <c r="AI11" s="22">
        <v>18529</v>
      </c>
      <c r="AJ11" s="23">
        <v>23968</v>
      </c>
      <c r="AK11" s="23">
        <v>22968</v>
      </c>
      <c r="AL11" s="23">
        <v>512</v>
      </c>
      <c r="AM11" s="24"/>
      <c r="AN11" s="25">
        <v>52.927199999999999</v>
      </c>
      <c r="AO11" s="25">
        <v>54.8521</v>
      </c>
      <c r="AP11" s="25">
        <v>24.2638</v>
      </c>
      <c r="AQ11" s="25">
        <v>34.4925</v>
      </c>
      <c r="AR11" s="25">
        <v>33.753900000000002</v>
      </c>
      <c r="AS11" s="26"/>
      <c r="AT11" s="27"/>
      <c r="AU11" s="27"/>
      <c r="AW11" s="28">
        <f t="shared" si="10"/>
        <v>1.9428782741497064E-2</v>
      </c>
      <c r="AX11" s="28">
        <f t="array" ref="AX11">AVERAGE(AK11:AK16/AJ11:AJ16) - AVERAGE(Q11:Q16/P11:P16)</f>
        <v>4.3028393830439882E-2</v>
      </c>
      <c r="AZ11" s="29">
        <f>IF( OR(ISBLANK(Q11:Q16),ISBLANK(AK11:AK16), ISBLANK(T11:T16),ISBLANK(AN11:AN16)), "·", bdRateExtend( Q11:Q16,T11:T16, AK11:AK16,AN11:AN16))</f>
        <v>0</v>
      </c>
      <c r="BA11" s="29">
        <f>IF( OR(ISBLANK(Q11:Q16),ISBLANK(AK11:AK16), ISBLANK(U11:U16),ISBLANK(AO11:AO16)), "·", bdRateExtend( Q11:Q16,U11:U16, AK11:AK16,AO11:AO16))</f>
        <v>0</v>
      </c>
      <c r="BB11" s="29">
        <f>IF( OR(ISBLANK(R11:R16),ISBLANK(AL11:AL16), ISBLANK(V11:V16),ISBLANK(AP11:AP16)), "·", bdRateExtend( R11:R16,V11:V16, AL11:AL16,AP11:AP16))</f>
        <v>7.1793111627123984E-2</v>
      </c>
      <c r="BC11" s="29">
        <f>IF( OR(ISBLANK(R11:R16),ISBLANK(AL11:AL16), ISBLANK(W11:W16),ISBLANK(AQ11:AQ16)), "·", bdRateExtend( R11:R16,W11:W16, AL11:AL16,AQ11:AQ16))</f>
        <v>0.41186476670247063</v>
      </c>
      <c r="BD11" s="29">
        <f>IF( OR(ISBLANK(R11:R16),ISBLANK(AL11:AL16), ISBLANK(X11:X16),ISBLANK(AR11:AR16)), "·", bdRateExtend( R11:R16,X11:X16, AL11:AL16,AR11:AR16))</f>
        <v>0.48597592459886374</v>
      </c>
      <c r="BE11" s="30"/>
      <c r="BG11" s="29">
        <f>IF( OR(ISBLANK(P11:P16),ISBLANK(AJ11:AJ16), ISBLANK(T11:T16),ISBLANK(AN11:AN16)), "·", bdRateExtend( P11:P16,T11:T16, AJ11:AJ16,AN11:AN16))</f>
        <v>-4.7616752683192765E-2</v>
      </c>
      <c r="BH11" s="29">
        <f>IF( OR(ISBLANK(P11:P16),ISBLANK(AJ11:AJ16), ISBLANK(U11:U16),ISBLANK(AO11:AO16)), "·", bdRateExtend( P11:P16,U11:U16, AJ11:AJ16,AO11:AO16))</f>
        <v>-4.7755933948994134E-2</v>
      </c>
      <c r="BI11" s="29">
        <f>IF( OR(ISBLANK(P11:P16),ISBLANK(AJ11:AJ16), ISBLANK(V11:V16),ISBLANK(AP11:AP16)), "·", bdRateExtend( P11:P16,V11:V16, AJ11:AJ16,AP11:AP16))</f>
        <v>0.51189385074033167</v>
      </c>
      <c r="BJ11" s="29">
        <f>IF( OR(ISBLANK(P11:P16),ISBLANK(AJ11:AJ16), ISBLANK(W11:W16),ISBLANK(AQ11:AQ16)), "·", bdRateExtend( P11:P16,W11:W16, AJ11:AJ16,AQ11:AQ16))</f>
        <v>0.86342346915562973</v>
      </c>
      <c r="BK11" s="29">
        <f>IF( OR(ISBLANK(P11:P16),ISBLANK(AJ11:AJ16), ISBLANK(X11:X16),ISBLANK(AR11:AR16)), "·", bdRateExtend( P11:P16,X11:X16, AJ11:AJ16,AR11:AR16))</f>
        <v>0.93053261859170688</v>
      </c>
      <c r="BL11" s="30"/>
    </row>
    <row r="12" spans="1:64" outlineLevel="1" x14ac:dyDescent="0.15">
      <c r="A12" s="31"/>
      <c r="B12" s="31" t="s">
        <v>233</v>
      </c>
      <c r="C12" s="32" t="s">
        <v>226</v>
      </c>
      <c r="D12" s="31">
        <v>3493085</v>
      </c>
      <c r="E12" s="33">
        <v>12</v>
      </c>
      <c r="F12" s="32">
        <v>1</v>
      </c>
      <c r="G12" s="32"/>
      <c r="I12" s="34" t="str">
        <f t="shared" si="0"/>
        <v>·</v>
      </c>
      <c r="J12" s="35">
        <f t="shared" si="1"/>
        <v>2.3829938292369065E-2</v>
      </c>
      <c r="K12" s="35">
        <f t="shared" si="2"/>
        <v>2.2050422477552078E-2</v>
      </c>
      <c r="L12" s="35">
        <f t="shared" si="3"/>
        <v>1.6352307487507462E-3</v>
      </c>
      <c r="M12" s="36"/>
      <c r="N12" s="35">
        <f t="shared" si="4"/>
        <v>1.1430611628354068</v>
      </c>
      <c r="O12" s="37">
        <v>72822</v>
      </c>
      <c r="P12" s="38">
        <v>83240</v>
      </c>
      <c r="Q12" s="38">
        <v>77024</v>
      </c>
      <c r="R12" s="38">
        <v>5712</v>
      </c>
      <c r="S12" s="39"/>
      <c r="T12" s="40">
        <v>58.9011</v>
      </c>
      <c r="U12" s="40">
        <v>61.141399999999997</v>
      </c>
      <c r="V12" s="40">
        <v>29.1708</v>
      </c>
      <c r="W12" s="40">
        <v>41.519199999999998</v>
      </c>
      <c r="X12" s="40">
        <v>41.212699999999998</v>
      </c>
      <c r="Y12" s="41"/>
      <c r="Z12" s="42"/>
      <c r="AA12" s="42"/>
      <c r="AC12" s="34" t="str">
        <f t="shared" si="5"/>
        <v>·</v>
      </c>
      <c r="AD12" s="35">
        <f t="shared" si="6"/>
        <v>2.3078739853167041E-2</v>
      </c>
      <c r="AE12" s="35">
        <f t="shared" si="7"/>
        <v>2.2050422477552078E-2</v>
      </c>
      <c r="AF12" s="35">
        <f t="shared" si="8"/>
        <v>8.863225486926313E-4</v>
      </c>
      <c r="AG12" s="36"/>
      <c r="AH12" s="35">
        <f t="shared" si="9"/>
        <v>1.1070280959050836</v>
      </c>
      <c r="AI12" s="37">
        <v>72822</v>
      </c>
      <c r="AJ12" s="38">
        <v>80616</v>
      </c>
      <c r="AK12" s="38">
        <v>77024</v>
      </c>
      <c r="AL12" s="38">
        <v>3096</v>
      </c>
      <c r="AM12" s="39"/>
      <c r="AN12" s="40">
        <v>58.9011</v>
      </c>
      <c r="AO12" s="40">
        <v>61.141399999999997</v>
      </c>
      <c r="AP12" s="40">
        <v>27.5062</v>
      </c>
      <c r="AQ12" s="40">
        <v>39.513100000000001</v>
      </c>
      <c r="AR12" s="40">
        <v>38.954599999999999</v>
      </c>
      <c r="AS12" s="41"/>
      <c r="AT12" s="42"/>
      <c r="AU12" s="42"/>
      <c r="AW12" s="43">
        <f t="shared" si="10"/>
        <v>3.0118724933819285E-2</v>
      </c>
      <c r="AX12" s="43"/>
      <c r="AZ12" s="44"/>
      <c r="BA12" s="44"/>
      <c r="BB12" s="44"/>
      <c r="BC12" s="44"/>
      <c r="BD12" s="44"/>
      <c r="BE12" s="45"/>
      <c r="BG12" s="44"/>
      <c r="BH12" s="44"/>
      <c r="BI12" s="44"/>
      <c r="BJ12" s="44"/>
      <c r="BK12" s="44"/>
      <c r="BL12" s="45"/>
    </row>
    <row r="13" spans="1:64" outlineLevel="1" x14ac:dyDescent="0.15">
      <c r="A13" s="16"/>
      <c r="B13" s="16" t="s">
        <v>233</v>
      </c>
      <c r="C13" s="17" t="s">
        <v>227</v>
      </c>
      <c r="D13" s="16">
        <v>3493085</v>
      </c>
      <c r="E13" s="18">
        <v>12</v>
      </c>
      <c r="F13" s="17">
        <v>1</v>
      </c>
      <c r="G13" s="17"/>
      <c r="I13" s="19" t="str">
        <f t="shared" si="0"/>
        <v>·</v>
      </c>
      <c r="J13" s="20">
        <f t="shared" si="1"/>
        <v>8.5290795958300469E-2</v>
      </c>
      <c r="K13" s="20">
        <f t="shared" si="2"/>
        <v>7.5820657098238375E-2</v>
      </c>
      <c r="L13" s="20">
        <f t="shared" si="3"/>
        <v>9.325853793995852E-3</v>
      </c>
      <c r="M13" s="21"/>
      <c r="N13" s="20">
        <f t="shared" si="4"/>
        <v>1.0741873143153826</v>
      </c>
      <c r="O13" s="22">
        <v>277352</v>
      </c>
      <c r="P13" s="23">
        <v>297928</v>
      </c>
      <c r="Q13" s="23">
        <v>264848</v>
      </c>
      <c r="R13" s="23">
        <v>32576</v>
      </c>
      <c r="S13" s="24"/>
      <c r="T13" s="25">
        <v>64.844200000000001</v>
      </c>
      <c r="U13" s="25">
        <v>67.662400000000005</v>
      </c>
      <c r="V13" s="25">
        <v>33.620699999999999</v>
      </c>
      <c r="W13" s="25">
        <v>45.516100000000002</v>
      </c>
      <c r="X13" s="25">
        <v>45.675199999999997</v>
      </c>
      <c r="Y13" s="26"/>
      <c r="Z13" s="27"/>
      <c r="AA13" s="27"/>
      <c r="AC13" s="19" t="str">
        <f t="shared" si="5"/>
        <v>·</v>
      </c>
      <c r="AD13" s="20">
        <f t="shared" si="6"/>
        <v>8.194246632990608E-2</v>
      </c>
      <c r="AE13" s="20">
        <f t="shared" si="7"/>
        <v>7.5820657098238375E-2</v>
      </c>
      <c r="AF13" s="20">
        <f t="shared" si="8"/>
        <v>5.9798144047453752E-3</v>
      </c>
      <c r="AG13" s="21"/>
      <c r="AH13" s="20">
        <f t="shared" si="9"/>
        <v>1.0320170757737459</v>
      </c>
      <c r="AI13" s="22">
        <v>277352</v>
      </c>
      <c r="AJ13" s="23">
        <v>286232</v>
      </c>
      <c r="AK13" s="23">
        <v>264848</v>
      </c>
      <c r="AL13" s="23">
        <v>20888</v>
      </c>
      <c r="AM13" s="24"/>
      <c r="AN13" s="25">
        <v>64.844200000000001</v>
      </c>
      <c r="AO13" s="25">
        <v>67.662400000000005</v>
      </c>
      <c r="AP13" s="25">
        <v>32.1678</v>
      </c>
      <c r="AQ13" s="25">
        <v>43.399299999999997</v>
      </c>
      <c r="AR13" s="25">
        <v>43.342599999999997</v>
      </c>
      <c r="AS13" s="26"/>
      <c r="AT13" s="27"/>
      <c r="AU13" s="27"/>
      <c r="AW13" s="28">
        <f t="shared" si="10"/>
        <v>3.6324910338431327E-2</v>
      </c>
      <c r="AX13" s="28"/>
      <c r="AZ13" s="29"/>
      <c r="BA13" s="29"/>
      <c r="BB13" s="29"/>
      <c r="BC13" s="29"/>
      <c r="BD13" s="29"/>
      <c r="BE13" s="30"/>
      <c r="BG13" s="29"/>
      <c r="BH13" s="29"/>
      <c r="BI13" s="29"/>
      <c r="BJ13" s="29"/>
      <c r="BK13" s="29"/>
      <c r="BL13" s="30"/>
    </row>
    <row r="14" spans="1:64" outlineLevel="1" x14ac:dyDescent="0.15">
      <c r="A14" s="31"/>
      <c r="B14" s="31" t="s">
        <v>233</v>
      </c>
      <c r="C14" s="32" t="s">
        <v>228</v>
      </c>
      <c r="D14" s="31">
        <v>3493085</v>
      </c>
      <c r="E14" s="33">
        <v>12</v>
      </c>
      <c r="F14" s="32">
        <v>1</v>
      </c>
      <c r="G14" s="32"/>
      <c r="I14" s="34" t="str">
        <f t="shared" si="0"/>
        <v>·</v>
      </c>
      <c r="J14" s="35">
        <f t="shared" si="1"/>
        <v>0.31459870000300594</v>
      </c>
      <c r="K14" s="35">
        <f t="shared" si="2"/>
        <v>0.26874353186366778</v>
      </c>
      <c r="L14" s="35">
        <f t="shared" si="3"/>
        <v>4.571088307327191E-2</v>
      </c>
      <c r="M14" s="36"/>
      <c r="N14" s="35">
        <f t="shared" si="4"/>
        <v>1.1042668601367822</v>
      </c>
      <c r="O14" s="37">
        <v>995158</v>
      </c>
      <c r="P14" s="38">
        <v>1098920</v>
      </c>
      <c r="Q14" s="38">
        <v>938744</v>
      </c>
      <c r="R14" s="38">
        <v>159672</v>
      </c>
      <c r="S14" s="39"/>
      <c r="T14" s="40">
        <v>70.486900000000006</v>
      </c>
      <c r="U14" s="40">
        <v>74.249300000000005</v>
      </c>
      <c r="V14" s="40">
        <v>37.9253</v>
      </c>
      <c r="W14" s="40">
        <v>48.613100000000003</v>
      </c>
      <c r="X14" s="40">
        <v>49.273200000000003</v>
      </c>
      <c r="Y14" s="41"/>
      <c r="Z14" s="42"/>
      <c r="AA14" s="42"/>
      <c r="AC14" s="34" t="str">
        <f t="shared" si="5"/>
        <v>·</v>
      </c>
      <c r="AD14" s="35">
        <f t="shared" si="6"/>
        <v>0.29711959485669542</v>
      </c>
      <c r="AE14" s="35">
        <f t="shared" si="7"/>
        <v>0.26874353186366778</v>
      </c>
      <c r="AF14" s="35">
        <f t="shared" si="8"/>
        <v>2.8234068166105318E-2</v>
      </c>
      <c r="AG14" s="36"/>
      <c r="AH14" s="35">
        <f t="shared" si="9"/>
        <v>1.0429137885642279</v>
      </c>
      <c r="AI14" s="37">
        <v>995158</v>
      </c>
      <c r="AJ14" s="38">
        <v>1037864</v>
      </c>
      <c r="AK14" s="38">
        <v>938744</v>
      </c>
      <c r="AL14" s="38">
        <v>98624</v>
      </c>
      <c r="AM14" s="39"/>
      <c r="AN14" s="40">
        <v>70.486900000000006</v>
      </c>
      <c r="AO14" s="40">
        <v>74.249300000000005</v>
      </c>
      <c r="AP14" s="40">
        <v>36.585900000000002</v>
      </c>
      <c r="AQ14" s="40">
        <v>47.151000000000003</v>
      </c>
      <c r="AR14" s="40">
        <v>47.468600000000002</v>
      </c>
      <c r="AS14" s="41"/>
      <c r="AT14" s="42"/>
      <c r="AU14" s="42"/>
      <c r="AW14" s="43">
        <f t="shared" si="10"/>
        <v>5.0253810461065473E-2</v>
      </c>
      <c r="AX14" s="43"/>
      <c r="AZ14" s="44"/>
      <c r="BA14" s="44"/>
      <c r="BB14" s="44"/>
      <c r="BC14" s="44"/>
      <c r="BD14" s="44"/>
      <c r="BE14" s="45"/>
      <c r="BG14" s="44"/>
      <c r="BH14" s="44"/>
      <c r="BI14" s="44"/>
      <c r="BJ14" s="44"/>
      <c r="BK14" s="44"/>
      <c r="BL14" s="45"/>
    </row>
    <row r="15" spans="1:64" outlineLevel="1" x14ac:dyDescent="0.15">
      <c r="A15" s="16"/>
      <c r="B15" s="16" t="s">
        <v>233</v>
      </c>
      <c r="C15" s="17" t="s">
        <v>229</v>
      </c>
      <c r="D15" s="16">
        <v>3493085</v>
      </c>
      <c r="E15" s="18">
        <v>12</v>
      </c>
      <c r="F15" s="17">
        <v>1</v>
      </c>
      <c r="G15" s="17"/>
      <c r="I15" s="19" t="str">
        <f t="shared" si="0"/>
        <v>·</v>
      </c>
      <c r="J15" s="20">
        <f t="shared" si="1"/>
        <v>1.1054709518949581</v>
      </c>
      <c r="K15" s="20">
        <f t="shared" si="2"/>
        <v>0.89242603601114778</v>
      </c>
      <c r="L15" s="20">
        <f t="shared" si="3"/>
        <v>0.21282963340428304</v>
      </c>
      <c r="M15" s="21"/>
      <c r="N15" s="20">
        <f t="shared" si="4"/>
        <v>1.2630298161731757</v>
      </c>
      <c r="O15" s="22">
        <v>3057334</v>
      </c>
      <c r="P15" s="23">
        <v>3861504</v>
      </c>
      <c r="Q15" s="23">
        <v>3117320</v>
      </c>
      <c r="R15" s="23">
        <v>743432</v>
      </c>
      <c r="S15" s="24"/>
      <c r="T15" s="25">
        <v>75.249600000000001</v>
      </c>
      <c r="U15" s="25">
        <v>80.050700000000006</v>
      </c>
      <c r="V15" s="25">
        <v>42.269199999999998</v>
      </c>
      <c r="W15" s="25">
        <v>50.746499999999997</v>
      </c>
      <c r="X15" s="25">
        <v>51.397199999999998</v>
      </c>
      <c r="Y15" s="26"/>
      <c r="Z15" s="27"/>
      <c r="AA15" s="27"/>
      <c r="AC15" s="19" t="str">
        <f t="shared" si="5"/>
        <v>·</v>
      </c>
      <c r="AD15" s="20">
        <f t="shared" si="6"/>
        <v>1.0228459943001673</v>
      </c>
      <c r="AE15" s="20">
        <f t="shared" si="7"/>
        <v>0.89242603601114778</v>
      </c>
      <c r="AF15" s="20">
        <f t="shared" si="8"/>
        <v>0.1302069660486361</v>
      </c>
      <c r="AG15" s="21"/>
      <c r="AH15" s="20">
        <f t="shared" si="9"/>
        <v>1.1686286156501056</v>
      </c>
      <c r="AI15" s="22">
        <v>3057334</v>
      </c>
      <c r="AJ15" s="23">
        <v>3572888</v>
      </c>
      <c r="AK15" s="23">
        <v>3117320</v>
      </c>
      <c r="AL15" s="23">
        <v>454824</v>
      </c>
      <c r="AM15" s="24"/>
      <c r="AN15" s="25">
        <v>75.249600000000001</v>
      </c>
      <c r="AO15" s="25">
        <v>80.050700000000006</v>
      </c>
      <c r="AP15" s="25">
        <v>40.807499999999997</v>
      </c>
      <c r="AQ15" s="25">
        <v>49.685099999999998</v>
      </c>
      <c r="AR15" s="25">
        <v>50.253900000000002</v>
      </c>
      <c r="AS15" s="26"/>
      <c r="AT15" s="27"/>
      <c r="AU15" s="27"/>
      <c r="AW15" s="28">
        <f t="shared" si="10"/>
        <v>6.5211756425663792E-2</v>
      </c>
      <c r="AX15" s="28"/>
      <c r="AZ15" s="29"/>
      <c r="BA15" s="29"/>
      <c r="BB15" s="29"/>
      <c r="BC15" s="29"/>
      <c r="BD15" s="29"/>
      <c r="BE15" s="30"/>
      <c r="BG15" s="29"/>
      <c r="BH15" s="29"/>
      <c r="BI15" s="29"/>
      <c r="BJ15" s="29"/>
      <c r="BK15" s="29"/>
      <c r="BL15" s="30"/>
    </row>
    <row r="16" spans="1:64" outlineLevel="1" x14ac:dyDescent="0.15">
      <c r="A16" s="31"/>
      <c r="B16" s="46" t="s">
        <v>233</v>
      </c>
      <c r="C16" s="47" t="s">
        <v>230</v>
      </c>
      <c r="D16" s="46">
        <v>3493085</v>
      </c>
      <c r="E16" s="48">
        <v>12</v>
      </c>
      <c r="F16" s="47">
        <v>1</v>
      </c>
      <c r="G16" s="47"/>
      <c r="I16" s="49" t="str">
        <f t="shared" si="0"/>
        <v>·</v>
      </c>
      <c r="J16" s="50">
        <f t="shared" si="1"/>
        <v>3.3612946721880514</v>
      </c>
      <c r="K16" s="50">
        <f t="shared" si="2"/>
        <v>2.8457183263504895</v>
      </c>
      <c r="L16" s="50">
        <f t="shared" si="3"/>
        <v>0.51536106335803455</v>
      </c>
      <c r="M16" s="51"/>
      <c r="N16" s="50">
        <f t="shared" si="4"/>
        <v>3.5500837987897778</v>
      </c>
      <c r="O16" s="52">
        <v>3307327</v>
      </c>
      <c r="P16" s="53">
        <v>11741288</v>
      </c>
      <c r="Q16" s="53">
        <v>9940336</v>
      </c>
      <c r="R16" s="53">
        <v>1800200</v>
      </c>
      <c r="S16" s="54"/>
      <c r="T16" s="55">
        <v>80.029300000000006</v>
      </c>
      <c r="U16" s="55">
        <v>84.816699999999997</v>
      </c>
      <c r="V16" s="55">
        <v>44.557899999999997</v>
      </c>
      <c r="W16" s="55">
        <v>51.890500000000003</v>
      </c>
      <c r="X16" s="55">
        <v>52.488900000000001</v>
      </c>
      <c r="Y16" s="56"/>
      <c r="Z16" s="57"/>
      <c r="AA16" s="57"/>
      <c r="AC16" s="49" t="str">
        <f t="shared" si="5"/>
        <v>·</v>
      </c>
      <c r="AD16" s="50">
        <f t="shared" si="6"/>
        <v>3.1498483432266893</v>
      </c>
      <c r="AE16" s="50">
        <f t="shared" si="7"/>
        <v>2.8457183263504895</v>
      </c>
      <c r="AF16" s="50">
        <f t="shared" si="8"/>
        <v>0.30391702463581621</v>
      </c>
      <c r="AG16" s="51"/>
      <c r="AH16" s="50">
        <f t="shared" si="9"/>
        <v>3.3267614602366202</v>
      </c>
      <c r="AI16" s="52">
        <v>3307327</v>
      </c>
      <c r="AJ16" s="53">
        <v>11002688</v>
      </c>
      <c r="AK16" s="53">
        <v>9940336</v>
      </c>
      <c r="AL16" s="53">
        <v>1061608</v>
      </c>
      <c r="AM16" s="54"/>
      <c r="AN16" s="55">
        <v>80.029300000000006</v>
      </c>
      <c r="AO16" s="55">
        <v>84.816699999999997</v>
      </c>
      <c r="AP16" s="55">
        <v>43.186999999999998</v>
      </c>
      <c r="AQ16" s="55">
        <v>50.696100000000001</v>
      </c>
      <c r="AR16" s="55">
        <v>51.317300000000003</v>
      </c>
      <c r="AS16" s="56"/>
      <c r="AT16" s="57"/>
      <c r="AU16" s="57"/>
      <c r="AW16" s="58">
        <f t="shared" si="10"/>
        <v>5.6832378082162238E-2</v>
      </c>
      <c r="AX16" s="58"/>
      <c r="AZ16" s="59"/>
      <c r="BA16" s="59"/>
      <c r="BB16" s="59"/>
      <c r="BC16" s="59"/>
      <c r="BD16" s="59"/>
      <c r="BE16" s="60"/>
      <c r="BG16" s="59"/>
      <c r="BH16" s="59"/>
      <c r="BI16" s="59"/>
      <c r="BJ16" s="59"/>
      <c r="BK16" s="59"/>
      <c r="BL16" s="60"/>
    </row>
    <row r="17" spans="1:64" collapsed="1" x14ac:dyDescent="0.15">
      <c r="A17" s="16"/>
      <c r="B17" s="16" t="s">
        <v>236</v>
      </c>
      <c r="C17" s="17" t="s">
        <v>225</v>
      </c>
      <c r="D17" s="16">
        <v>2592758</v>
      </c>
      <c r="E17" s="18">
        <v>11</v>
      </c>
      <c r="F17" s="17">
        <v>1</v>
      </c>
      <c r="G17" s="17"/>
      <c r="I17" s="19" t="str">
        <f t="shared" si="0"/>
        <v>·</v>
      </c>
      <c r="J17" s="20">
        <f t="shared" si="1"/>
        <v>6.6863162701648205E-3</v>
      </c>
      <c r="K17" s="20">
        <f t="shared" si="2"/>
        <v>5.9241934650283599E-3</v>
      </c>
      <c r="L17" s="20">
        <f t="shared" si="3"/>
        <v>5.6464968963551554E-4</v>
      </c>
      <c r="M17" s="21"/>
      <c r="N17" s="20">
        <f t="shared" si="4"/>
        <v>1.4995242626070409</v>
      </c>
      <c r="O17" s="22">
        <v>11561</v>
      </c>
      <c r="P17" s="23">
        <v>17336</v>
      </c>
      <c r="Q17" s="23">
        <v>15360</v>
      </c>
      <c r="R17" s="23">
        <v>1464</v>
      </c>
      <c r="S17" s="24"/>
      <c r="T17" s="25">
        <v>52.897399999999998</v>
      </c>
      <c r="U17" s="25">
        <v>55.262799999999999</v>
      </c>
      <c r="V17" s="25">
        <v>21.636199999999999</v>
      </c>
      <c r="W17" s="25">
        <v>37.021500000000003</v>
      </c>
      <c r="X17" s="25">
        <v>37.175899999999999</v>
      </c>
      <c r="Y17" s="26"/>
      <c r="Z17" s="27"/>
      <c r="AA17" s="27"/>
      <c r="AC17" s="19" t="str">
        <f t="shared" si="5"/>
        <v>·</v>
      </c>
      <c r="AD17" s="20">
        <f t="shared" si="6"/>
        <v>6.4888431546638757E-3</v>
      </c>
      <c r="AE17" s="20">
        <f t="shared" si="7"/>
        <v>5.9241934650283599E-3</v>
      </c>
      <c r="AF17" s="20">
        <f t="shared" si="8"/>
        <v>3.7026209156427249E-4</v>
      </c>
      <c r="AG17" s="21"/>
      <c r="AH17" s="20">
        <f t="shared" si="9"/>
        <v>1.4552374362079405</v>
      </c>
      <c r="AI17" s="22">
        <v>11561</v>
      </c>
      <c r="AJ17" s="23">
        <v>16824</v>
      </c>
      <c r="AK17" s="23">
        <v>15360</v>
      </c>
      <c r="AL17" s="23">
        <v>960</v>
      </c>
      <c r="AM17" s="24"/>
      <c r="AN17" s="25">
        <v>52.897399999999998</v>
      </c>
      <c r="AO17" s="25">
        <v>55.262799999999999</v>
      </c>
      <c r="AP17" s="25">
        <v>20.385100000000001</v>
      </c>
      <c r="AQ17" s="25">
        <v>36.172499999999999</v>
      </c>
      <c r="AR17" s="25">
        <v>35.713700000000003</v>
      </c>
      <c r="AS17" s="26"/>
      <c r="AT17" s="27"/>
      <c r="AU17" s="27"/>
      <c r="AW17" s="28">
        <f t="shared" si="10"/>
        <v>2.6963919300465378E-2</v>
      </c>
      <c r="AX17" s="28">
        <f t="array" ref="AX17">AVERAGE(AK17:AK22/AJ17:AJ22) - AVERAGE(Q17:Q22/P17:P22)</f>
        <v>5.712868165204954E-2</v>
      </c>
      <c r="AZ17" s="29">
        <f>IF( OR(ISBLANK(Q17:Q22),ISBLANK(AK17:AK22), ISBLANK(T17:T22),ISBLANK(AN17:AN22)), "·", bdRateExtend( Q17:Q22,T17:T22, AK17:AK22,AN17:AN22))</f>
        <v>0</v>
      </c>
      <c r="BA17" s="29">
        <f>IF( OR(ISBLANK(Q17:Q22),ISBLANK(AK17:AK22), ISBLANK(U17:U22),ISBLANK(AO17:AO22)), "·", bdRateExtend( Q17:Q22,U17:U22, AK17:AK22,AO17:AO22))</f>
        <v>0</v>
      </c>
      <c r="BB17" s="29">
        <f>IF( OR(ISBLANK(R17:R22),ISBLANK(AL17:AL22), ISBLANK(V17:V22),ISBLANK(AP17:AP22)), "·", bdRateExtend( R17:R22,V17:V22, AL17:AL22,AP17:AP22))</f>
        <v>-2.679913541244594E-2</v>
      </c>
      <c r="BC17" s="29">
        <f>IF( OR(ISBLANK(R17:R22),ISBLANK(AL17:AL22), ISBLANK(W17:W22),ISBLANK(AQ17:AQ22)), "·", bdRateExtend( R17:R22,W17:W22, AL17:AL22,AQ17:AQ22))</f>
        <v>0.27187487086922446</v>
      </c>
      <c r="BD17" s="29">
        <f>IF( OR(ISBLANK(R17:R22),ISBLANK(AL17:AL22), ISBLANK(X17:X22),ISBLANK(AR17:AR22)), "·", bdRateExtend( R17:R22,X17:X22, AL17:AL22,AR17:AR22))</f>
        <v>0.42386687871810458</v>
      </c>
      <c r="BE17" s="30"/>
      <c r="BG17" s="29">
        <f>IF( OR(ISBLANK(P17:P22),ISBLANK(AJ17:AJ22), ISBLANK(T17:T22),ISBLANK(AN17:AN22)), "·", bdRateExtend( P17:P22,T17:T22, AJ17:AJ22,AN17:AN22))</f>
        <v>-6.0006862893219881E-2</v>
      </c>
      <c r="BH17" s="29">
        <f>IF( OR(ISBLANK(P17:P22),ISBLANK(AJ17:AJ22), ISBLANK(U17:U22),ISBLANK(AO17:AO22)), "·", bdRateExtend( P17:P22,U17:U22, AJ17:AJ22,AO17:AO22))</f>
        <v>-5.8447496818217926E-2</v>
      </c>
      <c r="BI17" s="29">
        <f>IF( OR(ISBLANK(P17:P22),ISBLANK(AJ17:AJ22), ISBLANK(V17:V22),ISBLANK(AP17:AP22)), "·", bdRateExtend( P17:P22,V17:V22, AJ17:AJ22,AP17:AP22))</f>
        <v>0.22692185177450863</v>
      </c>
      <c r="BJ17" s="29">
        <f>IF( OR(ISBLANK(P17:P22),ISBLANK(AJ17:AJ22), ISBLANK(W17:W22),ISBLANK(AQ17:AQ22)), "·", bdRateExtend( P17:P22,W17:W22, AJ17:AJ22,AQ17:AQ22))</f>
        <v>0.51096348450691287</v>
      </c>
      <c r="BK17" s="29">
        <f>IF( OR(ISBLANK(P17:P22),ISBLANK(AJ17:AJ22), ISBLANK(X17:X22),ISBLANK(AR17:AR22)), "·", bdRateExtend( P17:P22,X17:X22, AJ17:AJ22,AR17:AR22))</f>
        <v>0.65116924751781191</v>
      </c>
      <c r="BL17" s="30"/>
    </row>
    <row r="18" spans="1:64" outlineLevel="1" x14ac:dyDescent="0.15">
      <c r="A18" s="31"/>
      <c r="B18" s="31" t="s">
        <v>236</v>
      </c>
      <c r="C18" s="32" t="s">
        <v>226</v>
      </c>
      <c r="D18" s="31">
        <v>2592758</v>
      </c>
      <c r="E18" s="33">
        <v>11</v>
      </c>
      <c r="F18" s="32">
        <v>1</v>
      </c>
      <c r="G18" s="32"/>
      <c r="I18" s="34" t="str">
        <f t="shared" si="0"/>
        <v>·</v>
      </c>
      <c r="J18" s="35">
        <f t="shared" si="1"/>
        <v>2.2511935167107765E-2</v>
      </c>
      <c r="K18" s="35">
        <f t="shared" si="2"/>
        <v>1.9642403957484657E-2</v>
      </c>
      <c r="L18" s="35">
        <f t="shared" si="3"/>
        <v>2.6689725766924641E-3</v>
      </c>
      <c r="M18" s="36"/>
      <c r="N18" s="35">
        <f t="shared" si="4"/>
        <v>1.2648276160963876</v>
      </c>
      <c r="O18" s="37">
        <v>46147</v>
      </c>
      <c r="P18" s="38">
        <v>58368</v>
      </c>
      <c r="Q18" s="38">
        <v>50928</v>
      </c>
      <c r="R18" s="38">
        <v>6920</v>
      </c>
      <c r="S18" s="39"/>
      <c r="T18" s="40">
        <v>58.808399999999999</v>
      </c>
      <c r="U18" s="40">
        <v>61.652999999999999</v>
      </c>
      <c r="V18" s="40">
        <v>25.729500000000002</v>
      </c>
      <c r="W18" s="40">
        <v>39.873800000000003</v>
      </c>
      <c r="X18" s="40">
        <v>40.4054</v>
      </c>
      <c r="Y18" s="41"/>
      <c r="Z18" s="42"/>
      <c r="AA18" s="42"/>
      <c r="AC18" s="34" t="str">
        <f t="shared" si="5"/>
        <v>·</v>
      </c>
      <c r="AD18" s="35">
        <f t="shared" si="6"/>
        <v>2.1635648217072322E-2</v>
      </c>
      <c r="AE18" s="35">
        <f t="shared" si="7"/>
        <v>1.9642403957484657E-2</v>
      </c>
      <c r="AF18" s="35">
        <f t="shared" si="8"/>
        <v>1.7957711440867215E-3</v>
      </c>
      <c r="AG18" s="36"/>
      <c r="AH18" s="35">
        <f t="shared" si="9"/>
        <v>1.2155936463908814</v>
      </c>
      <c r="AI18" s="37">
        <v>46147</v>
      </c>
      <c r="AJ18" s="38">
        <v>56096</v>
      </c>
      <c r="AK18" s="38">
        <v>50928</v>
      </c>
      <c r="AL18" s="38">
        <v>4656</v>
      </c>
      <c r="AM18" s="39"/>
      <c r="AN18" s="40">
        <v>58.808399999999999</v>
      </c>
      <c r="AO18" s="40">
        <v>61.652999999999999</v>
      </c>
      <c r="AP18" s="40">
        <v>24.5185</v>
      </c>
      <c r="AQ18" s="40">
        <v>38.943399999999997</v>
      </c>
      <c r="AR18" s="40">
        <v>38.908700000000003</v>
      </c>
      <c r="AS18" s="41"/>
      <c r="AT18" s="42"/>
      <c r="AU18" s="42"/>
      <c r="AW18" s="43">
        <f t="shared" si="10"/>
        <v>3.5339324316209786E-2</v>
      </c>
      <c r="AX18" s="43"/>
      <c r="AZ18" s="44"/>
      <c r="BA18" s="44"/>
      <c r="BB18" s="44"/>
      <c r="BC18" s="44"/>
      <c r="BD18" s="44"/>
      <c r="BE18" s="45"/>
      <c r="BG18" s="44"/>
      <c r="BH18" s="44"/>
      <c r="BI18" s="44"/>
      <c r="BJ18" s="44"/>
      <c r="BK18" s="44"/>
      <c r="BL18" s="45"/>
    </row>
    <row r="19" spans="1:64" outlineLevel="1" x14ac:dyDescent="0.15">
      <c r="A19" s="16"/>
      <c r="B19" s="16" t="s">
        <v>236</v>
      </c>
      <c r="C19" s="17" t="s">
        <v>227</v>
      </c>
      <c r="D19" s="16">
        <v>2592758</v>
      </c>
      <c r="E19" s="18">
        <v>11</v>
      </c>
      <c r="F19" s="17">
        <v>1</v>
      </c>
      <c r="G19" s="17"/>
      <c r="I19" s="19" t="str">
        <f t="shared" si="0"/>
        <v>·</v>
      </c>
      <c r="J19" s="20">
        <f t="shared" si="1"/>
        <v>8.041475525290058E-2</v>
      </c>
      <c r="K19" s="20">
        <f t="shared" si="2"/>
        <v>6.5533304689446528E-2</v>
      </c>
      <c r="L19" s="20">
        <f t="shared" si="3"/>
        <v>1.4680891930523405E-2</v>
      </c>
      <c r="M19" s="21"/>
      <c r="N19" s="20">
        <f t="shared" si="4"/>
        <v>1.1457020238376534</v>
      </c>
      <c r="O19" s="22">
        <v>181981</v>
      </c>
      <c r="P19" s="23">
        <v>208496</v>
      </c>
      <c r="Q19" s="23">
        <v>169912</v>
      </c>
      <c r="R19" s="23">
        <v>38064</v>
      </c>
      <c r="S19" s="24"/>
      <c r="T19" s="25">
        <v>64.4619</v>
      </c>
      <c r="U19" s="25">
        <v>68.281899999999993</v>
      </c>
      <c r="V19" s="25">
        <v>30.5212</v>
      </c>
      <c r="W19" s="25">
        <v>42.626800000000003</v>
      </c>
      <c r="X19" s="25">
        <v>44.2029</v>
      </c>
      <c r="Y19" s="26"/>
      <c r="Z19" s="27"/>
      <c r="AA19" s="27"/>
      <c r="AC19" s="19" t="str">
        <f t="shared" si="5"/>
        <v>·</v>
      </c>
      <c r="AD19" s="20">
        <f t="shared" si="6"/>
        <v>7.6014807398145146E-2</v>
      </c>
      <c r="AE19" s="20">
        <f t="shared" si="7"/>
        <v>6.5533304689446528E-2</v>
      </c>
      <c r="AF19" s="20">
        <f t="shared" si="8"/>
        <v>1.0284029593197668E-2</v>
      </c>
      <c r="AG19" s="21"/>
      <c r="AH19" s="20">
        <f t="shared" si="9"/>
        <v>1.0830141608189865</v>
      </c>
      <c r="AI19" s="22">
        <v>181981</v>
      </c>
      <c r="AJ19" s="23">
        <v>197088</v>
      </c>
      <c r="AK19" s="23">
        <v>169912</v>
      </c>
      <c r="AL19" s="23">
        <v>26664</v>
      </c>
      <c r="AM19" s="24"/>
      <c r="AN19" s="25">
        <v>64.4619</v>
      </c>
      <c r="AO19" s="25">
        <v>68.281899999999993</v>
      </c>
      <c r="AP19" s="25">
        <v>29.581800000000001</v>
      </c>
      <c r="AQ19" s="25">
        <v>41.506799999999998</v>
      </c>
      <c r="AR19" s="25">
        <v>42.362900000000003</v>
      </c>
      <c r="AS19" s="26"/>
      <c r="AT19" s="27"/>
      <c r="AU19" s="27"/>
      <c r="AW19" s="28">
        <f t="shared" si="10"/>
        <v>4.7171062064160663E-2</v>
      </c>
      <c r="AX19" s="28"/>
      <c r="AZ19" s="29"/>
      <c r="BA19" s="29"/>
      <c r="BB19" s="29"/>
      <c r="BC19" s="29"/>
      <c r="BD19" s="29"/>
      <c r="BE19" s="30"/>
      <c r="BG19" s="29"/>
      <c r="BH19" s="29"/>
      <c r="BI19" s="29"/>
      <c r="BJ19" s="29"/>
      <c r="BK19" s="29"/>
      <c r="BL19" s="30"/>
    </row>
    <row r="20" spans="1:64" outlineLevel="1" x14ac:dyDescent="0.15">
      <c r="A20" s="31"/>
      <c r="B20" s="31" t="s">
        <v>236</v>
      </c>
      <c r="C20" s="32" t="s">
        <v>228</v>
      </c>
      <c r="D20" s="31">
        <v>2592758</v>
      </c>
      <c r="E20" s="33">
        <v>11</v>
      </c>
      <c r="F20" s="32">
        <v>1</v>
      </c>
      <c r="G20" s="32"/>
      <c r="I20" s="34" t="str">
        <f t="shared" si="0"/>
        <v>·</v>
      </c>
      <c r="J20" s="35">
        <f t="shared" si="1"/>
        <v>0.30164018392769398</v>
      </c>
      <c r="K20" s="35">
        <f t="shared" si="2"/>
        <v>0.22963346367073209</v>
      </c>
      <c r="L20" s="35">
        <f t="shared" si="3"/>
        <v>7.180307610660154E-2</v>
      </c>
      <c r="M20" s="36"/>
      <c r="N20" s="35">
        <f t="shared" si="4"/>
        <v>1.1132541988307756</v>
      </c>
      <c r="O20" s="37">
        <v>702517</v>
      </c>
      <c r="P20" s="38">
        <v>782080</v>
      </c>
      <c r="Q20" s="38">
        <v>595384</v>
      </c>
      <c r="R20" s="38">
        <v>186168</v>
      </c>
      <c r="S20" s="39"/>
      <c r="T20" s="40">
        <v>69.232299999999995</v>
      </c>
      <c r="U20" s="40">
        <v>74.555599999999998</v>
      </c>
      <c r="V20" s="40">
        <v>35.8215</v>
      </c>
      <c r="W20" s="40">
        <v>44.647599999999997</v>
      </c>
      <c r="X20" s="40">
        <v>47.8596</v>
      </c>
      <c r="Y20" s="41"/>
      <c r="Z20" s="42"/>
      <c r="AA20" s="42"/>
      <c r="AC20" s="34" t="str">
        <f t="shared" si="5"/>
        <v>·</v>
      </c>
      <c r="AD20" s="35">
        <f t="shared" si="6"/>
        <v>0.2787209604598655</v>
      </c>
      <c r="AE20" s="35">
        <f t="shared" si="7"/>
        <v>0.22963346367073209</v>
      </c>
      <c r="AF20" s="35">
        <f t="shared" si="8"/>
        <v>4.8886938156202778E-2</v>
      </c>
      <c r="AG20" s="36"/>
      <c r="AH20" s="35">
        <f t="shared" si="9"/>
        <v>1.0286669219392555</v>
      </c>
      <c r="AI20" s="37">
        <v>702517</v>
      </c>
      <c r="AJ20" s="38">
        <v>722656</v>
      </c>
      <c r="AK20" s="38">
        <v>595384</v>
      </c>
      <c r="AL20" s="38">
        <v>126752</v>
      </c>
      <c r="AM20" s="39"/>
      <c r="AN20" s="40">
        <v>69.232299999999995</v>
      </c>
      <c r="AO20" s="40">
        <v>74.555599999999998</v>
      </c>
      <c r="AP20" s="40">
        <v>34.737699999999997</v>
      </c>
      <c r="AQ20" s="40">
        <v>43.7791</v>
      </c>
      <c r="AR20" s="40">
        <v>46.351500000000001</v>
      </c>
      <c r="AS20" s="41"/>
      <c r="AT20" s="42"/>
      <c r="AU20" s="42"/>
      <c r="AW20" s="43">
        <f t="shared" si="10"/>
        <v>6.2600276119088805E-2</v>
      </c>
      <c r="AX20" s="43"/>
      <c r="AZ20" s="44"/>
      <c r="BA20" s="44"/>
      <c r="BB20" s="44"/>
      <c r="BC20" s="44"/>
      <c r="BD20" s="44"/>
      <c r="BE20" s="45"/>
      <c r="BG20" s="44"/>
      <c r="BH20" s="44"/>
      <c r="BI20" s="44"/>
      <c r="BJ20" s="44"/>
      <c r="BK20" s="44"/>
      <c r="BL20" s="45"/>
    </row>
    <row r="21" spans="1:64" outlineLevel="1" x14ac:dyDescent="0.15">
      <c r="A21" s="16"/>
      <c r="B21" s="16" t="s">
        <v>236</v>
      </c>
      <c r="C21" s="17" t="s">
        <v>229</v>
      </c>
      <c r="D21" s="16">
        <v>2592758</v>
      </c>
      <c r="E21" s="18">
        <v>11</v>
      </c>
      <c r="F21" s="17">
        <v>1</v>
      </c>
      <c r="G21" s="17"/>
      <c r="I21" s="19" t="str">
        <f t="shared" si="0"/>
        <v>·</v>
      </c>
      <c r="J21" s="20">
        <f t="shared" si="1"/>
        <v>0.79283296011428761</v>
      </c>
      <c r="K21" s="20">
        <f t="shared" si="2"/>
        <v>0.55388123380585463</v>
      </c>
      <c r="L21" s="20">
        <f t="shared" si="3"/>
        <v>0.23871414146634587</v>
      </c>
      <c r="M21" s="21"/>
      <c r="N21" s="20">
        <f t="shared" si="4"/>
        <v>1.3530678658690707</v>
      </c>
      <c r="O21" s="22">
        <v>1519232</v>
      </c>
      <c r="P21" s="23">
        <v>2055624</v>
      </c>
      <c r="Q21" s="23">
        <v>1436080</v>
      </c>
      <c r="R21" s="23">
        <v>618928</v>
      </c>
      <c r="S21" s="24"/>
      <c r="T21" s="25">
        <v>74.004300000000001</v>
      </c>
      <c r="U21" s="25">
        <v>79.203999999999994</v>
      </c>
      <c r="V21" s="25">
        <v>38.869500000000002</v>
      </c>
      <c r="W21" s="25">
        <v>46.250900000000001</v>
      </c>
      <c r="X21" s="25">
        <v>49.838299999999997</v>
      </c>
      <c r="Y21" s="26"/>
      <c r="Z21" s="27"/>
      <c r="AA21" s="27"/>
      <c r="AC21" s="19" t="str">
        <f t="shared" si="5"/>
        <v>·</v>
      </c>
      <c r="AD21" s="20">
        <f t="shared" si="6"/>
        <v>0.71696934307019788</v>
      </c>
      <c r="AE21" s="20">
        <f t="shared" si="7"/>
        <v>0.55388123380585463</v>
      </c>
      <c r="AF21" s="20">
        <f t="shared" si="8"/>
        <v>0.16285360993968584</v>
      </c>
      <c r="AG21" s="21"/>
      <c r="AH21" s="20">
        <f t="shared" si="9"/>
        <v>1.2235971859465835</v>
      </c>
      <c r="AI21" s="22">
        <v>1519232</v>
      </c>
      <c r="AJ21" s="23">
        <v>1858928</v>
      </c>
      <c r="AK21" s="23">
        <v>1436080</v>
      </c>
      <c r="AL21" s="23">
        <v>422240</v>
      </c>
      <c r="AM21" s="24"/>
      <c r="AN21" s="25">
        <v>74.004300000000001</v>
      </c>
      <c r="AO21" s="25">
        <v>79.203999999999994</v>
      </c>
      <c r="AP21" s="25">
        <v>38.141800000000003</v>
      </c>
      <c r="AQ21" s="25">
        <v>45.4148</v>
      </c>
      <c r="AR21" s="25">
        <v>48.7059</v>
      </c>
      <c r="AS21" s="26"/>
      <c r="AT21" s="27"/>
      <c r="AU21" s="27"/>
      <c r="AW21" s="28">
        <f t="shared" si="10"/>
        <v>7.3921013651148448E-2</v>
      </c>
      <c r="AX21" s="28"/>
      <c r="AZ21" s="29"/>
      <c r="BA21" s="29"/>
      <c r="BB21" s="29"/>
      <c r="BC21" s="29"/>
      <c r="BD21" s="29"/>
      <c r="BE21" s="30"/>
      <c r="BG21" s="29"/>
      <c r="BH21" s="29"/>
      <c r="BI21" s="29"/>
      <c r="BJ21" s="29"/>
      <c r="BK21" s="29"/>
      <c r="BL21" s="30"/>
    </row>
    <row r="22" spans="1:64" outlineLevel="1" x14ac:dyDescent="0.15">
      <c r="A22" s="31"/>
      <c r="B22" s="46" t="s">
        <v>236</v>
      </c>
      <c r="C22" s="47" t="s">
        <v>230</v>
      </c>
      <c r="D22" s="46">
        <v>2592758</v>
      </c>
      <c r="E22" s="48">
        <v>11</v>
      </c>
      <c r="F22" s="47">
        <v>1</v>
      </c>
      <c r="G22" s="47"/>
      <c r="I22" s="49" t="str">
        <f t="shared" si="0"/>
        <v>·</v>
      </c>
      <c r="J22" s="50">
        <f t="shared" si="1"/>
        <v>1.3232457483498268</v>
      </c>
      <c r="K22" s="50">
        <f t="shared" si="2"/>
        <v>0.72392718487417651</v>
      </c>
      <c r="L22" s="50">
        <f t="shared" si="3"/>
        <v>0.5990192682849691</v>
      </c>
      <c r="M22" s="51"/>
      <c r="N22" s="50">
        <f t="shared" si="4"/>
        <v>1.6935381723532481</v>
      </c>
      <c r="O22" s="52">
        <v>2025851</v>
      </c>
      <c r="P22" s="53">
        <v>3430856</v>
      </c>
      <c r="Q22" s="53">
        <v>1876968</v>
      </c>
      <c r="R22" s="53">
        <v>1553112</v>
      </c>
      <c r="S22" s="54"/>
      <c r="T22" s="55">
        <v>75.710300000000004</v>
      </c>
      <c r="U22" s="55">
        <v>80.644400000000005</v>
      </c>
      <c r="V22" s="55">
        <v>41.275399999999998</v>
      </c>
      <c r="W22" s="55">
        <v>47.729599999999998</v>
      </c>
      <c r="X22" s="55">
        <v>51.205599999999997</v>
      </c>
      <c r="Y22" s="56"/>
      <c r="Z22" s="57"/>
      <c r="AA22" s="57"/>
      <c r="AC22" s="49" t="str">
        <f t="shared" si="5"/>
        <v>·</v>
      </c>
      <c r="AD22" s="50">
        <f t="shared" si="6"/>
        <v>1.1243532948312183</v>
      </c>
      <c r="AE22" s="50">
        <f t="shared" si="7"/>
        <v>0.72392718487417651</v>
      </c>
      <c r="AF22" s="50">
        <f t="shared" si="8"/>
        <v>0.40012990028379047</v>
      </c>
      <c r="AG22" s="51"/>
      <c r="AH22" s="50">
        <f t="shared" si="9"/>
        <v>1.4389883560044643</v>
      </c>
      <c r="AI22" s="52">
        <v>2025851</v>
      </c>
      <c r="AJ22" s="53">
        <v>2915176</v>
      </c>
      <c r="AK22" s="53">
        <v>1876968</v>
      </c>
      <c r="AL22" s="53">
        <v>1037440</v>
      </c>
      <c r="AM22" s="54"/>
      <c r="AN22" s="55">
        <v>75.710300000000004</v>
      </c>
      <c r="AO22" s="55">
        <v>80.644400000000005</v>
      </c>
      <c r="AP22" s="55">
        <v>40.615000000000002</v>
      </c>
      <c r="AQ22" s="55">
        <v>46.815800000000003</v>
      </c>
      <c r="AR22" s="55">
        <v>50.176900000000003</v>
      </c>
      <c r="AS22" s="56"/>
      <c r="AT22" s="57"/>
      <c r="AU22" s="57"/>
      <c r="AW22" s="58">
        <f t="shared" si="10"/>
        <v>9.6776494461223939E-2</v>
      </c>
      <c r="AX22" s="58"/>
      <c r="AZ22" s="59"/>
      <c r="BA22" s="59"/>
      <c r="BB22" s="59"/>
      <c r="BC22" s="59"/>
      <c r="BD22" s="59"/>
      <c r="BE22" s="60"/>
      <c r="BG22" s="59"/>
      <c r="BH22" s="59"/>
      <c r="BI22" s="59"/>
      <c r="BJ22" s="59"/>
      <c r="BK22" s="59"/>
      <c r="BL22" s="60"/>
    </row>
    <row r="23" spans="1:64" collapsed="1" x14ac:dyDescent="0.15">
      <c r="A23" s="16"/>
      <c r="B23" s="16" t="s">
        <v>239</v>
      </c>
      <c r="C23" s="17" t="s">
        <v>225</v>
      </c>
      <c r="D23" s="16">
        <v>272684</v>
      </c>
      <c r="E23" s="18">
        <v>12</v>
      </c>
      <c r="F23" s="17">
        <v>1</v>
      </c>
      <c r="G23" s="17"/>
      <c r="I23" s="19" t="str">
        <f t="shared" si="0"/>
        <v>·</v>
      </c>
      <c r="J23" s="20">
        <f t="shared" si="1"/>
        <v>0.24192105147350046</v>
      </c>
      <c r="K23" s="20">
        <f t="shared" si="2"/>
        <v>0.23068460195684382</v>
      </c>
      <c r="L23" s="20">
        <f t="shared" si="3"/>
        <v>9.417494242419798E-3</v>
      </c>
      <c r="M23" s="21"/>
      <c r="N23" s="20">
        <f t="shared" si="4"/>
        <v>1.399673251151047</v>
      </c>
      <c r="O23" s="22">
        <v>47131</v>
      </c>
      <c r="P23" s="23">
        <v>65968</v>
      </c>
      <c r="Q23" s="23">
        <v>62904</v>
      </c>
      <c r="R23" s="23">
        <v>2568</v>
      </c>
      <c r="S23" s="24"/>
      <c r="T23" s="25">
        <v>52.914099999999998</v>
      </c>
      <c r="U23" s="25">
        <v>56.206899999999997</v>
      </c>
      <c r="V23" s="25">
        <v>25.321200000000001</v>
      </c>
      <c r="W23" s="25">
        <v>36.5169</v>
      </c>
      <c r="X23" s="25">
        <v>37.919899999999998</v>
      </c>
      <c r="Y23" s="26"/>
      <c r="Z23" s="27"/>
      <c r="AA23" s="27"/>
      <c r="AC23" s="19" t="str">
        <f t="shared" si="5"/>
        <v>·</v>
      </c>
      <c r="AD23" s="20">
        <f t="shared" si="6"/>
        <v>0.23643484766249578</v>
      </c>
      <c r="AE23" s="20">
        <f t="shared" si="7"/>
        <v>0.23068460195684382</v>
      </c>
      <c r="AF23" s="20">
        <f t="shared" si="8"/>
        <v>3.9606284197092603E-3</v>
      </c>
      <c r="AG23" s="21"/>
      <c r="AH23" s="20">
        <f t="shared" si="9"/>
        <v>1.3679319343956207</v>
      </c>
      <c r="AI23" s="22">
        <v>47131</v>
      </c>
      <c r="AJ23" s="23">
        <v>64472</v>
      </c>
      <c r="AK23" s="23">
        <v>62904</v>
      </c>
      <c r="AL23" s="23">
        <v>1080</v>
      </c>
      <c r="AM23" s="24"/>
      <c r="AN23" s="25">
        <v>52.914099999999998</v>
      </c>
      <c r="AO23" s="25">
        <v>56.206899999999997</v>
      </c>
      <c r="AP23" s="25">
        <v>24.016500000000001</v>
      </c>
      <c r="AQ23" s="25">
        <v>35.576700000000002</v>
      </c>
      <c r="AR23" s="25">
        <v>37.138500000000001</v>
      </c>
      <c r="AS23" s="26"/>
      <c r="AT23" s="27"/>
      <c r="AU23" s="27"/>
      <c r="AW23" s="28">
        <f t="shared" si="10"/>
        <v>2.2126126751901287E-2</v>
      </c>
      <c r="AX23" s="28">
        <f t="array" ref="AX23">AVERAGE(AK23:AK28/AJ23:AJ28) - AVERAGE(Q23:Q28/P23:P28)</f>
        <v>2.3276232964276389E-2</v>
      </c>
      <c r="AZ23" s="29">
        <f>IF( OR(ISBLANK(Q23:Q28),ISBLANK(AK23:AK28), ISBLANK(T23:T28),ISBLANK(AN23:AN28)), "·", bdRateExtend( Q23:Q28,T23:T28, AK23:AK28,AN23:AN28))</f>
        <v>0</v>
      </c>
      <c r="BA23" s="29">
        <f>IF( OR(ISBLANK(Q23:Q28),ISBLANK(AK23:AK28), ISBLANK(U23:U28),ISBLANK(AO23:AO28)), "·", bdRateExtend( Q23:Q28,U23:U28, AK23:AK28,AO23:AO28))</f>
        <v>0</v>
      </c>
      <c r="BB23" s="29">
        <f>IF( OR(ISBLANK(R23:R28),ISBLANK(AL23:AL28), ISBLANK(V23:V28),ISBLANK(AP23:AP28)), "·", bdRateExtend( R23:R28,V23:V28, AL23:AL28,AP23:AP28))</f>
        <v>-8.4910823624688048E-2</v>
      </c>
      <c r="BC23" s="29">
        <f>IF( OR(ISBLANK(R23:R28),ISBLANK(AL23:AL28), ISBLANK(W23:W28),ISBLANK(AQ23:AQ28)), "·", bdRateExtend( R23:R28,W23:W28, AL23:AL28,AQ23:AQ28))</f>
        <v>8.1969737636426121E-2</v>
      </c>
      <c r="BD23" s="29">
        <f>IF( OR(ISBLANK(R23:R28),ISBLANK(AL23:AL28), ISBLANK(X23:X28),ISBLANK(AR23:AR28)), "·", bdRateExtend( R23:R28,X23:X28, AL23:AL28,AR23:AR28))</f>
        <v>0.20203464718467723</v>
      </c>
      <c r="BE23" s="30"/>
      <c r="BG23" s="29">
        <f>IF( OR(ISBLANK(P23:P28),ISBLANK(AJ23:AJ28), ISBLANK(T23:T28),ISBLANK(AN23:AN28)), "·", bdRateExtend( P23:P28,T23:T28, AJ23:AJ28,AN23:AN28))</f>
        <v>-2.3809857526610245E-2</v>
      </c>
      <c r="BH23" s="29">
        <f>IF( OR(ISBLANK(P23:P28),ISBLANK(AJ23:AJ28), ISBLANK(U23:U28),ISBLANK(AO23:AO28)), "·", bdRateExtend( P23:P28,U23:U28, AJ23:AJ28,AO23:AO28))</f>
        <v>-2.3676252489658323E-2</v>
      </c>
      <c r="BI23" s="29">
        <f>IF( OR(ISBLANK(P23:P28),ISBLANK(AJ23:AJ28), ISBLANK(V23:V28),ISBLANK(AP23:AP28)), "·", bdRateExtend( P23:P28,V23:V28, AJ23:AJ28,AP23:AP28))</f>
        <v>0.38960902308162715</v>
      </c>
      <c r="BJ23" s="29">
        <f>IF( OR(ISBLANK(P23:P28),ISBLANK(AJ23:AJ28), ISBLANK(W23:W28),ISBLANK(AQ23:AQ28)), "·", bdRateExtend( P23:P28,W23:W28, AJ23:AJ28,AQ23:AQ28))</f>
        <v>0.55919649555425988</v>
      </c>
      <c r="BK23" s="29">
        <f>IF( OR(ISBLANK(P23:P28),ISBLANK(AJ23:AJ28), ISBLANK(X23:X28),ISBLANK(AR23:AR28)), "·", bdRateExtend( P23:P28,X23:X28, AJ23:AJ28,AR23:AR28))</f>
        <v>0.68096507765615621</v>
      </c>
      <c r="BL23" s="30"/>
    </row>
    <row r="24" spans="1:64" outlineLevel="1" x14ac:dyDescent="0.15">
      <c r="A24" s="31"/>
      <c r="B24" s="31" t="s">
        <v>239</v>
      </c>
      <c r="C24" s="32" t="s">
        <v>226</v>
      </c>
      <c r="D24" s="31">
        <v>272684</v>
      </c>
      <c r="E24" s="33">
        <v>12</v>
      </c>
      <c r="F24" s="32">
        <v>1</v>
      </c>
      <c r="G24" s="32"/>
      <c r="I24" s="34" t="str">
        <f t="shared" si="0"/>
        <v>·</v>
      </c>
      <c r="J24" s="35">
        <f t="shared" si="1"/>
        <v>1.0583092517346087</v>
      </c>
      <c r="K24" s="35">
        <f t="shared" si="2"/>
        <v>1.0077012219272123</v>
      </c>
      <c r="L24" s="35">
        <f t="shared" si="3"/>
        <v>4.8759736544865116E-2</v>
      </c>
      <c r="M24" s="36"/>
      <c r="N24" s="35">
        <f t="shared" si="4"/>
        <v>1.9347796937434631</v>
      </c>
      <c r="O24" s="37">
        <v>149156</v>
      </c>
      <c r="P24" s="38">
        <v>288584</v>
      </c>
      <c r="Q24" s="38">
        <v>274784</v>
      </c>
      <c r="R24" s="38">
        <v>13296</v>
      </c>
      <c r="S24" s="39"/>
      <c r="T24" s="40">
        <v>58.921300000000002</v>
      </c>
      <c r="U24" s="40">
        <v>63.119500000000002</v>
      </c>
      <c r="V24" s="40">
        <v>29.2607</v>
      </c>
      <c r="W24" s="40">
        <v>39.124200000000002</v>
      </c>
      <c r="X24" s="40">
        <v>40.182600000000001</v>
      </c>
      <c r="Y24" s="41"/>
      <c r="Z24" s="42"/>
      <c r="AA24" s="42"/>
      <c r="AC24" s="34" t="str">
        <f t="shared" si="5"/>
        <v>·</v>
      </c>
      <c r="AD24" s="35">
        <f t="shared" si="6"/>
        <v>1.0341347493802351</v>
      </c>
      <c r="AE24" s="35">
        <f t="shared" si="7"/>
        <v>1.0077012219272123</v>
      </c>
      <c r="AF24" s="35">
        <f t="shared" si="8"/>
        <v>2.4614572178785699E-2</v>
      </c>
      <c r="AG24" s="36"/>
      <c r="AH24" s="35">
        <f t="shared" si="9"/>
        <v>1.8905843546354153</v>
      </c>
      <c r="AI24" s="37">
        <v>149156</v>
      </c>
      <c r="AJ24" s="38">
        <v>281992</v>
      </c>
      <c r="AK24" s="38">
        <v>274784</v>
      </c>
      <c r="AL24" s="38">
        <v>6712</v>
      </c>
      <c r="AM24" s="39"/>
      <c r="AN24" s="40">
        <v>58.921300000000002</v>
      </c>
      <c r="AO24" s="40">
        <v>63.119500000000002</v>
      </c>
      <c r="AP24" s="40">
        <v>27.869199999999999</v>
      </c>
      <c r="AQ24" s="40">
        <v>38.0657</v>
      </c>
      <c r="AR24" s="40">
        <v>39.095300000000002</v>
      </c>
      <c r="AS24" s="41"/>
      <c r="AT24" s="42"/>
      <c r="AU24" s="42"/>
      <c r="AW24" s="43">
        <f t="shared" si="10"/>
        <v>2.2258690120863123E-2</v>
      </c>
      <c r="AX24" s="43"/>
      <c r="AZ24" s="44"/>
      <c r="BA24" s="44"/>
      <c r="BB24" s="44"/>
      <c r="BC24" s="44"/>
      <c r="BD24" s="44"/>
      <c r="BE24" s="45"/>
      <c r="BG24" s="44"/>
      <c r="BH24" s="44"/>
      <c r="BI24" s="44"/>
      <c r="BJ24" s="44"/>
      <c r="BK24" s="44"/>
      <c r="BL24" s="45"/>
    </row>
    <row r="25" spans="1:64" outlineLevel="1" x14ac:dyDescent="0.15">
      <c r="A25" s="16"/>
      <c r="B25" s="16" t="s">
        <v>239</v>
      </c>
      <c r="C25" s="17" t="s">
        <v>227</v>
      </c>
      <c r="D25" s="16">
        <v>272684</v>
      </c>
      <c r="E25" s="18">
        <v>12</v>
      </c>
      <c r="F25" s="17">
        <v>1</v>
      </c>
      <c r="G25" s="17"/>
      <c r="I25" s="19" t="str">
        <f t="shared" si="0"/>
        <v>·</v>
      </c>
      <c r="J25" s="20">
        <f t="shared" si="1"/>
        <v>3.6978773965469189</v>
      </c>
      <c r="K25" s="20">
        <f t="shared" si="2"/>
        <v>3.5217614528171803</v>
      </c>
      <c r="L25" s="20">
        <f t="shared" si="3"/>
        <v>0.17426765046720746</v>
      </c>
      <c r="M25" s="21"/>
      <c r="N25" s="20">
        <f t="shared" si="4"/>
        <v>3.7389992027736061</v>
      </c>
      <c r="O25" s="22">
        <v>269685</v>
      </c>
      <c r="P25" s="23">
        <v>1008352</v>
      </c>
      <c r="Q25" s="23">
        <v>960328</v>
      </c>
      <c r="R25" s="23">
        <v>47520</v>
      </c>
      <c r="S25" s="24"/>
      <c r="T25" s="25">
        <v>64.838099999999997</v>
      </c>
      <c r="U25" s="25">
        <v>69.697599999999994</v>
      </c>
      <c r="V25" s="25">
        <v>33.146799999999999</v>
      </c>
      <c r="W25" s="25">
        <v>41.378399999999999</v>
      </c>
      <c r="X25" s="25">
        <v>42.1372</v>
      </c>
      <c r="Y25" s="26"/>
      <c r="Z25" s="27"/>
      <c r="AA25" s="27"/>
      <c r="AC25" s="19" t="str">
        <f t="shared" si="5"/>
        <v>·</v>
      </c>
      <c r="AD25" s="20">
        <f t="shared" si="6"/>
        <v>3.6163764650657906</v>
      </c>
      <c r="AE25" s="20">
        <f t="shared" si="7"/>
        <v>3.5217614528171803</v>
      </c>
      <c r="AF25" s="20">
        <f t="shared" si="8"/>
        <v>9.2796056974373264E-2</v>
      </c>
      <c r="AG25" s="21"/>
      <c r="AH25" s="20">
        <f t="shared" si="9"/>
        <v>3.6565919498674377</v>
      </c>
      <c r="AI25" s="22">
        <v>269685</v>
      </c>
      <c r="AJ25" s="23">
        <v>986128</v>
      </c>
      <c r="AK25" s="23">
        <v>960328</v>
      </c>
      <c r="AL25" s="23">
        <v>25304</v>
      </c>
      <c r="AM25" s="24"/>
      <c r="AN25" s="25">
        <v>64.838099999999997</v>
      </c>
      <c r="AO25" s="25">
        <v>69.697599999999994</v>
      </c>
      <c r="AP25" s="25">
        <v>31.5139</v>
      </c>
      <c r="AQ25" s="25">
        <v>40.069200000000002</v>
      </c>
      <c r="AR25" s="25">
        <v>40.762900000000002</v>
      </c>
      <c r="AS25" s="26"/>
      <c r="AT25" s="27"/>
      <c r="AU25" s="27"/>
      <c r="AW25" s="28">
        <f t="shared" si="10"/>
        <v>2.1463293567017372E-2</v>
      </c>
      <c r="AX25" s="28"/>
      <c r="AZ25" s="29"/>
      <c r="BA25" s="29"/>
      <c r="BB25" s="29"/>
      <c r="BC25" s="29"/>
      <c r="BD25" s="29"/>
      <c r="BE25" s="30"/>
      <c r="BG25" s="29"/>
      <c r="BH25" s="29"/>
      <c r="BI25" s="29"/>
      <c r="BJ25" s="29"/>
      <c r="BK25" s="29"/>
      <c r="BL25" s="30"/>
    </row>
    <row r="26" spans="1:64" outlineLevel="1" x14ac:dyDescent="0.15">
      <c r="A26" s="31"/>
      <c r="B26" s="31" t="s">
        <v>239</v>
      </c>
      <c r="C26" s="32" t="s">
        <v>228</v>
      </c>
      <c r="D26" s="31">
        <v>272684</v>
      </c>
      <c r="E26" s="33">
        <v>12</v>
      </c>
      <c r="F26" s="32">
        <v>1</v>
      </c>
      <c r="G26" s="32"/>
      <c r="I26" s="34" t="str">
        <f t="shared" si="0"/>
        <v>·</v>
      </c>
      <c r="J26" s="35">
        <f t="shared" si="1"/>
        <v>6.6944008449340631</v>
      </c>
      <c r="K26" s="35">
        <f t="shared" si="2"/>
        <v>6.3182291590265658</v>
      </c>
      <c r="L26" s="35">
        <f t="shared" si="3"/>
        <v>0.37432339264496634</v>
      </c>
      <c r="M26" s="36"/>
      <c r="N26" s="35">
        <f t="shared" si="4"/>
        <v>6.7037182571014124</v>
      </c>
      <c r="O26" s="37">
        <v>272305</v>
      </c>
      <c r="P26" s="38">
        <v>1825456</v>
      </c>
      <c r="Q26" s="38">
        <v>1722880</v>
      </c>
      <c r="R26" s="38">
        <v>102072</v>
      </c>
      <c r="S26" s="39"/>
      <c r="T26" s="40">
        <v>70.491100000000003</v>
      </c>
      <c r="U26" s="40">
        <v>75.471500000000006</v>
      </c>
      <c r="V26" s="40">
        <v>35.984200000000001</v>
      </c>
      <c r="W26" s="40">
        <v>43.1494</v>
      </c>
      <c r="X26" s="40">
        <v>43.800899999999999</v>
      </c>
      <c r="Y26" s="41"/>
      <c r="Z26" s="42"/>
      <c r="AA26" s="42"/>
      <c r="AC26" s="34" t="str">
        <f t="shared" si="5"/>
        <v>·</v>
      </c>
      <c r="AD26" s="35">
        <f t="shared" si="6"/>
        <v>6.5410511801205793</v>
      </c>
      <c r="AE26" s="35">
        <f t="shared" si="7"/>
        <v>6.3182291590265658</v>
      </c>
      <c r="AF26" s="35">
        <f t="shared" si="8"/>
        <v>0.22100306581977675</v>
      </c>
      <c r="AG26" s="36"/>
      <c r="AH26" s="35">
        <f t="shared" si="9"/>
        <v>6.550155156901269</v>
      </c>
      <c r="AI26" s="37">
        <v>272305</v>
      </c>
      <c r="AJ26" s="38">
        <v>1783640</v>
      </c>
      <c r="AK26" s="38">
        <v>1722880</v>
      </c>
      <c r="AL26" s="38">
        <v>60264</v>
      </c>
      <c r="AM26" s="39"/>
      <c r="AN26" s="40">
        <v>70.491100000000003</v>
      </c>
      <c r="AO26" s="40">
        <v>75.471500000000006</v>
      </c>
      <c r="AP26" s="40">
        <v>34.2425</v>
      </c>
      <c r="AQ26" s="40">
        <v>41.6068</v>
      </c>
      <c r="AR26" s="40">
        <v>42.261200000000002</v>
      </c>
      <c r="AS26" s="41"/>
      <c r="AT26" s="42"/>
      <c r="AU26" s="42"/>
      <c r="AW26" s="43">
        <f t="shared" si="10"/>
        <v>2.2126816996428156E-2</v>
      </c>
      <c r="AX26" s="43"/>
      <c r="AZ26" s="44"/>
      <c r="BA26" s="44"/>
      <c r="BB26" s="44"/>
      <c r="BC26" s="44"/>
      <c r="BD26" s="44"/>
      <c r="BE26" s="45"/>
      <c r="BG26" s="44"/>
      <c r="BH26" s="44"/>
      <c r="BI26" s="44"/>
      <c r="BJ26" s="44"/>
      <c r="BK26" s="44"/>
      <c r="BL26" s="45"/>
    </row>
    <row r="27" spans="1:64" outlineLevel="1" x14ac:dyDescent="0.15">
      <c r="A27" s="16"/>
      <c r="B27" s="16" t="s">
        <v>239</v>
      </c>
      <c r="C27" s="17" t="s">
        <v>229</v>
      </c>
      <c r="D27" s="16">
        <v>272684</v>
      </c>
      <c r="E27" s="18">
        <v>12</v>
      </c>
      <c r="F27" s="17">
        <v>1</v>
      </c>
      <c r="G27" s="17"/>
      <c r="I27" s="19" t="str">
        <f t="shared" si="0"/>
        <v>·</v>
      </c>
      <c r="J27" s="20">
        <f t="shared" si="1"/>
        <v>9.7231960804447635</v>
      </c>
      <c r="K27" s="20">
        <f t="shared" si="2"/>
        <v>8.937730119845682</v>
      </c>
      <c r="L27" s="20">
        <f t="shared" si="3"/>
        <v>0.78358832934825662</v>
      </c>
      <c r="M27" s="21"/>
      <c r="N27" s="20">
        <f t="shared" si="4"/>
        <v>9.7245155824197589</v>
      </c>
      <c r="O27" s="22">
        <v>272647</v>
      </c>
      <c r="P27" s="23">
        <v>2651360</v>
      </c>
      <c r="Q27" s="23">
        <v>2437176</v>
      </c>
      <c r="R27" s="23">
        <v>213672</v>
      </c>
      <c r="S27" s="24"/>
      <c r="T27" s="25">
        <v>75.254000000000005</v>
      </c>
      <c r="U27" s="25">
        <v>80.659199999999998</v>
      </c>
      <c r="V27" s="25">
        <v>39.0518</v>
      </c>
      <c r="W27" s="25">
        <v>45.203200000000002</v>
      </c>
      <c r="X27" s="25">
        <v>45.666800000000002</v>
      </c>
      <c r="Y27" s="26"/>
      <c r="Z27" s="27"/>
      <c r="AA27" s="27"/>
      <c r="AC27" s="19" t="str">
        <f t="shared" si="5"/>
        <v>·</v>
      </c>
      <c r="AD27" s="20">
        <f t="shared" si="6"/>
        <v>9.468395652110134</v>
      </c>
      <c r="AE27" s="20">
        <f t="shared" si="7"/>
        <v>8.937730119845682</v>
      </c>
      <c r="AF27" s="20">
        <f t="shared" si="8"/>
        <v>0.52881723900192168</v>
      </c>
      <c r="AG27" s="21"/>
      <c r="AH27" s="20">
        <f t="shared" si="9"/>
        <v>9.4696805759828635</v>
      </c>
      <c r="AI27" s="22">
        <v>272647</v>
      </c>
      <c r="AJ27" s="23">
        <v>2581880</v>
      </c>
      <c r="AK27" s="23">
        <v>2437176</v>
      </c>
      <c r="AL27" s="23">
        <v>144200</v>
      </c>
      <c r="AM27" s="24"/>
      <c r="AN27" s="25">
        <v>75.254000000000005</v>
      </c>
      <c r="AO27" s="25">
        <v>80.659199999999998</v>
      </c>
      <c r="AP27" s="25">
        <v>37.413699999999999</v>
      </c>
      <c r="AQ27" s="25">
        <v>43.625300000000003</v>
      </c>
      <c r="AR27" s="25">
        <v>44.004600000000003</v>
      </c>
      <c r="AS27" s="26"/>
      <c r="AT27" s="27"/>
      <c r="AU27" s="27"/>
      <c r="AW27" s="28">
        <f t="shared" si="10"/>
        <v>2.4736710658230465E-2</v>
      </c>
      <c r="AX27" s="28"/>
      <c r="AZ27" s="29"/>
      <c r="BA27" s="29"/>
      <c r="BB27" s="29"/>
      <c r="BC27" s="29"/>
      <c r="BD27" s="29"/>
      <c r="BE27" s="30"/>
      <c r="BG27" s="29"/>
      <c r="BH27" s="29"/>
      <c r="BI27" s="29"/>
      <c r="BJ27" s="29"/>
      <c r="BK27" s="29"/>
      <c r="BL27" s="30"/>
    </row>
    <row r="28" spans="1:64" outlineLevel="1" x14ac:dyDescent="0.15">
      <c r="A28" s="31"/>
      <c r="B28" s="46" t="s">
        <v>239</v>
      </c>
      <c r="C28" s="47" t="s">
        <v>230</v>
      </c>
      <c r="D28" s="46">
        <v>272684</v>
      </c>
      <c r="E28" s="48">
        <v>12</v>
      </c>
      <c r="F28" s="47">
        <v>1</v>
      </c>
      <c r="G28" s="47"/>
      <c r="I28" s="49" t="str">
        <f t="shared" si="0"/>
        <v>·</v>
      </c>
      <c r="J28" s="50">
        <f t="shared" si="1"/>
        <v>12.124275718413989</v>
      </c>
      <c r="K28" s="50">
        <f t="shared" si="2"/>
        <v>10.663273239353977</v>
      </c>
      <c r="L28" s="50">
        <f t="shared" si="3"/>
        <v>1.4591248478091858</v>
      </c>
      <c r="M28" s="51"/>
      <c r="N28" s="50">
        <f t="shared" si="4"/>
        <v>12.125031631990669</v>
      </c>
      <c r="O28" s="52">
        <v>272667</v>
      </c>
      <c r="P28" s="53">
        <v>3306096</v>
      </c>
      <c r="Q28" s="53">
        <v>2907704</v>
      </c>
      <c r="R28" s="53">
        <v>397880</v>
      </c>
      <c r="S28" s="54"/>
      <c r="T28" s="55">
        <v>80.033600000000007</v>
      </c>
      <c r="U28" s="55">
        <v>85.001900000000006</v>
      </c>
      <c r="V28" s="55">
        <v>41.936999999999998</v>
      </c>
      <c r="W28" s="55">
        <v>47.241799999999998</v>
      </c>
      <c r="X28" s="55">
        <v>47.552599999999998</v>
      </c>
      <c r="Y28" s="56"/>
      <c r="Z28" s="57"/>
      <c r="AA28" s="57"/>
      <c r="AC28" s="49" t="str">
        <f t="shared" si="5"/>
        <v>·</v>
      </c>
      <c r="AD28" s="50">
        <f t="shared" si="6"/>
        <v>11.763858532220446</v>
      </c>
      <c r="AE28" s="50">
        <f t="shared" si="7"/>
        <v>10.663273239353977</v>
      </c>
      <c r="AF28" s="50">
        <f t="shared" si="8"/>
        <v>1.0987369996039371</v>
      </c>
      <c r="AG28" s="51"/>
      <c r="AH28" s="50">
        <f t="shared" si="9"/>
        <v>11.764591974826436</v>
      </c>
      <c r="AI28" s="52">
        <v>272667</v>
      </c>
      <c r="AJ28" s="53">
        <v>3207816</v>
      </c>
      <c r="AK28" s="53">
        <v>2907704</v>
      </c>
      <c r="AL28" s="53">
        <v>299608</v>
      </c>
      <c r="AM28" s="54"/>
      <c r="AN28" s="55">
        <v>80.033600000000007</v>
      </c>
      <c r="AO28" s="55">
        <v>85.001900000000006</v>
      </c>
      <c r="AP28" s="55">
        <v>40.712200000000003</v>
      </c>
      <c r="AQ28" s="55">
        <v>45.761000000000003</v>
      </c>
      <c r="AR28" s="55">
        <v>45.971299999999999</v>
      </c>
      <c r="AS28" s="56"/>
      <c r="AT28" s="57"/>
      <c r="AU28" s="57"/>
      <c r="AW28" s="58">
        <f t="shared" si="10"/>
        <v>2.6945759691218485E-2</v>
      </c>
      <c r="AX28" s="58"/>
      <c r="AZ28" s="59"/>
      <c r="BA28" s="59"/>
      <c r="BB28" s="59"/>
      <c r="BC28" s="59"/>
      <c r="BD28" s="59"/>
      <c r="BE28" s="60"/>
      <c r="BG28" s="59"/>
      <c r="BH28" s="59"/>
      <c r="BI28" s="59"/>
      <c r="BJ28" s="59"/>
      <c r="BK28" s="59"/>
      <c r="BL28" s="60"/>
    </row>
    <row r="29" spans="1:64" collapsed="1" x14ac:dyDescent="0.15">
      <c r="A29" s="16"/>
      <c r="B29" s="16" t="s">
        <v>242</v>
      </c>
      <c r="C29" s="17" t="s">
        <v>225</v>
      </c>
      <c r="D29" s="16">
        <v>1596085</v>
      </c>
      <c r="E29" s="18">
        <v>12</v>
      </c>
      <c r="F29" s="17">
        <v>1</v>
      </c>
      <c r="G29" s="17"/>
      <c r="I29" s="19" t="str">
        <f t="shared" si="0"/>
        <v>·</v>
      </c>
      <c r="J29" s="20">
        <f t="shared" si="1"/>
        <v>2.3427323732758593E-2</v>
      </c>
      <c r="K29" s="20">
        <f t="shared" si="2"/>
        <v>2.0565320769257277E-2</v>
      </c>
      <c r="L29" s="20">
        <f t="shared" si="3"/>
        <v>2.5512425716675492E-3</v>
      </c>
      <c r="M29" s="21"/>
      <c r="N29" s="20">
        <f t="shared" si="4"/>
        <v>1.7294297211044818</v>
      </c>
      <c r="O29" s="22">
        <v>21621</v>
      </c>
      <c r="P29" s="23">
        <v>37392</v>
      </c>
      <c r="Q29" s="23">
        <v>32824</v>
      </c>
      <c r="R29" s="23">
        <v>4072</v>
      </c>
      <c r="S29" s="24"/>
      <c r="T29" s="25">
        <v>52.928100000000001</v>
      </c>
      <c r="U29" s="25">
        <v>56.392000000000003</v>
      </c>
      <c r="V29" s="25">
        <v>16.597899999999999</v>
      </c>
      <c r="W29" s="25">
        <v>35.404699999999998</v>
      </c>
      <c r="X29" s="25">
        <v>35.142099999999999</v>
      </c>
      <c r="Y29" s="26"/>
      <c r="Z29" s="27"/>
      <c r="AA29" s="27"/>
      <c r="AC29" s="19" t="str">
        <f t="shared" si="5"/>
        <v>·</v>
      </c>
      <c r="AD29" s="20">
        <f t="shared" si="6"/>
        <v>2.1928656681818325E-2</v>
      </c>
      <c r="AE29" s="20">
        <f t="shared" si="7"/>
        <v>2.0565320769257277E-2</v>
      </c>
      <c r="AF29" s="20">
        <f t="shared" si="8"/>
        <v>1.0575877851116951E-3</v>
      </c>
      <c r="AG29" s="21"/>
      <c r="AH29" s="20">
        <f t="shared" si="9"/>
        <v>1.6187965404005364</v>
      </c>
      <c r="AI29" s="22">
        <v>21621</v>
      </c>
      <c r="AJ29" s="23">
        <v>35000</v>
      </c>
      <c r="AK29" s="23">
        <v>32824</v>
      </c>
      <c r="AL29" s="23">
        <v>1688</v>
      </c>
      <c r="AM29" s="24"/>
      <c r="AN29" s="25">
        <v>52.928100000000001</v>
      </c>
      <c r="AO29" s="25">
        <v>56.392000000000003</v>
      </c>
      <c r="AP29" s="25">
        <v>15.895899999999999</v>
      </c>
      <c r="AQ29" s="25">
        <v>35.363700000000001</v>
      </c>
      <c r="AR29" s="25">
        <v>34.817</v>
      </c>
      <c r="AS29" s="26"/>
      <c r="AT29" s="27"/>
      <c r="AU29" s="27"/>
      <c r="AW29" s="28">
        <f t="shared" si="10"/>
        <v>5.9993740448682664E-2</v>
      </c>
      <c r="AX29" s="28">
        <f t="array" ref="AX29">AVERAGE(AK29:AK34/AJ29:AJ34) - AVERAGE(Q29:Q34/P29:P34)</f>
        <v>5.5990416451518366E-2</v>
      </c>
      <c r="AZ29" s="29">
        <f>IF( OR(ISBLANK(Q29:Q34),ISBLANK(AK29:AK34), ISBLANK(T29:T34),ISBLANK(AN29:AN34)), "·", bdRateExtend( Q29:Q34,T29:T34, AK29:AK34,AN29:AN34))</f>
        <v>0</v>
      </c>
      <c r="BA29" s="29">
        <f>IF( OR(ISBLANK(Q29:Q34),ISBLANK(AK29:AK34), ISBLANK(U29:U34),ISBLANK(AO29:AO34)), "·", bdRateExtend( Q29:Q34,U29:U34, AK29:AK34,AO29:AO34))</f>
        <v>0</v>
      </c>
      <c r="BB29" s="29">
        <f>IF( OR(ISBLANK(R29:R34),ISBLANK(AL29:AL34), ISBLANK(V29:V34),ISBLANK(AP29:AP34)), "·", bdRateExtend( R29:R34,V29:V34, AL29:AL34,AP29:AP34))</f>
        <v>-0.14206557891879623</v>
      </c>
      <c r="BC29" s="29">
        <f>IF( OR(ISBLANK(R29:R34),ISBLANK(AL29:AL34), ISBLANK(W29:W34),ISBLANK(AQ29:AQ34)), "·", bdRateExtend( R29:R34,W29:W34, AL29:AL34,AQ29:AQ34))</f>
        <v>0.37924161652408994</v>
      </c>
      <c r="BD29" s="29">
        <f>IF( OR(ISBLANK(R29:R34),ISBLANK(AL29:AL34), ISBLANK(X29:X34),ISBLANK(AR29:AR34)), "·", bdRateExtend( R29:R34,X29:X34, AL29:AL34,AR29:AR34))</f>
        <v>0.42688342229885046</v>
      </c>
      <c r="BE29" s="30"/>
      <c r="BG29" s="29">
        <f>IF( OR(ISBLANK(P29:P34),ISBLANK(AJ29:AJ34), ISBLANK(T29:T34),ISBLANK(AN29:AN34)), "·", bdRateExtend( P29:P34,T29:T34, AJ29:AJ34,AN29:AN34))</f>
        <v>-7.0628663407877768E-2</v>
      </c>
      <c r="BH29" s="29">
        <f>IF( OR(ISBLANK(P29:P34),ISBLANK(AJ29:AJ34), ISBLANK(U29:U34),ISBLANK(AO29:AO34)), "·", bdRateExtend( P29:P34,U29:U34, AJ29:AJ34,AO29:AO34))</f>
        <v>-7.0241938890093447E-2</v>
      </c>
      <c r="BI29" s="29">
        <f>IF( OR(ISBLANK(P29:P34),ISBLANK(AJ29:AJ34), ISBLANK(V29:V34),ISBLANK(AP29:AP34)), "·", bdRateExtend( P29:P34,V29:V34, AJ29:AJ34,AP29:AP34))</f>
        <v>7.7034086649021782E-2</v>
      </c>
      <c r="BJ29" s="29">
        <f>IF( OR(ISBLANK(P29:P34),ISBLANK(AJ29:AJ34), ISBLANK(W29:W34),ISBLANK(AQ29:AQ34)), "·", bdRateExtend( P29:P34,W29:W34, AJ29:AJ34,AQ29:AQ34))</f>
        <v>0.6784317830293416</v>
      </c>
      <c r="BK29" s="29">
        <f>IF( OR(ISBLANK(P29:P34),ISBLANK(AJ29:AJ34), ISBLANK(X29:X34),ISBLANK(AR29:AR34)), "·", bdRateExtend( P29:P34,X29:X34, AJ29:AJ34,AR29:AR34))</f>
        <v>0.68932158714825098</v>
      </c>
      <c r="BL29" s="30"/>
    </row>
    <row r="30" spans="1:64" outlineLevel="1" x14ac:dyDescent="0.15">
      <c r="A30" s="31"/>
      <c r="B30" s="31" t="s">
        <v>242</v>
      </c>
      <c r="C30" s="32" t="s">
        <v>226</v>
      </c>
      <c r="D30" s="31">
        <v>1596085</v>
      </c>
      <c r="E30" s="33">
        <v>12</v>
      </c>
      <c r="F30" s="32">
        <v>1</v>
      </c>
      <c r="G30" s="32"/>
      <c r="I30" s="34" t="str">
        <f t="shared" si="0"/>
        <v>·</v>
      </c>
      <c r="J30" s="35">
        <f t="shared" si="1"/>
        <v>0.10225019344207859</v>
      </c>
      <c r="K30" s="35">
        <f t="shared" si="2"/>
        <v>8.3554447288208336E-2</v>
      </c>
      <c r="L30" s="35">
        <f t="shared" si="3"/>
        <v>1.8379973497652066E-2</v>
      </c>
      <c r="M30" s="36"/>
      <c r="N30" s="35">
        <f t="shared" si="4"/>
        <v>1.9585958595859585</v>
      </c>
      <c r="O30" s="37">
        <v>83325</v>
      </c>
      <c r="P30" s="38">
        <v>163200</v>
      </c>
      <c r="Q30" s="38">
        <v>133360</v>
      </c>
      <c r="R30" s="38">
        <v>29336</v>
      </c>
      <c r="S30" s="39"/>
      <c r="T30" s="40">
        <v>58.916899999999998</v>
      </c>
      <c r="U30" s="40">
        <v>62.497900000000001</v>
      </c>
      <c r="V30" s="40">
        <v>19.247299999999999</v>
      </c>
      <c r="W30" s="40">
        <v>36.502299999999998</v>
      </c>
      <c r="X30" s="40">
        <v>35.843000000000004</v>
      </c>
      <c r="Y30" s="41"/>
      <c r="Z30" s="42"/>
      <c r="AA30" s="42"/>
      <c r="AC30" s="34" t="str">
        <f t="shared" si="5"/>
        <v>·</v>
      </c>
      <c r="AD30" s="35">
        <f t="shared" si="6"/>
        <v>9.5734249742338282E-2</v>
      </c>
      <c r="AE30" s="35">
        <f t="shared" si="7"/>
        <v>8.3554447288208336E-2</v>
      </c>
      <c r="AF30" s="35">
        <f t="shared" si="8"/>
        <v>1.186904206229618E-2</v>
      </c>
      <c r="AG30" s="36"/>
      <c r="AH30" s="35">
        <f t="shared" si="9"/>
        <v>1.8337833783378339</v>
      </c>
      <c r="AI30" s="37">
        <v>83325</v>
      </c>
      <c r="AJ30" s="38">
        <v>152800</v>
      </c>
      <c r="AK30" s="38">
        <v>133360</v>
      </c>
      <c r="AL30" s="38">
        <v>18944</v>
      </c>
      <c r="AM30" s="39"/>
      <c r="AN30" s="40">
        <v>58.916899999999998</v>
      </c>
      <c r="AO30" s="40">
        <v>62.497900000000001</v>
      </c>
      <c r="AP30" s="40">
        <v>18.673999999999999</v>
      </c>
      <c r="AQ30" s="40">
        <v>36.079799999999999</v>
      </c>
      <c r="AR30" s="40">
        <v>35.3947</v>
      </c>
      <c r="AS30" s="41"/>
      <c r="AT30" s="42"/>
      <c r="AU30" s="42"/>
      <c r="AW30" s="43">
        <f t="shared" si="10"/>
        <v>5.5618006364849593E-2</v>
      </c>
      <c r="AX30" s="43"/>
      <c r="AZ30" s="44"/>
      <c r="BA30" s="44"/>
      <c r="BB30" s="44"/>
      <c r="BC30" s="44"/>
      <c r="BD30" s="44"/>
      <c r="BE30" s="45"/>
      <c r="BG30" s="44"/>
      <c r="BH30" s="44"/>
      <c r="BI30" s="44"/>
      <c r="BJ30" s="44"/>
      <c r="BK30" s="44"/>
      <c r="BL30" s="45"/>
    </row>
    <row r="31" spans="1:64" outlineLevel="1" x14ac:dyDescent="0.15">
      <c r="A31" s="16"/>
      <c r="B31" s="16" t="s">
        <v>242</v>
      </c>
      <c r="C31" s="17" t="s">
        <v>227</v>
      </c>
      <c r="D31" s="16">
        <v>1596085</v>
      </c>
      <c r="E31" s="18">
        <v>12</v>
      </c>
      <c r="F31" s="17">
        <v>1</v>
      </c>
      <c r="G31" s="17"/>
      <c r="I31" s="19" t="str">
        <f t="shared" si="0"/>
        <v>·</v>
      </c>
      <c r="J31" s="20">
        <f t="shared" si="1"/>
        <v>0.45774504490675622</v>
      </c>
      <c r="K31" s="20">
        <f t="shared" si="2"/>
        <v>0.32917545118211122</v>
      </c>
      <c r="L31" s="20">
        <f t="shared" si="3"/>
        <v>0.12825382106842681</v>
      </c>
      <c r="M31" s="21"/>
      <c r="N31" s="20">
        <f t="shared" si="4"/>
        <v>2.4379744723450405</v>
      </c>
      <c r="O31" s="22">
        <v>299675</v>
      </c>
      <c r="P31" s="23">
        <v>730600</v>
      </c>
      <c r="Q31" s="23">
        <v>525392</v>
      </c>
      <c r="R31" s="23">
        <v>204704</v>
      </c>
      <c r="S31" s="24"/>
      <c r="T31" s="25">
        <v>64.841700000000003</v>
      </c>
      <c r="U31" s="25">
        <v>68.860200000000006</v>
      </c>
      <c r="V31" s="25">
        <v>23.607800000000001</v>
      </c>
      <c r="W31" s="25">
        <v>38.3889</v>
      </c>
      <c r="X31" s="25">
        <v>37.381</v>
      </c>
      <c r="Y31" s="26"/>
      <c r="Z31" s="27"/>
      <c r="AA31" s="27"/>
      <c r="AC31" s="19" t="str">
        <f t="shared" si="5"/>
        <v>·</v>
      </c>
      <c r="AD31" s="20">
        <f t="shared" si="6"/>
        <v>0.42552620944373265</v>
      </c>
      <c r="AE31" s="20">
        <f t="shared" si="7"/>
        <v>0.32917545118211122</v>
      </c>
      <c r="AF31" s="20">
        <f t="shared" si="8"/>
        <v>9.6039997869787633E-2</v>
      </c>
      <c r="AG31" s="21"/>
      <c r="AH31" s="20">
        <f t="shared" si="9"/>
        <v>2.2663752398431636</v>
      </c>
      <c r="AI31" s="22">
        <v>299675</v>
      </c>
      <c r="AJ31" s="23">
        <v>679176</v>
      </c>
      <c r="AK31" s="23">
        <v>525392</v>
      </c>
      <c r="AL31" s="23">
        <v>153288</v>
      </c>
      <c r="AM31" s="24"/>
      <c r="AN31" s="25">
        <v>64.841700000000003</v>
      </c>
      <c r="AO31" s="25">
        <v>68.860200000000006</v>
      </c>
      <c r="AP31" s="25">
        <v>23.188300000000002</v>
      </c>
      <c r="AQ31" s="25">
        <v>37.420099999999998</v>
      </c>
      <c r="AR31" s="25">
        <v>36.525599999999997</v>
      </c>
      <c r="AS31" s="26"/>
      <c r="AT31" s="27"/>
      <c r="AU31" s="27"/>
      <c r="AW31" s="28">
        <f t="shared" si="10"/>
        <v>5.4448674526428431E-2</v>
      </c>
      <c r="AX31" s="28"/>
      <c r="AZ31" s="29"/>
      <c r="BA31" s="29"/>
      <c r="BB31" s="29"/>
      <c r="BC31" s="29"/>
      <c r="BD31" s="29"/>
      <c r="BE31" s="30"/>
      <c r="BG31" s="29"/>
      <c r="BH31" s="29"/>
      <c r="BI31" s="29"/>
      <c r="BJ31" s="29"/>
      <c r="BK31" s="29"/>
      <c r="BL31" s="30"/>
    </row>
    <row r="32" spans="1:64" outlineLevel="1" x14ac:dyDescent="0.15">
      <c r="A32" s="31"/>
      <c r="B32" s="31" t="s">
        <v>242</v>
      </c>
      <c r="C32" s="32" t="s">
        <v>228</v>
      </c>
      <c r="D32" s="31">
        <v>1596085</v>
      </c>
      <c r="E32" s="33">
        <v>12</v>
      </c>
      <c r="F32" s="32">
        <v>1</v>
      </c>
      <c r="G32" s="32"/>
      <c r="I32" s="34" t="str">
        <f t="shared" si="0"/>
        <v>·</v>
      </c>
      <c r="J32" s="35">
        <f t="shared" si="1"/>
        <v>1.9010165498704643</v>
      </c>
      <c r="K32" s="35">
        <f t="shared" si="2"/>
        <v>1.3295732996676242</v>
      </c>
      <c r="L32" s="35">
        <f t="shared" si="3"/>
        <v>0.57112747754662185</v>
      </c>
      <c r="M32" s="36"/>
      <c r="N32" s="35">
        <f t="shared" si="4"/>
        <v>3.4121782861872512</v>
      </c>
      <c r="O32" s="37">
        <v>889222</v>
      </c>
      <c r="P32" s="38">
        <v>3034184</v>
      </c>
      <c r="Q32" s="38">
        <v>2122112</v>
      </c>
      <c r="R32" s="38">
        <v>911568</v>
      </c>
      <c r="S32" s="39"/>
      <c r="T32" s="40">
        <v>70.483900000000006</v>
      </c>
      <c r="U32" s="40">
        <v>74.927199999999999</v>
      </c>
      <c r="V32" s="40">
        <v>28.981999999999999</v>
      </c>
      <c r="W32" s="40">
        <v>41.450699999999998</v>
      </c>
      <c r="X32" s="40">
        <v>39.837400000000002</v>
      </c>
      <c r="Y32" s="41"/>
      <c r="Z32" s="42"/>
      <c r="AA32" s="42"/>
      <c r="AC32" s="34" t="str">
        <f t="shared" si="5"/>
        <v>·</v>
      </c>
      <c r="AD32" s="35">
        <f t="shared" si="6"/>
        <v>1.7495559447021931</v>
      </c>
      <c r="AE32" s="35">
        <f t="shared" si="7"/>
        <v>1.3295732996676242</v>
      </c>
      <c r="AF32" s="35">
        <f t="shared" si="8"/>
        <v>0.41967188464273519</v>
      </c>
      <c r="AG32" s="36"/>
      <c r="AH32" s="35">
        <f t="shared" si="9"/>
        <v>3.1403181657673787</v>
      </c>
      <c r="AI32" s="37">
        <v>889222</v>
      </c>
      <c r="AJ32" s="38">
        <v>2792440</v>
      </c>
      <c r="AK32" s="38">
        <v>2122112</v>
      </c>
      <c r="AL32" s="38">
        <v>669832</v>
      </c>
      <c r="AM32" s="39"/>
      <c r="AN32" s="40">
        <v>70.483900000000006</v>
      </c>
      <c r="AO32" s="40">
        <v>74.927199999999999</v>
      </c>
      <c r="AP32" s="40">
        <v>28.395499999999998</v>
      </c>
      <c r="AQ32" s="40">
        <v>39.773000000000003</v>
      </c>
      <c r="AR32" s="40">
        <v>38.539099999999998</v>
      </c>
      <c r="AS32" s="41"/>
      <c r="AT32" s="42"/>
      <c r="AU32" s="42"/>
      <c r="AW32" s="43">
        <f t="shared" si="10"/>
        <v>6.0547782305253595E-2</v>
      </c>
      <c r="AX32" s="43"/>
      <c r="AZ32" s="44"/>
      <c r="BA32" s="44"/>
      <c r="BB32" s="44"/>
      <c r="BC32" s="44"/>
      <c r="BD32" s="44"/>
      <c r="BE32" s="45"/>
      <c r="BG32" s="44"/>
      <c r="BH32" s="44"/>
      <c r="BI32" s="44"/>
      <c r="BJ32" s="44"/>
      <c r="BK32" s="44"/>
      <c r="BL32" s="45"/>
    </row>
    <row r="33" spans="1:64" outlineLevel="1" x14ac:dyDescent="0.15">
      <c r="A33" s="16"/>
      <c r="B33" s="16" t="s">
        <v>242</v>
      </c>
      <c r="C33" s="17" t="s">
        <v>229</v>
      </c>
      <c r="D33" s="16">
        <v>1596085</v>
      </c>
      <c r="E33" s="18">
        <v>12</v>
      </c>
      <c r="F33" s="17">
        <v>1</v>
      </c>
      <c r="G33" s="17"/>
      <c r="I33" s="19" t="str">
        <f t="shared" si="0"/>
        <v>·</v>
      </c>
      <c r="J33" s="20">
        <f t="shared" si="1"/>
        <v>5.7881027639505414</v>
      </c>
      <c r="K33" s="20">
        <f t="shared" si="2"/>
        <v>4.1237753628409513</v>
      </c>
      <c r="L33" s="20">
        <f t="shared" si="3"/>
        <v>1.6639564935451432</v>
      </c>
      <c r="M33" s="21"/>
      <c r="N33" s="20">
        <f t="shared" si="4"/>
        <v>5.9190074744391605</v>
      </c>
      <c r="O33" s="22">
        <v>1560786</v>
      </c>
      <c r="P33" s="23">
        <v>9238304</v>
      </c>
      <c r="Q33" s="23">
        <v>6581896</v>
      </c>
      <c r="R33" s="23">
        <v>2655816</v>
      </c>
      <c r="S33" s="24"/>
      <c r="T33" s="25">
        <v>75.251199999999997</v>
      </c>
      <c r="U33" s="25">
        <v>79.418899999999994</v>
      </c>
      <c r="V33" s="25">
        <v>34.192799999999998</v>
      </c>
      <c r="W33" s="25">
        <v>44.616599999999998</v>
      </c>
      <c r="X33" s="25">
        <v>42.4101</v>
      </c>
      <c r="Y33" s="26"/>
      <c r="Z33" s="27"/>
      <c r="AA33" s="27"/>
      <c r="AC33" s="19" t="str">
        <f t="shared" si="5"/>
        <v>·</v>
      </c>
      <c r="AD33" s="20">
        <f t="shared" si="6"/>
        <v>5.34657239432737</v>
      </c>
      <c r="AE33" s="20">
        <f t="shared" si="7"/>
        <v>4.1237753628409513</v>
      </c>
      <c r="AF33" s="20">
        <f t="shared" si="8"/>
        <v>1.222431136186356</v>
      </c>
      <c r="AG33" s="21"/>
      <c r="AH33" s="20">
        <f t="shared" si="9"/>
        <v>5.4674913793434845</v>
      </c>
      <c r="AI33" s="22">
        <v>1560786</v>
      </c>
      <c r="AJ33" s="23">
        <v>8533584</v>
      </c>
      <c r="AK33" s="23">
        <v>6581896</v>
      </c>
      <c r="AL33" s="23">
        <v>1951104</v>
      </c>
      <c r="AM33" s="24"/>
      <c r="AN33" s="25">
        <v>75.251199999999997</v>
      </c>
      <c r="AO33" s="25">
        <v>79.418899999999994</v>
      </c>
      <c r="AP33" s="25">
        <v>33.436300000000003</v>
      </c>
      <c r="AQ33" s="25">
        <v>42.816200000000002</v>
      </c>
      <c r="AR33" s="25">
        <v>41.024099999999997</v>
      </c>
      <c r="AS33" s="26"/>
      <c r="AT33" s="27"/>
      <c r="AU33" s="27"/>
      <c r="AW33" s="28">
        <f t="shared" si="10"/>
        <v>5.8836102472607621E-2</v>
      </c>
      <c r="AX33" s="28"/>
      <c r="AZ33" s="29"/>
      <c r="BA33" s="29"/>
      <c r="BB33" s="29"/>
      <c r="BC33" s="29"/>
      <c r="BD33" s="29"/>
      <c r="BE33" s="30"/>
      <c r="BG33" s="29"/>
      <c r="BH33" s="29"/>
      <c r="BI33" s="29"/>
      <c r="BJ33" s="29"/>
      <c r="BK33" s="29"/>
      <c r="BL33" s="30"/>
    </row>
    <row r="34" spans="1:64" outlineLevel="1" x14ac:dyDescent="0.15">
      <c r="A34" s="31"/>
      <c r="B34" s="46" t="s">
        <v>242</v>
      </c>
      <c r="C34" s="47" t="s">
        <v>230</v>
      </c>
      <c r="D34" s="46">
        <v>1596085</v>
      </c>
      <c r="E34" s="48">
        <v>12</v>
      </c>
      <c r="F34" s="47">
        <v>1</v>
      </c>
      <c r="G34" s="47"/>
      <c r="I34" s="49" t="str">
        <f t="shared" si="0"/>
        <v>·</v>
      </c>
      <c r="J34" s="50">
        <f t="shared" si="1"/>
        <v>8.8511576764395379</v>
      </c>
      <c r="K34" s="50">
        <f t="shared" si="2"/>
        <v>6.044274584373639</v>
      </c>
      <c r="L34" s="50">
        <f t="shared" si="3"/>
        <v>2.806512184501452</v>
      </c>
      <c r="M34" s="51"/>
      <c r="N34" s="50">
        <f t="shared" si="4"/>
        <v>8.9215593404442082</v>
      </c>
      <c r="O34" s="52">
        <v>1583490</v>
      </c>
      <c r="P34" s="53">
        <v>14127200</v>
      </c>
      <c r="Q34" s="53">
        <v>9647176</v>
      </c>
      <c r="R34" s="53">
        <v>4479432</v>
      </c>
      <c r="S34" s="54"/>
      <c r="T34" s="55">
        <v>80.026399999999995</v>
      </c>
      <c r="U34" s="55">
        <v>84.511399999999995</v>
      </c>
      <c r="V34" s="55">
        <v>39.798900000000003</v>
      </c>
      <c r="W34" s="55">
        <v>46.549199999999999</v>
      </c>
      <c r="X34" s="55">
        <v>44.455100000000002</v>
      </c>
      <c r="Y34" s="56"/>
      <c r="Z34" s="57"/>
      <c r="AA34" s="57"/>
      <c r="AC34" s="49" t="str">
        <f t="shared" si="5"/>
        <v>·</v>
      </c>
      <c r="AD34" s="50">
        <f t="shared" si="6"/>
        <v>8.2868919888351815</v>
      </c>
      <c r="AE34" s="50">
        <f t="shared" si="7"/>
        <v>6.044274584373639</v>
      </c>
      <c r="AF34" s="50">
        <f t="shared" si="8"/>
        <v>2.2422515091614796</v>
      </c>
      <c r="AG34" s="51"/>
      <c r="AH34" s="50">
        <f t="shared" si="9"/>
        <v>8.3528055118756672</v>
      </c>
      <c r="AI34" s="52">
        <v>1583490</v>
      </c>
      <c r="AJ34" s="53">
        <v>13226584</v>
      </c>
      <c r="AK34" s="53">
        <v>9647176</v>
      </c>
      <c r="AL34" s="53">
        <v>3578824</v>
      </c>
      <c r="AM34" s="54"/>
      <c r="AN34" s="55">
        <v>80.026399999999995</v>
      </c>
      <c r="AO34" s="55">
        <v>84.511399999999995</v>
      </c>
      <c r="AP34" s="55">
        <v>38.718299999999999</v>
      </c>
      <c r="AQ34" s="55">
        <v>45.035800000000002</v>
      </c>
      <c r="AR34" s="55">
        <v>43.247900000000001</v>
      </c>
      <c r="AS34" s="56"/>
      <c r="AT34" s="57"/>
      <c r="AU34" s="57"/>
      <c r="AW34" s="58">
        <f t="shared" si="10"/>
        <v>4.6498192591288845E-2</v>
      </c>
      <c r="AX34" s="58"/>
      <c r="AZ34" s="59"/>
      <c r="BA34" s="59"/>
      <c r="BB34" s="59"/>
      <c r="BC34" s="59"/>
      <c r="BD34" s="59"/>
      <c r="BE34" s="60"/>
      <c r="BG34" s="59"/>
      <c r="BH34" s="59"/>
      <c r="BI34" s="59"/>
      <c r="BJ34" s="59"/>
      <c r="BK34" s="59"/>
      <c r="BL34" s="60"/>
    </row>
    <row r="35" spans="1:64" collapsed="1" x14ac:dyDescent="0.15">
      <c r="A35" s="16"/>
      <c r="B35" s="16" t="s">
        <v>245</v>
      </c>
      <c r="C35" s="17" t="s">
        <v>225</v>
      </c>
      <c r="D35" s="16">
        <v>8907880</v>
      </c>
      <c r="E35" s="18">
        <v>14</v>
      </c>
      <c r="F35" s="17">
        <v>1</v>
      </c>
      <c r="G35" s="17"/>
      <c r="I35" s="19" t="str">
        <f t="shared" si="0"/>
        <v>·</v>
      </c>
      <c r="J35" s="20">
        <f t="shared" si="1"/>
        <v>7.992923119754644E-4</v>
      </c>
      <c r="K35" s="20">
        <f t="shared" si="2"/>
        <v>6.7086669330974371E-4</v>
      </c>
      <c r="L35" s="20">
        <f t="shared" si="3"/>
        <v>7.2744581202261374E-5</v>
      </c>
      <c r="M35" s="21"/>
      <c r="N35" s="20">
        <f t="shared" si="4"/>
        <v>2.0084626234132581</v>
      </c>
      <c r="O35" s="22">
        <v>3545</v>
      </c>
      <c r="P35" s="23">
        <v>7120</v>
      </c>
      <c r="Q35" s="23">
        <v>5976</v>
      </c>
      <c r="R35" s="23">
        <v>648</v>
      </c>
      <c r="S35" s="24"/>
      <c r="T35" s="25">
        <v>46.938000000000002</v>
      </c>
      <c r="U35" s="25">
        <v>51.326999999999998</v>
      </c>
      <c r="V35" s="25">
        <v>16.447700000000001</v>
      </c>
      <c r="W35" s="25">
        <v>30.9985</v>
      </c>
      <c r="X35" s="25">
        <v>33.475999999999999</v>
      </c>
      <c r="Y35" s="26"/>
      <c r="Z35" s="27"/>
      <c r="AA35" s="27"/>
      <c r="AC35" s="19" t="str">
        <f t="shared" si="5"/>
        <v>·</v>
      </c>
      <c r="AD35" s="20">
        <f t="shared" si="6"/>
        <v>7.5528633075434338E-4</v>
      </c>
      <c r="AE35" s="20">
        <f t="shared" si="7"/>
        <v>6.7086669330974371E-4</v>
      </c>
      <c r="AF35" s="20">
        <f t="shared" si="8"/>
        <v>2.9636681230550928E-5</v>
      </c>
      <c r="AG35" s="21"/>
      <c r="AH35" s="20">
        <f t="shared" si="9"/>
        <v>1.8978843441466855</v>
      </c>
      <c r="AI35" s="22">
        <v>3545</v>
      </c>
      <c r="AJ35" s="23">
        <v>6728</v>
      </c>
      <c r="AK35" s="23">
        <v>5976</v>
      </c>
      <c r="AL35" s="23">
        <v>264</v>
      </c>
      <c r="AM35" s="24"/>
      <c r="AN35" s="25">
        <v>46.938000000000002</v>
      </c>
      <c r="AO35" s="25">
        <v>51.326999999999998</v>
      </c>
      <c r="AP35" s="25">
        <v>16.0413</v>
      </c>
      <c r="AQ35" s="25">
        <v>30.561299999999999</v>
      </c>
      <c r="AR35" s="25">
        <v>31.232199999999999</v>
      </c>
      <c r="AS35" s="26"/>
      <c r="AT35" s="27"/>
      <c r="AU35" s="27"/>
      <c r="AW35" s="28">
        <f t="shared" si="10"/>
        <v>4.8902456946652517E-2</v>
      </c>
      <c r="AX35" s="28">
        <f t="array" ref="AX35">AVERAGE(AK35:AK40/AJ35:AJ40) - AVERAGE(Q35:Q40/P35:P40)</f>
        <v>6.4215466759378725E-2</v>
      </c>
      <c r="AZ35" s="29">
        <f>IF( OR(ISBLANK(Q35:Q40),ISBLANK(AK35:AK40), ISBLANK(T35:T40),ISBLANK(AN35:AN40)), "·", bdRateExtend( Q35:Q40,T35:T40, AK35:AK40,AN35:AN40))</f>
        <v>0</v>
      </c>
      <c r="BA35" s="29">
        <f>IF( OR(ISBLANK(Q35:Q40),ISBLANK(AK35:AK40), ISBLANK(U35:U40),ISBLANK(AO35:AO40)), "·", bdRateExtend( Q35:Q40,U35:U40, AK35:AK40,AO35:AO40))</f>
        <v>0</v>
      </c>
      <c r="BB35" s="29">
        <f>IF( OR(ISBLANK(R35:R40),ISBLANK(AL35:AL40), ISBLANK(V35:V40),ISBLANK(AP35:AP40)), "·", bdRateExtend( R35:R40,V35:V40, AL35:AL40,AP35:AP40))</f>
        <v>-0.19371126680388917</v>
      </c>
      <c r="BC35" s="29">
        <f>IF( OR(ISBLANK(R35:R40),ISBLANK(AL35:AL40), ISBLANK(W35:W40),ISBLANK(AQ35:AQ40)), "·", bdRateExtend( R35:R40,W35:W40, AL35:AL40,AQ35:AQ40))</f>
        <v>0.47153989361490201</v>
      </c>
      <c r="BD35" s="29">
        <f>IF( OR(ISBLANK(R35:R40),ISBLANK(AL35:AL40), ISBLANK(X35:X40),ISBLANK(AR35:AR40)), "·", bdRateExtend( R35:R40,X35:X40, AL35:AL40,AR35:AR40))</f>
        <v>0.80940606451322883</v>
      </c>
      <c r="BE35" s="30"/>
      <c r="BG35" s="29">
        <f>IF( OR(ISBLANK(P35:P40),ISBLANK(AJ35:AJ40), ISBLANK(T35:T40),ISBLANK(AN35:AN40)), "·", bdRateExtend( P35:P40,T35:T40, AJ35:AJ40,AN35:AN40))</f>
        <v>-9.6885150338511972E-2</v>
      </c>
      <c r="BH35" s="29">
        <f>IF( OR(ISBLANK(P35:P40),ISBLANK(AJ35:AJ40), ISBLANK(U35:U40),ISBLANK(AO35:AO40)), "·", bdRateExtend( P35:P40,U35:U40, AJ35:AJ40,AO35:AO40))</f>
        <v>-9.716690760671931E-2</v>
      </c>
      <c r="BI35" s="29">
        <f>IF( OR(ISBLANK(P35:P40),ISBLANK(AJ35:AJ40), ISBLANK(V35:V40),ISBLANK(AP35:AP40)), "·", bdRateExtend( P35:P40,V35:V40, AJ35:AJ40,AP35:AP40))</f>
        <v>-1.8737580674104137E-3</v>
      </c>
      <c r="BJ35" s="29">
        <f>IF( OR(ISBLANK(P35:P40),ISBLANK(AJ35:AJ40), ISBLANK(W35:W40),ISBLANK(AQ35:AQ40)), "·", bdRateExtend( P35:P40,W35:W40, AJ35:AJ40,AQ35:AQ40))</f>
        <v>0.6627457056969448</v>
      </c>
      <c r="BK35" s="29">
        <f>IF( OR(ISBLANK(P35:P40),ISBLANK(AJ35:AJ40), ISBLANK(X35:X40),ISBLANK(AR35:AR40)), "·", bdRateExtend( P35:P40,X35:X40, AJ35:AJ40,AR35:AR40))</f>
        <v>0.94409571517850432</v>
      </c>
      <c r="BL35" s="30"/>
    </row>
    <row r="36" spans="1:64" outlineLevel="1" x14ac:dyDescent="0.15">
      <c r="A36" s="31"/>
      <c r="B36" s="31" t="s">
        <v>245</v>
      </c>
      <c r="C36" s="32" t="s">
        <v>226</v>
      </c>
      <c r="D36" s="31">
        <v>8907880</v>
      </c>
      <c r="E36" s="33">
        <v>14</v>
      </c>
      <c r="F36" s="32">
        <v>1</v>
      </c>
      <c r="G36" s="32"/>
      <c r="I36" s="34" t="str">
        <f t="shared" si="0"/>
        <v>·</v>
      </c>
      <c r="J36" s="35">
        <f t="shared" si="1"/>
        <v>2.8558983731258166E-3</v>
      </c>
      <c r="K36" s="35">
        <f t="shared" si="2"/>
        <v>2.2748398047571362E-3</v>
      </c>
      <c r="L36" s="35">
        <f t="shared" si="3"/>
        <v>5.2537753090522098E-4</v>
      </c>
      <c r="M36" s="36"/>
      <c r="N36" s="35">
        <f t="shared" si="4"/>
        <v>1.7836359812101241</v>
      </c>
      <c r="O36" s="37">
        <v>14263</v>
      </c>
      <c r="P36" s="38">
        <v>25440</v>
      </c>
      <c r="Q36" s="38">
        <v>20264</v>
      </c>
      <c r="R36" s="38">
        <v>4680</v>
      </c>
      <c r="S36" s="39"/>
      <c r="T36" s="40">
        <v>52.928400000000003</v>
      </c>
      <c r="U36" s="40">
        <v>57.167000000000002</v>
      </c>
      <c r="V36" s="40">
        <v>18.430199999999999</v>
      </c>
      <c r="W36" s="40">
        <v>33.0045</v>
      </c>
      <c r="X36" s="40">
        <v>34.933599999999998</v>
      </c>
      <c r="Y36" s="41"/>
      <c r="Z36" s="42"/>
      <c r="AA36" s="42"/>
      <c r="AC36" s="34" t="str">
        <f t="shared" si="5"/>
        <v>·</v>
      </c>
      <c r="AD36" s="35">
        <f t="shared" si="6"/>
        <v>2.6277857357755157E-3</v>
      </c>
      <c r="AE36" s="35">
        <f t="shared" si="7"/>
        <v>2.2748398047571362E-3</v>
      </c>
      <c r="AF36" s="35">
        <f t="shared" si="8"/>
        <v>2.9816297480433055E-4</v>
      </c>
      <c r="AG36" s="36"/>
      <c r="AH36" s="35">
        <f t="shared" si="9"/>
        <v>1.6411694594405104</v>
      </c>
      <c r="AI36" s="37">
        <v>14263</v>
      </c>
      <c r="AJ36" s="38">
        <v>23408</v>
      </c>
      <c r="AK36" s="38">
        <v>20264</v>
      </c>
      <c r="AL36" s="38">
        <v>2656</v>
      </c>
      <c r="AM36" s="39"/>
      <c r="AN36" s="40">
        <v>52.928400000000003</v>
      </c>
      <c r="AO36" s="40">
        <v>57.167000000000002</v>
      </c>
      <c r="AP36" s="40">
        <v>17.990200000000002</v>
      </c>
      <c r="AQ36" s="40">
        <v>31.8461</v>
      </c>
      <c r="AR36" s="40">
        <v>33.438400000000001</v>
      </c>
      <c r="AS36" s="41"/>
      <c r="AT36" s="42"/>
      <c r="AU36" s="42"/>
      <c r="AW36" s="43">
        <f t="shared" si="10"/>
        <v>6.9146064131168417E-2</v>
      </c>
      <c r="AX36" s="43"/>
      <c r="AZ36" s="44"/>
      <c r="BA36" s="44"/>
      <c r="BB36" s="44"/>
      <c r="BC36" s="44"/>
      <c r="BD36" s="44"/>
      <c r="BE36" s="45"/>
      <c r="BG36" s="44"/>
      <c r="BH36" s="44"/>
      <c r="BI36" s="44"/>
      <c r="BJ36" s="44"/>
      <c r="BK36" s="44"/>
      <c r="BL36" s="45"/>
    </row>
    <row r="37" spans="1:64" outlineLevel="1" x14ac:dyDescent="0.15">
      <c r="A37" s="16"/>
      <c r="B37" s="16" t="s">
        <v>245</v>
      </c>
      <c r="C37" s="17" t="s">
        <v>227</v>
      </c>
      <c r="D37" s="16">
        <v>8907880</v>
      </c>
      <c r="E37" s="18">
        <v>14</v>
      </c>
      <c r="F37" s="17">
        <v>1</v>
      </c>
      <c r="G37" s="17"/>
      <c r="I37" s="19" t="str">
        <f t="shared" si="0"/>
        <v>·</v>
      </c>
      <c r="J37" s="20">
        <f t="shared" si="1"/>
        <v>1.3123661297637597E-2</v>
      </c>
      <c r="K37" s="20">
        <f t="shared" si="2"/>
        <v>8.56859320062686E-3</v>
      </c>
      <c r="L37" s="20">
        <f t="shared" si="3"/>
        <v>4.4984889782978665E-3</v>
      </c>
      <c r="M37" s="21"/>
      <c r="N37" s="20">
        <f t="shared" si="4"/>
        <v>2.0613263272970923</v>
      </c>
      <c r="O37" s="22">
        <v>56713</v>
      </c>
      <c r="P37" s="23">
        <v>116904</v>
      </c>
      <c r="Q37" s="23">
        <v>76328</v>
      </c>
      <c r="R37" s="23">
        <v>40072</v>
      </c>
      <c r="S37" s="24"/>
      <c r="T37" s="25">
        <v>58.9572</v>
      </c>
      <c r="U37" s="25">
        <v>63.057899999999997</v>
      </c>
      <c r="V37" s="25">
        <v>20.9421</v>
      </c>
      <c r="W37" s="25">
        <v>35.495899999999999</v>
      </c>
      <c r="X37" s="25">
        <v>37.263599999999997</v>
      </c>
      <c r="Y37" s="26"/>
      <c r="Z37" s="27"/>
      <c r="AA37" s="27"/>
      <c r="AC37" s="19" t="str">
        <f t="shared" si="5"/>
        <v>·</v>
      </c>
      <c r="AD37" s="20">
        <f t="shared" si="6"/>
        <v>1.1779233667269878E-2</v>
      </c>
      <c r="AE37" s="20">
        <f t="shared" si="7"/>
        <v>8.56859320062686E-3</v>
      </c>
      <c r="AF37" s="20">
        <f t="shared" si="8"/>
        <v>3.1549594291795579E-3</v>
      </c>
      <c r="AG37" s="21"/>
      <c r="AH37" s="20">
        <f t="shared" si="9"/>
        <v>1.8501578121418369</v>
      </c>
      <c r="AI37" s="22">
        <v>56713</v>
      </c>
      <c r="AJ37" s="23">
        <v>104928</v>
      </c>
      <c r="AK37" s="23">
        <v>76328</v>
      </c>
      <c r="AL37" s="23">
        <v>28104</v>
      </c>
      <c r="AM37" s="24"/>
      <c r="AN37" s="25">
        <v>58.9572</v>
      </c>
      <c r="AO37" s="25">
        <v>63.057899999999997</v>
      </c>
      <c r="AP37" s="25">
        <v>20.825500000000002</v>
      </c>
      <c r="AQ37" s="25">
        <v>34.457599999999999</v>
      </c>
      <c r="AR37" s="25">
        <v>35.916800000000002</v>
      </c>
      <c r="AS37" s="26"/>
      <c r="AT37" s="27"/>
      <c r="AU37" s="27"/>
      <c r="AW37" s="28">
        <f t="shared" si="10"/>
        <v>7.4520353075182899E-2</v>
      </c>
      <c r="AX37" s="28"/>
      <c r="AZ37" s="29"/>
      <c r="BA37" s="29"/>
      <c r="BB37" s="29"/>
      <c r="BC37" s="29"/>
      <c r="BD37" s="29"/>
      <c r="BE37" s="30"/>
      <c r="BG37" s="29"/>
      <c r="BH37" s="29"/>
      <c r="BI37" s="29"/>
      <c r="BJ37" s="29"/>
      <c r="BK37" s="29"/>
      <c r="BL37" s="30"/>
    </row>
    <row r="38" spans="1:64" outlineLevel="1" x14ac:dyDescent="0.15">
      <c r="A38" s="31"/>
      <c r="B38" s="31" t="s">
        <v>245</v>
      </c>
      <c r="C38" s="32" t="s">
        <v>228</v>
      </c>
      <c r="D38" s="31">
        <v>8907880</v>
      </c>
      <c r="E38" s="33">
        <v>14</v>
      </c>
      <c r="F38" s="32">
        <v>1</v>
      </c>
      <c r="G38" s="32"/>
      <c r="I38" s="34" t="str">
        <f t="shared" si="0"/>
        <v>·</v>
      </c>
      <c r="J38" s="35">
        <f t="shared" si="1"/>
        <v>0.2473351684126863</v>
      </c>
      <c r="K38" s="35">
        <f t="shared" si="2"/>
        <v>0.14707607197223133</v>
      </c>
      <c r="L38" s="35">
        <f t="shared" si="3"/>
        <v>0.1002025173217421</v>
      </c>
      <c r="M38" s="36"/>
      <c r="N38" s="35">
        <f t="shared" si="4"/>
        <v>2.6497778654396149</v>
      </c>
      <c r="O38" s="37">
        <v>831478</v>
      </c>
      <c r="P38" s="38">
        <v>2203232</v>
      </c>
      <c r="Q38" s="38">
        <v>1310136</v>
      </c>
      <c r="R38" s="38">
        <v>892592</v>
      </c>
      <c r="S38" s="39"/>
      <c r="T38" s="40">
        <v>70.963800000000006</v>
      </c>
      <c r="U38" s="40">
        <v>75.284599999999998</v>
      </c>
      <c r="V38" s="40">
        <v>25.025300000000001</v>
      </c>
      <c r="W38" s="40">
        <v>39.917000000000002</v>
      </c>
      <c r="X38" s="40">
        <v>41.3904</v>
      </c>
      <c r="Y38" s="41"/>
      <c r="Z38" s="42"/>
      <c r="AA38" s="42"/>
      <c r="AC38" s="34" t="str">
        <f t="shared" si="5"/>
        <v>·</v>
      </c>
      <c r="AD38" s="35">
        <f t="shared" si="6"/>
        <v>0.22000116750562423</v>
      </c>
      <c r="AE38" s="35">
        <f t="shared" si="7"/>
        <v>0.14707607197223133</v>
      </c>
      <c r="AF38" s="35">
        <f t="shared" si="8"/>
        <v>7.2869414495929444E-2</v>
      </c>
      <c r="AG38" s="36"/>
      <c r="AH38" s="35">
        <f t="shared" si="9"/>
        <v>2.35694029186581</v>
      </c>
      <c r="AI38" s="37">
        <v>831478</v>
      </c>
      <c r="AJ38" s="38">
        <v>1959744</v>
      </c>
      <c r="AK38" s="38">
        <v>1310136</v>
      </c>
      <c r="AL38" s="38">
        <v>649112</v>
      </c>
      <c r="AM38" s="39"/>
      <c r="AN38" s="40">
        <v>70.963800000000006</v>
      </c>
      <c r="AO38" s="40">
        <v>75.284599999999998</v>
      </c>
      <c r="AP38" s="40">
        <v>24.887499999999999</v>
      </c>
      <c r="AQ38" s="40">
        <v>38.901299999999999</v>
      </c>
      <c r="AR38" s="40">
        <v>40.326300000000003</v>
      </c>
      <c r="AS38" s="41"/>
      <c r="AT38" s="42"/>
      <c r="AU38" s="42"/>
      <c r="AW38" s="43">
        <f t="shared" si="10"/>
        <v>7.3881272786007424E-2</v>
      </c>
      <c r="AX38" s="43"/>
      <c r="AZ38" s="44"/>
      <c r="BA38" s="44"/>
      <c r="BB38" s="44"/>
      <c r="BC38" s="44"/>
      <c r="BD38" s="44"/>
      <c r="BE38" s="45"/>
      <c r="BG38" s="44"/>
      <c r="BH38" s="44"/>
      <c r="BI38" s="44"/>
      <c r="BJ38" s="44"/>
      <c r="BK38" s="44"/>
      <c r="BL38" s="45"/>
    </row>
    <row r="39" spans="1:64" outlineLevel="1" x14ac:dyDescent="0.15">
      <c r="A39" s="16"/>
      <c r="B39" s="16" t="s">
        <v>245</v>
      </c>
      <c r="C39" s="17" t="s">
        <v>229</v>
      </c>
      <c r="D39" s="16">
        <v>8907880</v>
      </c>
      <c r="E39" s="18">
        <v>14</v>
      </c>
      <c r="F39" s="17">
        <v>1</v>
      </c>
      <c r="G39" s="17"/>
      <c r="I39" s="19" t="str">
        <f t="shared" si="0"/>
        <v>·</v>
      </c>
      <c r="J39" s="20">
        <f t="shared" si="1"/>
        <v>1.1873972258270207</v>
      </c>
      <c r="K39" s="20">
        <f t="shared" si="2"/>
        <v>0.63978230510514289</v>
      </c>
      <c r="L39" s="20">
        <f t="shared" si="3"/>
        <v>0.54753948189692725</v>
      </c>
      <c r="M39" s="21"/>
      <c r="N39" s="20">
        <f t="shared" si="4"/>
        <v>3.8175533525609122</v>
      </c>
      <c r="O39" s="22">
        <v>2770673</v>
      </c>
      <c r="P39" s="23">
        <v>10577192</v>
      </c>
      <c r="Q39" s="23">
        <v>5699104</v>
      </c>
      <c r="R39" s="23">
        <v>4877416</v>
      </c>
      <c r="S39" s="24"/>
      <c r="T39" s="25">
        <v>76.884</v>
      </c>
      <c r="U39" s="25">
        <v>81.404799999999994</v>
      </c>
      <c r="V39" s="25">
        <v>28.511399999999998</v>
      </c>
      <c r="W39" s="25">
        <v>42.676900000000003</v>
      </c>
      <c r="X39" s="25">
        <v>43.6509</v>
      </c>
      <c r="Y39" s="26"/>
      <c r="Z39" s="27"/>
      <c r="AA39" s="27"/>
      <c r="AC39" s="19" t="str">
        <f t="shared" si="5"/>
        <v>·</v>
      </c>
      <c r="AD39" s="20">
        <f t="shared" si="6"/>
        <v>1.0710121824721484</v>
      </c>
      <c r="AE39" s="20">
        <f t="shared" si="7"/>
        <v>0.63978230510514289</v>
      </c>
      <c r="AF39" s="20">
        <f t="shared" si="8"/>
        <v>0.4311553366233043</v>
      </c>
      <c r="AG39" s="21"/>
      <c r="AH39" s="20">
        <f t="shared" si="9"/>
        <v>3.4433684523579648</v>
      </c>
      <c r="AI39" s="22">
        <v>2770673</v>
      </c>
      <c r="AJ39" s="23">
        <v>9540448</v>
      </c>
      <c r="AK39" s="23">
        <v>5699104</v>
      </c>
      <c r="AL39" s="23">
        <v>3840680</v>
      </c>
      <c r="AM39" s="24"/>
      <c r="AN39" s="25">
        <v>76.884</v>
      </c>
      <c r="AO39" s="25">
        <v>81.404799999999994</v>
      </c>
      <c r="AP39" s="25">
        <v>28.389600000000002</v>
      </c>
      <c r="AQ39" s="25">
        <v>41.7455</v>
      </c>
      <c r="AR39" s="25">
        <v>42.807099999999998</v>
      </c>
      <c r="AS39" s="26"/>
      <c r="AT39" s="27"/>
      <c r="AU39" s="27"/>
      <c r="AW39" s="28">
        <f t="shared" si="10"/>
        <v>5.8551625484741132E-2</v>
      </c>
      <c r="AX39" s="28"/>
      <c r="AZ39" s="29"/>
      <c r="BA39" s="29"/>
      <c r="BB39" s="29"/>
      <c r="BC39" s="29"/>
      <c r="BD39" s="29"/>
      <c r="BE39" s="30"/>
      <c r="BG39" s="29"/>
      <c r="BH39" s="29"/>
      <c r="BI39" s="29"/>
      <c r="BJ39" s="29"/>
      <c r="BK39" s="29"/>
      <c r="BL39" s="30"/>
    </row>
    <row r="40" spans="1:64" outlineLevel="1" x14ac:dyDescent="0.15">
      <c r="A40" s="31"/>
      <c r="B40" s="46" t="s">
        <v>245</v>
      </c>
      <c r="C40" s="47" t="s">
        <v>230</v>
      </c>
      <c r="D40" s="46">
        <v>8907880</v>
      </c>
      <c r="E40" s="48">
        <v>14</v>
      </c>
      <c r="F40" s="47">
        <v>1</v>
      </c>
      <c r="G40" s="47"/>
      <c r="I40" s="49" t="str">
        <f t="shared" si="0"/>
        <v>·</v>
      </c>
      <c r="J40" s="50">
        <f t="shared" si="1"/>
        <v>4.3680354921709768</v>
      </c>
      <c r="K40" s="50">
        <f t="shared" si="2"/>
        <v>2.388550362151264</v>
      </c>
      <c r="L40" s="50">
        <f t="shared" si="3"/>
        <v>1.9793558063197978</v>
      </c>
      <c r="M40" s="51"/>
      <c r="N40" s="50">
        <f t="shared" si="4"/>
        <v>5.6929192462978042</v>
      </c>
      <c r="O40" s="52">
        <v>6834795</v>
      </c>
      <c r="P40" s="53">
        <v>38909936</v>
      </c>
      <c r="Q40" s="53">
        <v>21276920</v>
      </c>
      <c r="R40" s="53">
        <v>17631864</v>
      </c>
      <c r="S40" s="54"/>
      <c r="T40" s="55">
        <v>82.526899999999998</v>
      </c>
      <c r="U40" s="55">
        <v>87.084299999999999</v>
      </c>
      <c r="V40" s="55">
        <v>32.718299999999999</v>
      </c>
      <c r="W40" s="55">
        <v>45.541699999999999</v>
      </c>
      <c r="X40" s="55">
        <v>46.182600000000001</v>
      </c>
      <c r="Y40" s="56"/>
      <c r="Z40" s="57"/>
      <c r="AA40" s="57"/>
      <c r="AC40" s="49" t="str">
        <f t="shared" si="5"/>
        <v>·</v>
      </c>
      <c r="AD40" s="50">
        <f t="shared" si="6"/>
        <v>3.9342577582993932</v>
      </c>
      <c r="AE40" s="50">
        <f t="shared" si="7"/>
        <v>2.388550362151264</v>
      </c>
      <c r="AF40" s="50">
        <f t="shared" si="8"/>
        <v>1.5455789705294638</v>
      </c>
      <c r="AG40" s="51"/>
      <c r="AH40" s="50">
        <f t="shared" si="9"/>
        <v>5.1275709073937108</v>
      </c>
      <c r="AI40" s="52">
        <v>6834795</v>
      </c>
      <c r="AJ40" s="53">
        <v>35045896</v>
      </c>
      <c r="AK40" s="53">
        <v>21276920</v>
      </c>
      <c r="AL40" s="53">
        <v>13767832</v>
      </c>
      <c r="AM40" s="54"/>
      <c r="AN40" s="55">
        <v>82.526899999999998</v>
      </c>
      <c r="AO40" s="55">
        <v>87.084299999999999</v>
      </c>
      <c r="AP40" s="55">
        <v>32.516300000000001</v>
      </c>
      <c r="AQ40" s="55">
        <v>44.468600000000002</v>
      </c>
      <c r="AR40" s="55">
        <v>45.064599999999999</v>
      </c>
      <c r="AS40" s="56"/>
      <c r="AT40" s="57"/>
      <c r="AU40" s="57"/>
      <c r="AW40" s="58">
        <f t="shared" si="10"/>
        <v>6.0291028132519298E-2</v>
      </c>
      <c r="AX40" s="58"/>
      <c r="AZ40" s="59"/>
      <c r="BA40" s="59"/>
      <c r="BB40" s="59"/>
      <c r="BC40" s="59"/>
      <c r="BD40" s="59"/>
      <c r="BE40" s="60"/>
      <c r="BG40" s="59"/>
      <c r="BH40" s="59"/>
      <c r="BI40" s="59"/>
      <c r="BJ40" s="59"/>
      <c r="BK40" s="59"/>
      <c r="BL40" s="60"/>
    </row>
    <row r="41" spans="1:64" collapsed="1" x14ac:dyDescent="0.15">
      <c r="A41" s="16"/>
      <c r="B41" s="16" t="s">
        <v>248</v>
      </c>
      <c r="C41" s="17" t="s">
        <v>225</v>
      </c>
      <c r="D41" s="16">
        <v>4061755</v>
      </c>
      <c r="E41" s="18">
        <v>11</v>
      </c>
      <c r="F41" s="17">
        <v>1</v>
      </c>
      <c r="G41" s="17"/>
      <c r="I41" s="19" t="str">
        <f t="shared" si="0"/>
        <v>·</v>
      </c>
      <c r="J41" s="20">
        <f t="shared" si="1"/>
        <v>5.0244290953048625E-3</v>
      </c>
      <c r="K41" s="20">
        <f t="shared" si="2"/>
        <v>4.7112639733317245E-3</v>
      </c>
      <c r="L41" s="20">
        <f t="shared" si="3"/>
        <v>1.9105042032323467E-4</v>
      </c>
      <c r="M41" s="21"/>
      <c r="N41" s="20">
        <f t="shared" si="4"/>
        <v>1.2011064681301866</v>
      </c>
      <c r="O41" s="22">
        <v>16991</v>
      </c>
      <c r="P41" s="23">
        <v>20408</v>
      </c>
      <c r="Q41" s="23">
        <v>19136</v>
      </c>
      <c r="R41" s="23">
        <v>776</v>
      </c>
      <c r="S41" s="24"/>
      <c r="T41" s="25">
        <v>52.843000000000004</v>
      </c>
      <c r="U41" s="25">
        <v>56.052300000000002</v>
      </c>
      <c r="V41" s="25">
        <v>23.7759</v>
      </c>
      <c r="W41" s="25">
        <v>35.859099999999998</v>
      </c>
      <c r="X41" s="25">
        <v>39.118200000000002</v>
      </c>
      <c r="Y41" s="26"/>
      <c r="Z41" s="27"/>
      <c r="AA41" s="27"/>
      <c r="AC41" s="19" t="str">
        <f t="shared" si="5"/>
        <v>·</v>
      </c>
      <c r="AD41" s="20">
        <f t="shared" si="6"/>
        <v>4.9062535775791496E-3</v>
      </c>
      <c r="AE41" s="20">
        <f t="shared" si="7"/>
        <v>4.7112639733317245E-3</v>
      </c>
      <c r="AF41" s="20">
        <f t="shared" si="8"/>
        <v>7.4844494559617709E-5</v>
      </c>
      <c r="AG41" s="21"/>
      <c r="AH41" s="20">
        <f t="shared" si="9"/>
        <v>1.1728562179977635</v>
      </c>
      <c r="AI41" s="22">
        <v>16991</v>
      </c>
      <c r="AJ41" s="23">
        <v>19928</v>
      </c>
      <c r="AK41" s="23">
        <v>19136</v>
      </c>
      <c r="AL41" s="23">
        <v>304</v>
      </c>
      <c r="AM41" s="24"/>
      <c r="AN41" s="25">
        <v>52.843000000000004</v>
      </c>
      <c r="AO41" s="25">
        <v>56.052300000000002</v>
      </c>
      <c r="AP41" s="25">
        <v>23.135999999999999</v>
      </c>
      <c r="AQ41" s="25">
        <v>37.414200000000001</v>
      </c>
      <c r="AR41" s="25">
        <v>40.6068</v>
      </c>
      <c r="AS41" s="26"/>
      <c r="AT41" s="27"/>
      <c r="AU41" s="27"/>
      <c r="AW41" s="28">
        <f t="shared" si="10"/>
        <v>2.2585423557736184E-2</v>
      </c>
      <c r="AX41" s="28">
        <f t="array" ref="AX41">AVERAGE(AK41:AK46/AJ41:AJ46) - AVERAGE(Q41:Q46/P41:P46)</f>
        <v>6.3245463444703276E-2</v>
      </c>
      <c r="AZ41" s="29">
        <f>IF( OR(ISBLANK(Q41:Q46),ISBLANK(AK41:AK46), ISBLANK(T41:T46),ISBLANK(AN41:AN46)), "·", bdRateExtend( Q41:Q46,T41:T46, AK41:AK46,AN41:AN46))</f>
        <v>0</v>
      </c>
      <c r="BA41" s="29">
        <f>IF( OR(ISBLANK(Q41:Q46),ISBLANK(AK41:AK46), ISBLANK(U41:U46),ISBLANK(AO41:AO46)), "·", bdRateExtend( Q41:Q46,U41:U46, AK41:AK46,AO41:AO46))</f>
        <v>0</v>
      </c>
      <c r="BB41" s="29">
        <f>IF( OR(ISBLANK(R41:R46),ISBLANK(AL41:AL46), ISBLANK(V41:V46),ISBLANK(AP41:AP46)), "·", bdRateExtend( R41:R46,V41:V46, AL41:AL46,AP41:AP46))</f>
        <v>-0.10855941013743831</v>
      </c>
      <c r="BC41" s="29">
        <f>IF( OR(ISBLANK(R41:R46),ISBLANK(AL41:AL46), ISBLANK(W41:W46),ISBLANK(AQ41:AQ46)), "·", bdRateExtend( R41:R46,W41:W46, AL41:AL46,AQ41:AQ46))</f>
        <v>0.11503524544752386</v>
      </c>
      <c r="BD41" s="29">
        <f>IF( OR(ISBLANK(R41:R46),ISBLANK(AL41:AL46), ISBLANK(X41:X46),ISBLANK(AR41:AR46)), "·", bdRateExtend( R41:R46,X41:X46, AL41:AL46,AR41:AR46))</f>
        <v>0.23753640129524478</v>
      </c>
      <c r="BE41" s="30"/>
      <c r="BG41" s="29">
        <f>IF( OR(ISBLANK(P41:P46),ISBLANK(AJ41:AJ46), ISBLANK(T41:T46),ISBLANK(AN41:AN46)), "·", bdRateExtend( P41:P46,T41:T46, AJ41:AJ46,AN41:AN46))</f>
        <v>-7.9233907923796476E-2</v>
      </c>
      <c r="BH41" s="29">
        <f>IF( OR(ISBLANK(P41:P46),ISBLANK(AJ41:AJ46), ISBLANK(U41:U46),ISBLANK(AO41:AO46)), "·", bdRateExtend( P41:P46,U41:U46, AJ41:AJ46,AO41:AO46))</f>
        <v>-7.7818557183766179E-2</v>
      </c>
      <c r="BI41" s="29">
        <f>IF( OR(ISBLANK(P41:P46),ISBLANK(AJ41:AJ46), ISBLANK(V41:V46),ISBLANK(AP41:AP46)), "·", bdRateExtend( P41:P46,V41:V46, AJ41:AJ46,AP41:AP46))</f>
        <v>0.22731367353750098</v>
      </c>
      <c r="BJ41" s="29">
        <f>IF( OR(ISBLANK(P41:P46),ISBLANK(AJ41:AJ46), ISBLANK(W41:W46),ISBLANK(AQ41:AQ46)), "·", bdRateExtend( P41:P46,W41:W46, AJ41:AJ46,AQ41:AQ46))</f>
        <v>0.54131467921387189</v>
      </c>
      <c r="BK41" s="29">
        <f>IF( OR(ISBLANK(P41:P46),ISBLANK(AJ41:AJ46), ISBLANK(X41:X46),ISBLANK(AR41:AR46)), "·", bdRateExtend( P41:P46,X41:X46, AJ41:AJ46,AR41:AR46))</f>
        <v>0.6001185536355389</v>
      </c>
      <c r="BL41" s="30"/>
    </row>
    <row r="42" spans="1:64" outlineLevel="1" x14ac:dyDescent="0.15">
      <c r="A42" s="31"/>
      <c r="B42" s="31" t="s">
        <v>248</v>
      </c>
      <c r="C42" s="32" t="s">
        <v>226</v>
      </c>
      <c r="D42" s="31">
        <v>4061755</v>
      </c>
      <c r="E42" s="33">
        <v>11</v>
      </c>
      <c r="F42" s="32">
        <v>1</v>
      </c>
      <c r="G42" s="32"/>
      <c r="I42" s="34" t="str">
        <f t="shared" si="0"/>
        <v>·</v>
      </c>
      <c r="J42" s="35">
        <f t="shared" si="1"/>
        <v>1.8961261819090518E-2</v>
      </c>
      <c r="K42" s="35">
        <f t="shared" si="2"/>
        <v>1.7348166002134544E-2</v>
      </c>
      <c r="L42" s="35">
        <f t="shared" si="3"/>
        <v>1.4890115233439731E-3</v>
      </c>
      <c r="M42" s="36"/>
      <c r="N42" s="35">
        <f t="shared" si="4"/>
        <v>1.1331381405682168</v>
      </c>
      <c r="O42" s="37">
        <v>67967</v>
      </c>
      <c r="P42" s="38">
        <v>77016</v>
      </c>
      <c r="Q42" s="38">
        <v>70464</v>
      </c>
      <c r="R42" s="38">
        <v>6048</v>
      </c>
      <c r="S42" s="39"/>
      <c r="T42" s="40">
        <v>58.832900000000002</v>
      </c>
      <c r="U42" s="40">
        <v>62.447800000000001</v>
      </c>
      <c r="V42" s="40">
        <v>25.851299999999998</v>
      </c>
      <c r="W42" s="40">
        <v>39.771299999999997</v>
      </c>
      <c r="X42" s="40">
        <v>41.874899999999997</v>
      </c>
      <c r="Y42" s="41"/>
      <c r="Z42" s="42"/>
      <c r="AA42" s="42"/>
      <c r="AC42" s="34" t="str">
        <f t="shared" si="5"/>
        <v>·</v>
      </c>
      <c r="AD42" s="35">
        <f t="shared" si="6"/>
        <v>1.8041462372792055E-2</v>
      </c>
      <c r="AE42" s="35">
        <f t="shared" si="7"/>
        <v>1.7348166002134544E-2</v>
      </c>
      <c r="AF42" s="35">
        <f t="shared" si="8"/>
        <v>5.7118166900760878E-4</v>
      </c>
      <c r="AG42" s="36"/>
      <c r="AH42" s="35">
        <f t="shared" si="9"/>
        <v>1.0781702885223712</v>
      </c>
      <c r="AI42" s="37">
        <v>67967</v>
      </c>
      <c r="AJ42" s="38">
        <v>73280</v>
      </c>
      <c r="AK42" s="38">
        <v>70464</v>
      </c>
      <c r="AL42" s="38">
        <v>2320</v>
      </c>
      <c r="AM42" s="39"/>
      <c r="AN42" s="40">
        <v>58.832900000000002</v>
      </c>
      <c r="AO42" s="40">
        <v>62.447800000000001</v>
      </c>
      <c r="AP42" s="40">
        <v>24.991</v>
      </c>
      <c r="AQ42" s="40">
        <v>39.029200000000003</v>
      </c>
      <c r="AR42" s="40">
        <v>41.482300000000002</v>
      </c>
      <c r="AS42" s="41"/>
      <c r="AT42" s="42"/>
      <c r="AU42" s="42"/>
      <c r="AW42" s="43">
        <f t="shared" si="10"/>
        <v>4.6645283938050897E-2</v>
      </c>
      <c r="AX42" s="43"/>
      <c r="AZ42" s="44"/>
      <c r="BA42" s="44"/>
      <c r="BB42" s="44"/>
      <c r="BC42" s="44"/>
      <c r="BD42" s="44"/>
      <c r="BE42" s="45"/>
      <c r="BG42" s="44"/>
      <c r="BH42" s="44"/>
      <c r="BI42" s="44"/>
      <c r="BJ42" s="44"/>
      <c r="BK42" s="44"/>
      <c r="BL42" s="45"/>
    </row>
    <row r="43" spans="1:64" outlineLevel="1" x14ac:dyDescent="0.15">
      <c r="A43" s="16"/>
      <c r="B43" s="16" t="s">
        <v>248</v>
      </c>
      <c r="C43" s="17" t="s">
        <v>227</v>
      </c>
      <c r="D43" s="16">
        <v>4061755</v>
      </c>
      <c r="E43" s="18">
        <v>11</v>
      </c>
      <c r="F43" s="17">
        <v>1</v>
      </c>
      <c r="G43" s="17"/>
      <c r="I43" s="19" t="str">
        <f t="shared" si="0"/>
        <v>·</v>
      </c>
      <c r="J43" s="20">
        <f t="shared" si="1"/>
        <v>7.9502579549972863E-2</v>
      </c>
      <c r="K43" s="20">
        <f t="shared" si="2"/>
        <v>6.7123694068204509E-2</v>
      </c>
      <c r="L43" s="20">
        <f t="shared" si="3"/>
        <v>1.2254801188156351E-2</v>
      </c>
      <c r="M43" s="21"/>
      <c r="N43" s="20">
        <f t="shared" si="4"/>
        <v>1.1757509557618788</v>
      </c>
      <c r="O43" s="22">
        <v>274650</v>
      </c>
      <c r="P43" s="23">
        <v>322920</v>
      </c>
      <c r="Q43" s="23">
        <v>272640</v>
      </c>
      <c r="R43" s="23">
        <v>49776</v>
      </c>
      <c r="S43" s="24"/>
      <c r="T43" s="25">
        <v>64.460700000000003</v>
      </c>
      <c r="U43" s="25">
        <v>68.8125</v>
      </c>
      <c r="V43" s="25">
        <v>28.207599999999999</v>
      </c>
      <c r="W43" s="25">
        <v>41.879800000000003</v>
      </c>
      <c r="X43" s="25">
        <v>43.665999999999997</v>
      </c>
      <c r="Y43" s="26"/>
      <c r="Z43" s="27"/>
      <c r="AA43" s="27"/>
      <c r="AC43" s="19" t="str">
        <f t="shared" si="5"/>
        <v>·</v>
      </c>
      <c r="AD43" s="20">
        <f t="shared" si="6"/>
        <v>7.3603651623497718E-2</v>
      </c>
      <c r="AE43" s="20">
        <f t="shared" si="7"/>
        <v>6.7123694068204509E-2</v>
      </c>
      <c r="AF43" s="20">
        <f t="shared" si="8"/>
        <v>6.3578428536433139E-3</v>
      </c>
      <c r="AG43" s="21"/>
      <c r="AH43" s="20">
        <f t="shared" si="9"/>
        <v>1.0885126524667759</v>
      </c>
      <c r="AI43" s="22">
        <v>274650</v>
      </c>
      <c r="AJ43" s="23">
        <v>298960</v>
      </c>
      <c r="AK43" s="23">
        <v>272640</v>
      </c>
      <c r="AL43" s="23">
        <v>25824</v>
      </c>
      <c r="AM43" s="24"/>
      <c r="AN43" s="25">
        <v>64.460700000000003</v>
      </c>
      <c r="AO43" s="25">
        <v>68.8125</v>
      </c>
      <c r="AP43" s="25">
        <v>27.521599999999999</v>
      </c>
      <c r="AQ43" s="25">
        <v>40.956000000000003</v>
      </c>
      <c r="AR43" s="25">
        <v>42.854399999999998</v>
      </c>
      <c r="AS43" s="26"/>
      <c r="AT43" s="27"/>
      <c r="AU43" s="27"/>
      <c r="AW43" s="28">
        <f t="shared" si="10"/>
        <v>6.7665665599372038E-2</v>
      </c>
      <c r="AX43" s="28"/>
      <c r="AZ43" s="29"/>
      <c r="BA43" s="29"/>
      <c r="BB43" s="29"/>
      <c r="BC43" s="29"/>
      <c r="BD43" s="29"/>
      <c r="BE43" s="30"/>
      <c r="BG43" s="29"/>
      <c r="BH43" s="29"/>
      <c r="BI43" s="29"/>
      <c r="BJ43" s="29"/>
      <c r="BK43" s="29"/>
      <c r="BL43" s="30"/>
    </row>
    <row r="44" spans="1:64" outlineLevel="1" x14ac:dyDescent="0.15">
      <c r="A44" s="31"/>
      <c r="B44" s="31" t="s">
        <v>248</v>
      </c>
      <c r="C44" s="32" t="s">
        <v>228</v>
      </c>
      <c r="D44" s="31">
        <v>4061755</v>
      </c>
      <c r="E44" s="33">
        <v>11</v>
      </c>
      <c r="F44" s="32">
        <v>1</v>
      </c>
      <c r="G44" s="32"/>
      <c r="I44" s="34" t="str">
        <f t="shared" si="0"/>
        <v>·</v>
      </c>
      <c r="J44" s="35">
        <f t="shared" si="1"/>
        <v>0.37550664675737461</v>
      </c>
      <c r="K44" s="35">
        <f t="shared" si="2"/>
        <v>0.27242608182916006</v>
      </c>
      <c r="L44" s="35">
        <f t="shared" si="3"/>
        <v>0.10295648063460253</v>
      </c>
      <c r="M44" s="36"/>
      <c r="N44" s="35">
        <f t="shared" si="4"/>
        <v>1.4059337673135812</v>
      </c>
      <c r="O44" s="37">
        <v>1084842</v>
      </c>
      <c r="P44" s="38">
        <v>1525216</v>
      </c>
      <c r="Q44" s="38">
        <v>1106528</v>
      </c>
      <c r="R44" s="38">
        <v>418184</v>
      </c>
      <c r="S44" s="39"/>
      <c r="T44" s="40">
        <v>69.2333</v>
      </c>
      <c r="U44" s="40">
        <v>74.537999999999997</v>
      </c>
      <c r="V44" s="40">
        <v>30.897500000000001</v>
      </c>
      <c r="W44" s="40">
        <v>43.785800000000002</v>
      </c>
      <c r="X44" s="40">
        <v>45.6676</v>
      </c>
      <c r="Y44" s="41"/>
      <c r="Z44" s="42"/>
      <c r="AA44" s="42"/>
      <c r="AC44" s="34" t="str">
        <f t="shared" si="5"/>
        <v>·</v>
      </c>
      <c r="AD44" s="35">
        <f t="shared" si="6"/>
        <v>0.33375917552880469</v>
      </c>
      <c r="AE44" s="35">
        <f t="shared" si="7"/>
        <v>0.27242608182916006</v>
      </c>
      <c r="AF44" s="35">
        <f t="shared" si="8"/>
        <v>6.1210978997994707E-2</v>
      </c>
      <c r="AG44" s="36"/>
      <c r="AH44" s="35">
        <f t="shared" si="9"/>
        <v>1.2496271346426484</v>
      </c>
      <c r="AI44" s="37">
        <v>1084842</v>
      </c>
      <c r="AJ44" s="38">
        <v>1355648</v>
      </c>
      <c r="AK44" s="38">
        <v>1106528</v>
      </c>
      <c r="AL44" s="38">
        <v>248624</v>
      </c>
      <c r="AM44" s="39"/>
      <c r="AN44" s="40">
        <v>69.2333</v>
      </c>
      <c r="AO44" s="40">
        <v>74.537999999999997</v>
      </c>
      <c r="AP44" s="40">
        <v>30.298100000000002</v>
      </c>
      <c r="AQ44" s="40">
        <v>42.869300000000003</v>
      </c>
      <c r="AR44" s="40">
        <v>44.657299999999999</v>
      </c>
      <c r="AS44" s="41"/>
      <c r="AT44" s="42"/>
      <c r="AU44" s="42"/>
      <c r="AW44" s="43">
        <f t="shared" si="10"/>
        <v>9.0746109648791484E-2</v>
      </c>
      <c r="AX44" s="43"/>
      <c r="AZ44" s="44"/>
      <c r="BA44" s="44"/>
      <c r="BB44" s="44"/>
      <c r="BC44" s="44"/>
      <c r="BD44" s="44"/>
      <c r="BE44" s="45"/>
      <c r="BG44" s="44"/>
      <c r="BH44" s="44"/>
      <c r="BI44" s="44"/>
      <c r="BJ44" s="44"/>
      <c r="BK44" s="44"/>
      <c r="BL44" s="45"/>
    </row>
    <row r="45" spans="1:64" outlineLevel="1" x14ac:dyDescent="0.15">
      <c r="A45" s="16"/>
      <c r="B45" s="16" t="s">
        <v>248</v>
      </c>
      <c r="C45" s="17" t="s">
        <v>229</v>
      </c>
      <c r="D45" s="16">
        <v>4061755</v>
      </c>
      <c r="E45" s="18">
        <v>11</v>
      </c>
      <c r="F45" s="17">
        <v>1</v>
      </c>
      <c r="G45" s="17"/>
      <c r="I45" s="19" t="str">
        <f t="shared" si="0"/>
        <v>·</v>
      </c>
      <c r="J45" s="20">
        <f t="shared" si="1"/>
        <v>1.1748793317174473</v>
      </c>
      <c r="K45" s="20">
        <f t="shared" si="2"/>
        <v>0.66423110207287239</v>
      </c>
      <c r="L45" s="20">
        <f t="shared" si="3"/>
        <v>0.510445361672479</v>
      </c>
      <c r="M45" s="21"/>
      <c r="N45" s="20">
        <f t="shared" si="4"/>
        <v>2.0218253858971758</v>
      </c>
      <c r="O45" s="22">
        <v>2360279</v>
      </c>
      <c r="P45" s="23">
        <v>4772072</v>
      </c>
      <c r="Q45" s="23">
        <v>2697944</v>
      </c>
      <c r="R45" s="23">
        <v>2073304</v>
      </c>
      <c r="S45" s="24"/>
      <c r="T45" s="25">
        <v>74.003100000000003</v>
      </c>
      <c r="U45" s="25">
        <v>79.075400000000002</v>
      </c>
      <c r="V45" s="25">
        <v>33.607100000000003</v>
      </c>
      <c r="W45" s="25">
        <v>45.418399999999998</v>
      </c>
      <c r="X45" s="25">
        <v>47.236600000000003</v>
      </c>
      <c r="Y45" s="26"/>
      <c r="Z45" s="27"/>
      <c r="AA45" s="27"/>
      <c r="AC45" s="19" t="str">
        <f t="shared" si="5"/>
        <v>·</v>
      </c>
      <c r="AD45" s="20">
        <f t="shared" si="6"/>
        <v>1.0268349518865614</v>
      </c>
      <c r="AE45" s="20">
        <f t="shared" si="7"/>
        <v>0.66423110207287239</v>
      </c>
      <c r="AF45" s="20">
        <f t="shared" si="8"/>
        <v>0.36240295143355522</v>
      </c>
      <c r="AG45" s="21"/>
      <c r="AH45" s="20">
        <f t="shared" si="9"/>
        <v>1.7670588943086813</v>
      </c>
      <c r="AI45" s="22">
        <v>2360279</v>
      </c>
      <c r="AJ45" s="23">
        <v>4170752</v>
      </c>
      <c r="AK45" s="23">
        <v>2697944</v>
      </c>
      <c r="AL45" s="23">
        <v>1471992</v>
      </c>
      <c r="AM45" s="24"/>
      <c r="AN45" s="25">
        <v>74.003100000000003</v>
      </c>
      <c r="AO45" s="25">
        <v>79.075400000000002</v>
      </c>
      <c r="AP45" s="25">
        <v>33.192700000000002</v>
      </c>
      <c r="AQ45" s="25">
        <v>44.448</v>
      </c>
      <c r="AR45" s="25">
        <v>46.212200000000003</v>
      </c>
      <c r="AS45" s="26"/>
      <c r="AT45" s="27"/>
      <c r="AU45" s="27"/>
      <c r="AW45" s="28">
        <f t="shared" si="10"/>
        <v>8.1511188480619112E-2</v>
      </c>
      <c r="AX45" s="28"/>
      <c r="AZ45" s="29"/>
      <c r="BA45" s="29"/>
      <c r="BB45" s="29"/>
      <c r="BC45" s="29"/>
      <c r="BD45" s="29"/>
      <c r="BE45" s="30"/>
      <c r="BG45" s="29"/>
      <c r="BH45" s="29"/>
      <c r="BI45" s="29"/>
      <c r="BJ45" s="29"/>
      <c r="BK45" s="29"/>
      <c r="BL45" s="30"/>
    </row>
    <row r="46" spans="1:64" outlineLevel="1" x14ac:dyDescent="0.15">
      <c r="A46" s="31"/>
      <c r="B46" s="46" t="s">
        <v>248</v>
      </c>
      <c r="C46" s="47" t="s">
        <v>230</v>
      </c>
      <c r="D46" s="46">
        <v>4061755</v>
      </c>
      <c r="E46" s="48">
        <v>11</v>
      </c>
      <c r="F46" s="47">
        <v>1</v>
      </c>
      <c r="G46" s="47"/>
      <c r="I46" s="49" t="str">
        <f t="shared" si="0"/>
        <v>·</v>
      </c>
      <c r="J46" s="50">
        <f t="shared" si="1"/>
        <v>2.3058761545194133</v>
      </c>
      <c r="K46" s="50">
        <f t="shared" si="2"/>
        <v>0.90762933756467334</v>
      </c>
      <c r="L46" s="50">
        <f t="shared" si="3"/>
        <v>1.3980439489826442</v>
      </c>
      <c r="M46" s="51"/>
      <c r="N46" s="50">
        <f t="shared" si="4"/>
        <v>2.9638599053934827</v>
      </c>
      <c r="O46" s="52">
        <v>3160036</v>
      </c>
      <c r="P46" s="53">
        <v>9365904</v>
      </c>
      <c r="Q46" s="53">
        <v>3686568</v>
      </c>
      <c r="R46" s="53">
        <v>5678512</v>
      </c>
      <c r="S46" s="54"/>
      <c r="T46" s="55">
        <v>75.734800000000007</v>
      </c>
      <c r="U46" s="55">
        <v>80.677000000000007</v>
      </c>
      <c r="V46" s="55">
        <v>36.680700000000002</v>
      </c>
      <c r="W46" s="55">
        <v>46.830800000000004</v>
      </c>
      <c r="X46" s="55">
        <v>48.5319</v>
      </c>
      <c r="Y46" s="56"/>
      <c r="Z46" s="57"/>
      <c r="AA46" s="57"/>
      <c r="AC46" s="49" t="str">
        <f t="shared" si="5"/>
        <v>·</v>
      </c>
      <c r="AD46" s="50">
        <f t="shared" si="6"/>
        <v>1.9563720608456197</v>
      </c>
      <c r="AE46" s="50">
        <f t="shared" si="7"/>
        <v>0.90762933756467334</v>
      </c>
      <c r="AF46" s="50">
        <f t="shared" si="8"/>
        <v>1.0485418249008125</v>
      </c>
      <c r="AG46" s="51"/>
      <c r="AH46" s="50">
        <f t="shared" si="9"/>
        <v>2.514624516935883</v>
      </c>
      <c r="AI46" s="52">
        <v>3160036</v>
      </c>
      <c r="AJ46" s="53">
        <v>7946304</v>
      </c>
      <c r="AK46" s="53">
        <v>3686568</v>
      </c>
      <c r="AL46" s="53">
        <v>4258920</v>
      </c>
      <c r="AM46" s="54"/>
      <c r="AN46" s="55">
        <v>75.734800000000007</v>
      </c>
      <c r="AO46" s="55">
        <v>80.677000000000007</v>
      </c>
      <c r="AP46" s="55">
        <v>36.196800000000003</v>
      </c>
      <c r="AQ46" s="55">
        <v>45.833399999999997</v>
      </c>
      <c r="AR46" s="55">
        <v>47.5015</v>
      </c>
      <c r="AS46" s="56"/>
      <c r="AT46" s="57"/>
      <c r="AU46" s="57"/>
      <c r="AW46" s="58">
        <f t="shared" si="10"/>
        <v>7.0319109443650052E-2</v>
      </c>
      <c r="AX46" s="58"/>
      <c r="AZ46" s="59"/>
      <c r="BA46" s="59"/>
      <c r="BB46" s="59"/>
      <c r="BC46" s="59"/>
      <c r="BD46" s="59"/>
      <c r="BE46" s="60"/>
      <c r="BG46" s="59"/>
      <c r="BH46" s="59"/>
      <c r="BI46" s="59"/>
      <c r="BJ46" s="59"/>
      <c r="BK46" s="59"/>
      <c r="BL46" s="60"/>
    </row>
    <row r="47" spans="1:64" collapsed="1" x14ac:dyDescent="0.15">
      <c r="A47" s="16"/>
      <c r="B47" s="16" t="s">
        <v>251</v>
      </c>
      <c r="C47" s="17" t="s">
        <v>225</v>
      </c>
      <c r="D47" s="16">
        <v>3614251</v>
      </c>
      <c r="E47" s="18">
        <v>12</v>
      </c>
      <c r="F47" s="17">
        <v>1</v>
      </c>
      <c r="G47" s="17"/>
      <c r="I47" s="19" t="str">
        <f t="shared" si="0"/>
        <v>·</v>
      </c>
      <c r="J47" s="20">
        <f t="shared" si="1"/>
        <v>1.5193189404941715E-2</v>
      </c>
      <c r="K47" s="20">
        <f t="shared" si="2"/>
        <v>1.4414051486739576E-2</v>
      </c>
      <c r="L47" s="20">
        <f t="shared" si="3"/>
        <v>6.4190339851880789E-4</v>
      </c>
      <c r="M47" s="21"/>
      <c r="N47" s="20">
        <f t="shared" si="4"/>
        <v>1.6471294018837364</v>
      </c>
      <c r="O47" s="22">
        <v>33338</v>
      </c>
      <c r="P47" s="23">
        <v>54912</v>
      </c>
      <c r="Q47" s="23">
        <v>52096</v>
      </c>
      <c r="R47" s="23">
        <v>2320</v>
      </c>
      <c r="S47" s="24"/>
      <c r="T47" s="25">
        <v>52.930599999999998</v>
      </c>
      <c r="U47" s="25">
        <v>55.7776</v>
      </c>
      <c r="V47" s="25">
        <v>22.598400000000002</v>
      </c>
      <c r="W47" s="25">
        <v>37.507100000000001</v>
      </c>
      <c r="X47" s="25">
        <v>42.7669</v>
      </c>
      <c r="Y47" s="26"/>
      <c r="Z47" s="27"/>
      <c r="AA47" s="27"/>
      <c r="AC47" s="19" t="str">
        <f t="shared" si="5"/>
        <v>·</v>
      </c>
      <c r="AD47" s="20">
        <f t="shared" si="6"/>
        <v>1.4832395425774247E-2</v>
      </c>
      <c r="AE47" s="20">
        <f t="shared" si="7"/>
        <v>1.4414051486739576E-2</v>
      </c>
      <c r="AF47" s="20">
        <f t="shared" si="8"/>
        <v>2.8332287934623246E-4</v>
      </c>
      <c r="AG47" s="21"/>
      <c r="AH47" s="20">
        <f t="shared" si="9"/>
        <v>1.6080148779170915</v>
      </c>
      <c r="AI47" s="22">
        <v>33338</v>
      </c>
      <c r="AJ47" s="23">
        <v>53608</v>
      </c>
      <c r="AK47" s="23">
        <v>52096</v>
      </c>
      <c r="AL47" s="23">
        <v>1024</v>
      </c>
      <c r="AM47" s="24"/>
      <c r="AN47" s="25">
        <v>52.930599999999998</v>
      </c>
      <c r="AO47" s="25">
        <v>55.7776</v>
      </c>
      <c r="AP47" s="25">
        <v>21.440300000000001</v>
      </c>
      <c r="AQ47" s="25">
        <v>38.976799999999997</v>
      </c>
      <c r="AR47" s="25">
        <v>41.666899999999998</v>
      </c>
      <c r="AS47" s="26"/>
      <c r="AT47" s="27"/>
      <c r="AU47" s="27"/>
      <c r="AW47" s="28">
        <f t="shared" si="10"/>
        <v>2.3077305721687202E-2</v>
      </c>
      <c r="AX47" s="28">
        <f t="array" ref="AX47">AVERAGE(AK47:AK52/AJ47:AJ52) - AVERAGE(Q47:Q52/P47:P52)</f>
        <v>4.4398944136724294E-2</v>
      </c>
      <c r="AZ47" s="29">
        <f>IF( OR(ISBLANK(Q47:Q52),ISBLANK(AK47:AK52), ISBLANK(T47:T52),ISBLANK(AN47:AN52)), "·", bdRateExtend( Q47:Q52,T47:T52, AK47:AK52,AN47:AN52))</f>
        <v>0</v>
      </c>
      <c r="BA47" s="29">
        <f>IF( OR(ISBLANK(Q47:Q52),ISBLANK(AK47:AK52), ISBLANK(U47:U52),ISBLANK(AO47:AO52)), "·", bdRateExtend( Q47:Q52,U47:U52, AK47:AK52,AO47:AO52))</f>
        <v>0</v>
      </c>
      <c r="BB47" s="29">
        <f>IF( OR(ISBLANK(R47:R52),ISBLANK(AL47:AL52), ISBLANK(V47:V52),ISBLANK(AP47:AP52)), "·", bdRateExtend( R47:R52,V47:V52, AL47:AL52,AP47:AP52))</f>
        <v>-7.20063561724964E-2</v>
      </c>
      <c r="BC47" s="29">
        <f>IF( OR(ISBLANK(R47:R52),ISBLANK(AL47:AL52), ISBLANK(W47:W52),ISBLANK(AQ47:AQ52)), "·", bdRateExtend( R47:R52,W47:W52, AL47:AL52,AQ47:AQ52))</f>
        <v>0.14783069172100061</v>
      </c>
      <c r="BD47" s="29">
        <f>IF( OR(ISBLANK(R47:R52),ISBLANK(AL47:AL52), ISBLANK(X47:X52),ISBLANK(AR47:AR52)), "·", bdRateExtend( R47:R52,X47:X52, AL47:AL52,AR47:AR52))</f>
        <v>0.1800763838883721</v>
      </c>
      <c r="BE47" s="30"/>
      <c r="BG47" s="29">
        <f>IF( OR(ISBLANK(P47:P52),ISBLANK(AJ47:AJ52), ISBLANK(T47:T52),ISBLANK(AN47:AN52)), "·", bdRateExtend( P47:P52,T47:T52, AJ47:AJ52,AN47:AN52))</f>
        <v>-4.9853719969183752E-2</v>
      </c>
      <c r="BH47" s="29">
        <f>IF( OR(ISBLANK(P47:P52),ISBLANK(AJ47:AJ52), ISBLANK(U47:U52),ISBLANK(AO47:AO52)), "·", bdRateExtend( P47:P52,U47:U52, AJ47:AJ52,AO47:AO52))</f>
        <v>-4.9767130774787671E-2</v>
      </c>
      <c r="BI47" s="29">
        <f>IF( OR(ISBLANK(P47:P52),ISBLANK(AJ47:AJ52), ISBLANK(V47:V52),ISBLANK(AP47:AP52)), "·", bdRateExtend( P47:P52,V47:V52, AJ47:AJ52,AP47:AP52))</f>
        <v>0.31089129438733054</v>
      </c>
      <c r="BJ47" s="29">
        <f>IF( OR(ISBLANK(P47:P52),ISBLANK(AJ47:AJ52), ISBLANK(W47:W52),ISBLANK(AQ47:AQ52)), "·", bdRateExtend( P47:P52,W47:W52, AJ47:AJ52,AQ47:AQ52))</f>
        <v>0.67038859002966023</v>
      </c>
      <c r="BK47" s="29">
        <f>IF( OR(ISBLANK(P47:P52),ISBLANK(AJ47:AJ52), ISBLANK(X47:X52),ISBLANK(AR47:AR52)), "·", bdRateExtend( P47:P52,X47:X52, AJ47:AJ52,AR47:AR52))</f>
        <v>0.73633159701095874</v>
      </c>
      <c r="BL47" s="30"/>
    </row>
    <row r="48" spans="1:64" outlineLevel="1" x14ac:dyDescent="0.15">
      <c r="A48" s="31"/>
      <c r="B48" s="31" t="s">
        <v>251</v>
      </c>
      <c r="C48" s="32" t="s">
        <v>226</v>
      </c>
      <c r="D48" s="31">
        <v>3614251</v>
      </c>
      <c r="E48" s="33">
        <v>12</v>
      </c>
      <c r="F48" s="32">
        <v>1</v>
      </c>
      <c r="G48" s="32"/>
      <c r="I48" s="34" t="str">
        <f t="shared" si="0"/>
        <v>·</v>
      </c>
      <c r="J48" s="35">
        <f t="shared" si="1"/>
        <v>5.3149601397357298E-2</v>
      </c>
      <c r="K48" s="35">
        <f t="shared" si="2"/>
        <v>4.9087902306729665E-2</v>
      </c>
      <c r="L48" s="35">
        <f t="shared" si="3"/>
        <v>3.9222511109494058E-3</v>
      </c>
      <c r="M48" s="36"/>
      <c r="N48" s="35">
        <f t="shared" si="4"/>
        <v>1.5114720045321499</v>
      </c>
      <c r="O48" s="37">
        <v>127092</v>
      </c>
      <c r="P48" s="38">
        <v>192096</v>
      </c>
      <c r="Q48" s="38">
        <v>177416</v>
      </c>
      <c r="R48" s="38">
        <v>14176</v>
      </c>
      <c r="S48" s="39"/>
      <c r="T48" s="40">
        <v>58.917000000000002</v>
      </c>
      <c r="U48" s="40">
        <v>62.138199999999998</v>
      </c>
      <c r="V48" s="40">
        <v>25.707899999999999</v>
      </c>
      <c r="W48" s="40">
        <v>41.119700000000002</v>
      </c>
      <c r="X48" s="40">
        <v>45.043700000000001</v>
      </c>
      <c r="Y48" s="41"/>
      <c r="Z48" s="42"/>
      <c r="AA48" s="42"/>
      <c r="AC48" s="34" t="str">
        <f t="shared" si="5"/>
        <v>·</v>
      </c>
      <c r="AD48" s="35">
        <f t="shared" si="6"/>
        <v>5.121282390182641E-2</v>
      </c>
      <c r="AE48" s="35">
        <f t="shared" si="7"/>
        <v>4.9087902306729665E-2</v>
      </c>
      <c r="AF48" s="35">
        <f t="shared" si="8"/>
        <v>1.9876870754134122E-3</v>
      </c>
      <c r="AG48" s="36"/>
      <c r="AH48" s="35">
        <f t="shared" si="9"/>
        <v>1.4563937934724451</v>
      </c>
      <c r="AI48" s="37">
        <v>127092</v>
      </c>
      <c r="AJ48" s="38">
        <v>185096</v>
      </c>
      <c r="AK48" s="38">
        <v>177416</v>
      </c>
      <c r="AL48" s="38">
        <v>7184</v>
      </c>
      <c r="AM48" s="39"/>
      <c r="AN48" s="40">
        <v>58.917000000000002</v>
      </c>
      <c r="AO48" s="40">
        <v>62.138199999999998</v>
      </c>
      <c r="AP48" s="40">
        <v>24.454999999999998</v>
      </c>
      <c r="AQ48" s="40">
        <v>40.585999999999999</v>
      </c>
      <c r="AR48" s="40">
        <v>44.734699999999997</v>
      </c>
      <c r="AS48" s="41"/>
      <c r="AT48" s="42"/>
      <c r="AU48" s="42"/>
      <c r="AW48" s="43">
        <f t="shared" si="10"/>
        <v>3.4928140732906732E-2</v>
      </c>
      <c r="AX48" s="43"/>
      <c r="AZ48" s="44"/>
      <c r="BA48" s="44"/>
      <c r="BB48" s="44"/>
      <c r="BC48" s="44"/>
      <c r="BD48" s="44"/>
      <c r="BE48" s="45"/>
      <c r="BG48" s="44"/>
      <c r="BH48" s="44"/>
      <c r="BI48" s="44"/>
      <c r="BJ48" s="44"/>
      <c r="BK48" s="44"/>
      <c r="BL48" s="45"/>
    </row>
    <row r="49" spans="1:64" outlineLevel="1" x14ac:dyDescent="0.15">
      <c r="A49" s="16"/>
      <c r="B49" s="16" t="s">
        <v>251</v>
      </c>
      <c r="C49" s="17" t="s">
        <v>227</v>
      </c>
      <c r="D49" s="16">
        <v>3614251</v>
      </c>
      <c r="E49" s="18">
        <v>12</v>
      </c>
      <c r="F49" s="17">
        <v>1</v>
      </c>
      <c r="G49" s="17"/>
      <c r="I49" s="19" t="str">
        <f t="shared" si="0"/>
        <v>·</v>
      </c>
      <c r="J49" s="20">
        <f t="shared" si="1"/>
        <v>0.21109325279290231</v>
      </c>
      <c r="K49" s="20">
        <f t="shared" si="2"/>
        <v>0.18493900949325323</v>
      </c>
      <c r="L49" s="20">
        <f t="shared" si="3"/>
        <v>2.6014795319970859E-2</v>
      </c>
      <c r="M49" s="21"/>
      <c r="N49" s="20">
        <f t="shared" si="4"/>
        <v>1.6005907725357904</v>
      </c>
      <c r="O49" s="22">
        <v>476664</v>
      </c>
      <c r="P49" s="23">
        <v>762944</v>
      </c>
      <c r="Q49" s="23">
        <v>668416</v>
      </c>
      <c r="R49" s="23">
        <v>94024</v>
      </c>
      <c r="S49" s="24"/>
      <c r="T49" s="25">
        <v>64.839399999999998</v>
      </c>
      <c r="U49" s="25">
        <v>68.610100000000003</v>
      </c>
      <c r="V49" s="25">
        <v>28.589400000000001</v>
      </c>
      <c r="W49" s="25">
        <v>43.180500000000002</v>
      </c>
      <c r="X49" s="25">
        <v>46.608199999999997</v>
      </c>
      <c r="Y49" s="26"/>
      <c r="Z49" s="27"/>
      <c r="AA49" s="27"/>
      <c r="AC49" s="19" t="str">
        <f t="shared" si="5"/>
        <v>·</v>
      </c>
      <c r="AD49" s="20">
        <f t="shared" si="6"/>
        <v>0.19995069517861377</v>
      </c>
      <c r="AE49" s="20">
        <f t="shared" si="7"/>
        <v>0.18493900949325323</v>
      </c>
      <c r="AF49" s="20">
        <f t="shared" si="8"/>
        <v>1.4874451165677203E-2</v>
      </c>
      <c r="AG49" s="21"/>
      <c r="AH49" s="20">
        <f t="shared" si="9"/>
        <v>1.5161035865934915</v>
      </c>
      <c r="AI49" s="22">
        <v>476664</v>
      </c>
      <c r="AJ49" s="23">
        <v>722672</v>
      </c>
      <c r="AK49" s="23">
        <v>668416</v>
      </c>
      <c r="AL49" s="23">
        <v>53760</v>
      </c>
      <c r="AM49" s="24"/>
      <c r="AN49" s="25">
        <v>64.839399999999998</v>
      </c>
      <c r="AO49" s="25">
        <v>68.610100000000003</v>
      </c>
      <c r="AP49" s="25">
        <v>27.836600000000001</v>
      </c>
      <c r="AQ49" s="25">
        <v>42.2789</v>
      </c>
      <c r="AR49" s="25">
        <v>45.821100000000001</v>
      </c>
      <c r="AS49" s="26"/>
      <c r="AT49" s="27"/>
      <c r="AU49" s="27"/>
      <c r="AW49" s="28">
        <f t="shared" si="10"/>
        <v>4.8822065060023068E-2</v>
      </c>
      <c r="AX49" s="28"/>
      <c r="AZ49" s="29"/>
      <c r="BA49" s="29"/>
      <c r="BB49" s="29"/>
      <c r="BC49" s="29"/>
      <c r="BD49" s="29"/>
      <c r="BE49" s="30"/>
      <c r="BG49" s="29"/>
      <c r="BH49" s="29"/>
      <c r="BI49" s="29"/>
      <c r="BJ49" s="29"/>
      <c r="BK49" s="29"/>
      <c r="BL49" s="30"/>
    </row>
    <row r="50" spans="1:64" outlineLevel="1" x14ac:dyDescent="0.15">
      <c r="A50" s="31"/>
      <c r="B50" s="31" t="s">
        <v>251</v>
      </c>
      <c r="C50" s="32" t="s">
        <v>228</v>
      </c>
      <c r="D50" s="31">
        <v>3614251</v>
      </c>
      <c r="E50" s="33">
        <v>12</v>
      </c>
      <c r="F50" s="32">
        <v>1</v>
      </c>
      <c r="G50" s="32"/>
      <c r="I50" s="34" t="str">
        <f t="shared" si="0"/>
        <v>·</v>
      </c>
      <c r="J50" s="35">
        <f t="shared" si="1"/>
        <v>1.0005547484112198</v>
      </c>
      <c r="K50" s="35">
        <f t="shared" si="2"/>
        <v>0.83362887635640137</v>
      </c>
      <c r="L50" s="35">
        <f t="shared" si="3"/>
        <v>0.16672002027529356</v>
      </c>
      <c r="M50" s="36"/>
      <c r="N50" s="35">
        <f t="shared" si="4"/>
        <v>2.2879659360161462</v>
      </c>
      <c r="O50" s="37">
        <v>1580555</v>
      </c>
      <c r="P50" s="38">
        <v>3616256</v>
      </c>
      <c r="Q50" s="38">
        <v>3012944</v>
      </c>
      <c r="R50" s="38">
        <v>602568</v>
      </c>
      <c r="S50" s="39"/>
      <c r="T50" s="40">
        <v>70.487099999999998</v>
      </c>
      <c r="U50" s="40">
        <v>74.838899999999995</v>
      </c>
      <c r="V50" s="40">
        <v>31.443899999999999</v>
      </c>
      <c r="W50" s="40">
        <v>45.068199999999997</v>
      </c>
      <c r="X50" s="40">
        <v>47.851700000000001</v>
      </c>
      <c r="Y50" s="41"/>
      <c r="Z50" s="42"/>
      <c r="AA50" s="42"/>
      <c r="AC50" s="34" t="str">
        <f t="shared" si="5"/>
        <v>·</v>
      </c>
      <c r="AD50" s="35">
        <f t="shared" si="6"/>
        <v>0.93905154899313859</v>
      </c>
      <c r="AE50" s="35">
        <f t="shared" si="7"/>
        <v>0.83362887635640137</v>
      </c>
      <c r="AF50" s="35">
        <f t="shared" si="8"/>
        <v>0.10521903431720708</v>
      </c>
      <c r="AG50" s="36"/>
      <c r="AH50" s="35">
        <f t="shared" si="9"/>
        <v>2.1473267301675678</v>
      </c>
      <c r="AI50" s="37">
        <v>1580555</v>
      </c>
      <c r="AJ50" s="38">
        <v>3393968</v>
      </c>
      <c r="AK50" s="38">
        <v>3012944</v>
      </c>
      <c r="AL50" s="38">
        <v>380288</v>
      </c>
      <c r="AM50" s="39"/>
      <c r="AN50" s="40">
        <v>70.487099999999998</v>
      </c>
      <c r="AO50" s="40">
        <v>74.838899999999995</v>
      </c>
      <c r="AP50" s="40">
        <v>30.805499999999999</v>
      </c>
      <c r="AQ50" s="40">
        <v>43.992199999999997</v>
      </c>
      <c r="AR50" s="40">
        <v>47.07</v>
      </c>
      <c r="AS50" s="41"/>
      <c r="AT50" s="42"/>
      <c r="AU50" s="42"/>
      <c r="AW50" s="43">
        <f t="shared" si="10"/>
        <v>5.4568267768783207E-2</v>
      </c>
      <c r="AX50" s="43"/>
      <c r="AZ50" s="44"/>
      <c r="BA50" s="44"/>
      <c r="BB50" s="44"/>
      <c r="BC50" s="44"/>
      <c r="BD50" s="44"/>
      <c r="BE50" s="45"/>
      <c r="BG50" s="44"/>
      <c r="BH50" s="44"/>
      <c r="BI50" s="44"/>
      <c r="BJ50" s="44"/>
      <c r="BK50" s="44"/>
      <c r="BL50" s="45"/>
    </row>
    <row r="51" spans="1:64" outlineLevel="1" x14ac:dyDescent="0.15">
      <c r="A51" s="16"/>
      <c r="B51" s="16" t="s">
        <v>251</v>
      </c>
      <c r="C51" s="17" t="s">
        <v>229</v>
      </c>
      <c r="D51" s="16">
        <v>3614251</v>
      </c>
      <c r="E51" s="18">
        <v>12</v>
      </c>
      <c r="F51" s="17">
        <v>1</v>
      </c>
      <c r="G51" s="17"/>
      <c r="I51" s="19" t="str">
        <f t="shared" si="0"/>
        <v>·</v>
      </c>
      <c r="J51" s="20">
        <f t="shared" si="1"/>
        <v>3.8925376239779697</v>
      </c>
      <c r="K51" s="20">
        <f t="shared" si="2"/>
        <v>3.1691324149872271</v>
      </c>
      <c r="L51" s="20">
        <f t="shared" si="3"/>
        <v>0.72317500915127364</v>
      </c>
      <c r="M51" s="21"/>
      <c r="N51" s="20">
        <f t="shared" si="4"/>
        <v>4.2360409843642408</v>
      </c>
      <c r="O51" s="22">
        <v>3321169</v>
      </c>
      <c r="P51" s="23">
        <v>14068608</v>
      </c>
      <c r="Q51" s="23">
        <v>11454040</v>
      </c>
      <c r="R51" s="23">
        <v>2613736</v>
      </c>
      <c r="S51" s="24"/>
      <c r="T51" s="25">
        <v>75.255799999999994</v>
      </c>
      <c r="U51" s="25">
        <v>79.516800000000003</v>
      </c>
      <c r="V51" s="25">
        <v>34.736899999999999</v>
      </c>
      <c r="W51" s="25">
        <v>46.663699999999999</v>
      </c>
      <c r="X51" s="25">
        <v>48.840299999999999</v>
      </c>
      <c r="Y51" s="26"/>
      <c r="Z51" s="27"/>
      <c r="AA51" s="27"/>
      <c r="AC51" s="19" t="str">
        <f t="shared" si="5"/>
        <v>·</v>
      </c>
      <c r="AD51" s="20">
        <f t="shared" si="6"/>
        <v>3.6657885686411928</v>
      </c>
      <c r="AE51" s="20">
        <f t="shared" si="7"/>
        <v>3.1691324149872271</v>
      </c>
      <c r="AF51" s="20">
        <f t="shared" si="8"/>
        <v>0.49642816727449202</v>
      </c>
      <c r="AG51" s="21"/>
      <c r="AH51" s="20">
        <f t="shared" si="9"/>
        <v>3.9892820871205288</v>
      </c>
      <c r="AI51" s="22">
        <v>3321169</v>
      </c>
      <c r="AJ51" s="23">
        <v>13249080</v>
      </c>
      <c r="AK51" s="23">
        <v>11454040</v>
      </c>
      <c r="AL51" s="23">
        <v>1794216</v>
      </c>
      <c r="AM51" s="24"/>
      <c r="AN51" s="25">
        <v>75.255799999999994</v>
      </c>
      <c r="AO51" s="25">
        <v>79.516800000000003</v>
      </c>
      <c r="AP51" s="25">
        <v>34.055100000000003</v>
      </c>
      <c r="AQ51" s="25">
        <v>45.662100000000002</v>
      </c>
      <c r="AR51" s="25">
        <v>48.170999999999999</v>
      </c>
      <c r="AS51" s="26"/>
      <c r="AT51" s="27"/>
      <c r="AU51" s="27"/>
      <c r="AW51" s="28">
        <f t="shared" si="10"/>
        <v>5.0359990603081717E-2</v>
      </c>
      <c r="AX51" s="28"/>
      <c r="AZ51" s="29"/>
      <c r="BA51" s="29"/>
      <c r="BB51" s="29"/>
      <c r="BC51" s="29"/>
      <c r="BD51" s="29"/>
      <c r="BE51" s="30"/>
      <c r="BG51" s="29"/>
      <c r="BH51" s="29"/>
      <c r="BI51" s="29"/>
      <c r="BJ51" s="29"/>
      <c r="BK51" s="29"/>
      <c r="BL51" s="30"/>
    </row>
    <row r="52" spans="1:64" outlineLevel="1" x14ac:dyDescent="0.15">
      <c r="A52" s="31"/>
      <c r="B52" s="46" t="s">
        <v>251</v>
      </c>
      <c r="C52" s="47" t="s">
        <v>230</v>
      </c>
      <c r="D52" s="46">
        <v>3614251</v>
      </c>
      <c r="E52" s="48">
        <v>12</v>
      </c>
      <c r="F52" s="47">
        <v>1</v>
      </c>
      <c r="G52" s="47"/>
      <c r="I52" s="49" t="str">
        <f t="shared" si="0"/>
        <v>·</v>
      </c>
      <c r="J52" s="50">
        <f t="shared" si="1"/>
        <v>6.8822115564192972</v>
      </c>
      <c r="K52" s="50">
        <f t="shared" si="2"/>
        <v>5.2911433101906864</v>
      </c>
      <c r="L52" s="50">
        <f t="shared" si="3"/>
        <v>1.5908380463891412</v>
      </c>
      <c r="M52" s="51"/>
      <c r="N52" s="50">
        <f t="shared" si="4"/>
        <v>7.0878609534545358</v>
      </c>
      <c r="O52" s="52">
        <v>3509386</v>
      </c>
      <c r="P52" s="53">
        <v>24874040</v>
      </c>
      <c r="Q52" s="53">
        <v>19123520</v>
      </c>
      <c r="R52" s="53">
        <v>5749688</v>
      </c>
      <c r="S52" s="54"/>
      <c r="T52" s="55">
        <v>80.029600000000002</v>
      </c>
      <c r="U52" s="55">
        <v>84.587000000000003</v>
      </c>
      <c r="V52" s="55">
        <v>38.950000000000003</v>
      </c>
      <c r="W52" s="55">
        <v>47.8277</v>
      </c>
      <c r="X52" s="55">
        <v>49.569400000000002</v>
      </c>
      <c r="Y52" s="56"/>
      <c r="Z52" s="57"/>
      <c r="AA52" s="57"/>
      <c r="AC52" s="49" t="str">
        <f t="shared" si="5"/>
        <v>·</v>
      </c>
      <c r="AD52" s="50">
        <f t="shared" si="6"/>
        <v>6.4255614787130169</v>
      </c>
      <c r="AE52" s="50">
        <f t="shared" si="7"/>
        <v>5.2911433101906864</v>
      </c>
      <c r="AF52" s="50">
        <f t="shared" si="8"/>
        <v>1.1341901821428562</v>
      </c>
      <c r="AG52" s="51"/>
      <c r="AH52" s="50">
        <f t="shared" si="9"/>
        <v>6.617565579847871</v>
      </c>
      <c r="AI52" s="52">
        <v>3509386</v>
      </c>
      <c r="AJ52" s="53">
        <v>23223592</v>
      </c>
      <c r="AK52" s="53">
        <v>19123520</v>
      </c>
      <c r="AL52" s="53">
        <v>4099248</v>
      </c>
      <c r="AM52" s="54"/>
      <c r="AN52" s="55">
        <v>80.029600000000002</v>
      </c>
      <c r="AO52" s="55">
        <v>84.587000000000003</v>
      </c>
      <c r="AP52" s="55">
        <v>38.0426</v>
      </c>
      <c r="AQ52" s="55">
        <v>46.686999999999998</v>
      </c>
      <c r="AR52" s="55">
        <v>48.785499999999999</v>
      </c>
      <c r="AS52" s="56"/>
      <c r="AT52" s="57"/>
      <c r="AU52" s="57"/>
      <c r="AW52" s="58">
        <f t="shared" si="10"/>
        <v>5.4637894933863507E-2</v>
      </c>
      <c r="AX52" s="58"/>
      <c r="AZ52" s="59"/>
      <c r="BA52" s="59"/>
      <c r="BB52" s="59"/>
      <c r="BC52" s="59"/>
      <c r="BD52" s="59"/>
      <c r="BE52" s="60"/>
      <c r="BG52" s="59"/>
      <c r="BH52" s="59"/>
      <c r="BI52" s="59"/>
      <c r="BJ52" s="59"/>
      <c r="BK52" s="59"/>
      <c r="BL52" s="60"/>
    </row>
    <row r="53" spans="1:64" collapsed="1" x14ac:dyDescent="0.15">
      <c r="A53" s="16"/>
      <c r="B53" s="16" t="s">
        <v>254</v>
      </c>
      <c r="C53" s="17" t="s">
        <v>225</v>
      </c>
      <c r="D53" s="16">
        <v>13903516</v>
      </c>
      <c r="E53" s="18">
        <v>12</v>
      </c>
      <c r="F53" s="17">
        <v>1</v>
      </c>
      <c r="G53" s="17"/>
      <c r="I53" s="19" t="str">
        <f t="shared" si="0"/>
        <v>·</v>
      </c>
      <c r="J53" s="20">
        <f t="shared" si="1"/>
        <v>6.389175227330986E-3</v>
      </c>
      <c r="K53" s="20">
        <f t="shared" si="2"/>
        <v>6.0191968707771475E-3</v>
      </c>
      <c r="L53" s="20">
        <f t="shared" si="3"/>
        <v>3.3430392715051358E-4</v>
      </c>
      <c r="M53" s="21"/>
      <c r="N53" s="20">
        <f t="shared" si="4"/>
        <v>1.4529514712376714</v>
      </c>
      <c r="O53" s="22">
        <v>61139</v>
      </c>
      <c r="P53" s="23">
        <v>88832</v>
      </c>
      <c r="Q53" s="23">
        <v>83688</v>
      </c>
      <c r="R53" s="23">
        <v>4648</v>
      </c>
      <c r="S53" s="24"/>
      <c r="T53" s="25">
        <v>52.924500000000002</v>
      </c>
      <c r="U53" s="25">
        <v>55.653300000000002</v>
      </c>
      <c r="V53" s="25">
        <v>20.235299999999999</v>
      </c>
      <c r="W53" s="25">
        <v>34.709600000000002</v>
      </c>
      <c r="X53" s="25">
        <v>40.613399999999999</v>
      </c>
      <c r="Y53" s="26"/>
      <c r="Z53" s="27"/>
      <c r="AA53" s="27"/>
      <c r="AC53" s="19" t="str">
        <f t="shared" si="5"/>
        <v>·</v>
      </c>
      <c r="AD53" s="20">
        <f t="shared" si="6"/>
        <v>6.1659223465488876E-3</v>
      </c>
      <c r="AE53" s="20">
        <f t="shared" si="7"/>
        <v>6.0191968707771475E-3</v>
      </c>
      <c r="AF53" s="20">
        <f t="shared" si="8"/>
        <v>1.1162644039104929E-4</v>
      </c>
      <c r="AG53" s="21"/>
      <c r="AH53" s="20">
        <f t="shared" si="9"/>
        <v>1.4021819133450006</v>
      </c>
      <c r="AI53" s="22">
        <v>61139</v>
      </c>
      <c r="AJ53" s="23">
        <v>85728</v>
      </c>
      <c r="AK53" s="23">
        <v>83688</v>
      </c>
      <c r="AL53" s="23">
        <v>1552</v>
      </c>
      <c r="AM53" s="24"/>
      <c r="AN53" s="25">
        <v>52.924500000000002</v>
      </c>
      <c r="AO53" s="25">
        <v>55.653300000000002</v>
      </c>
      <c r="AP53" s="25">
        <v>19.5017</v>
      </c>
      <c r="AQ53" s="25">
        <v>35.2806</v>
      </c>
      <c r="AR53" s="25">
        <v>40.348199999999999</v>
      </c>
      <c r="AS53" s="26"/>
      <c r="AT53" s="27"/>
      <c r="AU53" s="27"/>
      <c r="AW53" s="28">
        <f t="shared" si="10"/>
        <v>3.4110867909549425E-2</v>
      </c>
      <c r="AX53" s="28">
        <f t="array" ref="AX53">AVERAGE(AK53:AK58/AJ53:AJ58) - AVERAGE(Q53:Q58/P53:P58)</f>
        <v>6.1159522406582512E-2</v>
      </c>
      <c r="AZ53" s="29">
        <f>IF( OR(ISBLANK(Q53:Q58),ISBLANK(AK53:AK58), ISBLANK(T53:T58),ISBLANK(AN53:AN58)), "·", bdRateExtend( Q53:Q58,T53:T58, AK53:AK58,AN53:AN58))</f>
        <v>0</v>
      </c>
      <c r="BA53" s="29">
        <f>IF( OR(ISBLANK(Q53:Q58),ISBLANK(AK53:AK58), ISBLANK(U53:U58),ISBLANK(AO53:AO58)), "·", bdRateExtend( Q53:Q58,U53:U58, AK53:AK58,AO53:AO58))</f>
        <v>0</v>
      </c>
      <c r="BB53" s="29">
        <f>IF( OR(ISBLANK(R53:R58),ISBLANK(AL53:AL58), ISBLANK(V53:V58),ISBLANK(AP53:AP58)), "·", bdRateExtend( R53:R58,V53:V58, AL53:AL58,AP53:AP58))</f>
        <v>-0.14896950393078989</v>
      </c>
      <c r="BC53" s="29">
        <f>IF( OR(ISBLANK(R53:R58),ISBLANK(AL53:AL58), ISBLANK(W53:W58),ISBLANK(AQ53:AQ58)), "·", bdRateExtend( R53:R58,W53:W58, AL53:AL58,AQ53:AQ58))</f>
        <v>0.29718265895368523</v>
      </c>
      <c r="BD53" s="29">
        <f>IF( OR(ISBLANK(R53:R58),ISBLANK(AL53:AL58), ISBLANK(X53:X58),ISBLANK(AR53:AR58)), "·", bdRateExtend( R53:R58,X53:X58, AL53:AL58,AR53:AR58))</f>
        <v>0.5882626931918955</v>
      </c>
      <c r="BE53" s="30"/>
      <c r="BG53" s="29">
        <f>IF( OR(ISBLANK(P53:P58),ISBLANK(AJ53:AJ58), ISBLANK(T53:T58),ISBLANK(AN53:AN58)), "·", bdRateExtend( P53:P58,T53:T58, AJ53:AJ58,AN53:AN58))</f>
        <v>-7.8935680948760578E-2</v>
      </c>
      <c r="BH53" s="29">
        <f>IF( OR(ISBLANK(P53:P58),ISBLANK(AJ53:AJ58), ISBLANK(U53:U58),ISBLANK(AO53:AO58)), "·", bdRateExtend( P53:P58,U53:U58, AJ53:AJ58,AO53:AO58))</f>
        <v>-7.9442263546228409E-2</v>
      </c>
      <c r="BI53" s="29">
        <f>IF( OR(ISBLANK(P53:P58),ISBLANK(AJ53:AJ58), ISBLANK(V53:V58),ISBLANK(AP53:AP58)), "·", bdRateExtend( P53:P58,V53:V58, AJ53:AJ58,AP53:AP58))</f>
        <v>0.14964958440262865</v>
      </c>
      <c r="BJ53" s="29">
        <f>IF( OR(ISBLANK(P53:P58),ISBLANK(AJ53:AJ58), ISBLANK(W53:W58),ISBLANK(AQ53:AQ58)), "·", bdRateExtend( P53:P58,W53:W58, AJ53:AJ58,AQ53:AQ58))</f>
        <v>0.66515169488225201</v>
      </c>
      <c r="BK53" s="29">
        <f>IF( OR(ISBLANK(P53:P58),ISBLANK(AJ53:AJ58), ISBLANK(X53:X58),ISBLANK(AR53:AR58)), "·", bdRateExtend( P53:P58,X53:X58, AJ53:AJ58,AR53:AR58))</f>
        <v>0.92857559058503991</v>
      </c>
      <c r="BL53" s="30"/>
    </row>
    <row r="54" spans="1:64" outlineLevel="1" x14ac:dyDescent="0.15">
      <c r="A54" s="31"/>
      <c r="B54" s="31" t="s">
        <v>254</v>
      </c>
      <c r="C54" s="32" t="s">
        <v>226</v>
      </c>
      <c r="D54" s="31">
        <v>13903516</v>
      </c>
      <c r="E54" s="33">
        <v>12</v>
      </c>
      <c r="F54" s="32">
        <v>1</v>
      </c>
      <c r="G54" s="32"/>
      <c r="I54" s="34" t="str">
        <f t="shared" si="0"/>
        <v>·</v>
      </c>
      <c r="J54" s="35">
        <f t="shared" si="1"/>
        <v>2.4493948149518437E-2</v>
      </c>
      <c r="K54" s="35">
        <f t="shared" si="2"/>
        <v>2.1835627764948091E-2</v>
      </c>
      <c r="L54" s="35">
        <f t="shared" si="3"/>
        <v>2.6220705611443899E-3</v>
      </c>
      <c r="M54" s="36"/>
      <c r="N54" s="35">
        <f t="shared" si="4"/>
        <v>1.411743247052581</v>
      </c>
      <c r="O54" s="37">
        <v>241228</v>
      </c>
      <c r="P54" s="38">
        <v>340552</v>
      </c>
      <c r="Q54" s="38">
        <v>303592</v>
      </c>
      <c r="R54" s="38">
        <v>36456</v>
      </c>
      <c r="S54" s="39"/>
      <c r="T54" s="40">
        <v>58.918999999999997</v>
      </c>
      <c r="U54" s="40">
        <v>61.964799999999997</v>
      </c>
      <c r="V54" s="40">
        <v>22.608899999999998</v>
      </c>
      <c r="W54" s="40">
        <v>36.534100000000002</v>
      </c>
      <c r="X54" s="40">
        <v>41.353099999999998</v>
      </c>
      <c r="Y54" s="41"/>
      <c r="Z54" s="42"/>
      <c r="AA54" s="42"/>
      <c r="AC54" s="34" t="str">
        <f t="shared" si="5"/>
        <v>·</v>
      </c>
      <c r="AD54" s="35">
        <f t="shared" si="6"/>
        <v>2.3036475090185821E-2</v>
      </c>
      <c r="AE54" s="35">
        <f t="shared" si="7"/>
        <v>2.1835627764948091E-2</v>
      </c>
      <c r="AF54" s="35">
        <f t="shared" si="8"/>
        <v>1.1651728958344061E-3</v>
      </c>
      <c r="AG54" s="36"/>
      <c r="AH54" s="35">
        <f t="shared" si="9"/>
        <v>1.3277397317061037</v>
      </c>
      <c r="AI54" s="37">
        <v>241228</v>
      </c>
      <c r="AJ54" s="38">
        <v>320288</v>
      </c>
      <c r="AK54" s="38">
        <v>303592</v>
      </c>
      <c r="AL54" s="38">
        <v>16200</v>
      </c>
      <c r="AM54" s="39"/>
      <c r="AN54" s="40">
        <v>58.918999999999997</v>
      </c>
      <c r="AO54" s="40">
        <v>61.964799999999997</v>
      </c>
      <c r="AP54" s="40">
        <v>21.794</v>
      </c>
      <c r="AQ54" s="40">
        <v>36.128799999999998</v>
      </c>
      <c r="AR54" s="40">
        <v>41.033000000000001</v>
      </c>
      <c r="AS54" s="41"/>
      <c r="AT54" s="42"/>
      <c r="AU54" s="42"/>
      <c r="AW54" s="43">
        <f t="shared" si="10"/>
        <v>5.6401596499676909E-2</v>
      </c>
      <c r="AX54" s="43"/>
      <c r="AZ54" s="44"/>
      <c r="BA54" s="44"/>
      <c r="BB54" s="44"/>
      <c r="BC54" s="44"/>
      <c r="BD54" s="44"/>
      <c r="BE54" s="45"/>
      <c r="BG54" s="44"/>
      <c r="BH54" s="44"/>
      <c r="BI54" s="44"/>
      <c r="BJ54" s="44"/>
      <c r="BK54" s="44"/>
      <c r="BL54" s="45"/>
    </row>
    <row r="55" spans="1:64" outlineLevel="1" x14ac:dyDescent="0.15">
      <c r="A55" s="16"/>
      <c r="B55" s="16" t="s">
        <v>254</v>
      </c>
      <c r="C55" s="17" t="s">
        <v>227</v>
      </c>
      <c r="D55" s="16">
        <v>13903516</v>
      </c>
      <c r="E55" s="18">
        <v>12</v>
      </c>
      <c r="F55" s="17">
        <v>1</v>
      </c>
      <c r="G55" s="17"/>
      <c r="I55" s="19" t="str">
        <f t="shared" si="0"/>
        <v>·</v>
      </c>
      <c r="J55" s="20">
        <f t="shared" si="1"/>
        <v>0.10805324351049043</v>
      </c>
      <c r="K55" s="20">
        <f t="shared" si="2"/>
        <v>8.5372937320315229E-2</v>
      </c>
      <c r="L55" s="20">
        <f t="shared" si="3"/>
        <v>2.2644056366749245E-2</v>
      </c>
      <c r="M55" s="21"/>
      <c r="N55" s="20">
        <f t="shared" si="4"/>
        <v>1.5960089153488055</v>
      </c>
      <c r="O55" s="22">
        <v>941298</v>
      </c>
      <c r="P55" s="23">
        <v>1502320</v>
      </c>
      <c r="Q55" s="23">
        <v>1186984</v>
      </c>
      <c r="R55" s="23">
        <v>314832</v>
      </c>
      <c r="S55" s="24"/>
      <c r="T55" s="25">
        <v>64.842299999999994</v>
      </c>
      <c r="U55" s="25">
        <v>68.440700000000007</v>
      </c>
      <c r="V55" s="25">
        <v>25.174700000000001</v>
      </c>
      <c r="W55" s="25">
        <v>38.656199999999998</v>
      </c>
      <c r="X55" s="25">
        <v>43.142600000000002</v>
      </c>
      <c r="Y55" s="26"/>
      <c r="Z55" s="27"/>
      <c r="AA55" s="27"/>
      <c r="AC55" s="19" t="str">
        <f t="shared" si="5"/>
        <v>·</v>
      </c>
      <c r="AD55" s="20">
        <f t="shared" si="6"/>
        <v>9.8232993726191278E-2</v>
      </c>
      <c r="AE55" s="20">
        <f t="shared" si="7"/>
        <v>8.5372937320315229E-2</v>
      </c>
      <c r="AF55" s="20">
        <f t="shared" si="8"/>
        <v>1.2824381976472714E-2</v>
      </c>
      <c r="AG55" s="21"/>
      <c r="AH55" s="20">
        <f t="shared" si="9"/>
        <v>1.450958145029523</v>
      </c>
      <c r="AI55" s="22">
        <v>941298</v>
      </c>
      <c r="AJ55" s="23">
        <v>1365784</v>
      </c>
      <c r="AK55" s="23">
        <v>1186984</v>
      </c>
      <c r="AL55" s="23">
        <v>178304</v>
      </c>
      <c r="AM55" s="24"/>
      <c r="AN55" s="25">
        <v>64.842299999999994</v>
      </c>
      <c r="AO55" s="25">
        <v>68.440700000000007</v>
      </c>
      <c r="AP55" s="25">
        <v>24.6401</v>
      </c>
      <c r="AQ55" s="25">
        <v>37.629199999999997</v>
      </c>
      <c r="AR55" s="25">
        <v>42.1434</v>
      </c>
      <c r="AS55" s="26"/>
      <c r="AT55" s="27"/>
      <c r="AU55" s="27"/>
      <c r="AW55" s="28">
        <f t="shared" si="10"/>
        <v>7.898553620130544E-2</v>
      </c>
      <c r="AX55" s="28"/>
      <c r="AZ55" s="29"/>
      <c r="BA55" s="29"/>
      <c r="BB55" s="29"/>
      <c r="BC55" s="29"/>
      <c r="BD55" s="29"/>
      <c r="BE55" s="30"/>
      <c r="BG55" s="29"/>
      <c r="BH55" s="29"/>
      <c r="BI55" s="29"/>
      <c r="BJ55" s="29"/>
      <c r="BK55" s="29"/>
      <c r="BL55" s="30"/>
    </row>
    <row r="56" spans="1:64" outlineLevel="1" x14ac:dyDescent="0.15">
      <c r="A56" s="31"/>
      <c r="B56" s="31" t="s">
        <v>254</v>
      </c>
      <c r="C56" s="32" t="s">
        <v>228</v>
      </c>
      <c r="D56" s="31">
        <v>13903516</v>
      </c>
      <c r="E56" s="33">
        <v>12</v>
      </c>
      <c r="F56" s="32">
        <v>1</v>
      </c>
      <c r="G56" s="32"/>
      <c r="I56" s="34" t="str">
        <f t="shared" si="0"/>
        <v>·</v>
      </c>
      <c r="J56" s="35">
        <f t="shared" si="1"/>
        <v>0.56082044282899379</v>
      </c>
      <c r="K56" s="35">
        <f t="shared" si="2"/>
        <v>0.38145401494125658</v>
      </c>
      <c r="L56" s="35">
        <f t="shared" si="3"/>
        <v>0.17930716230340585</v>
      </c>
      <c r="M56" s="36"/>
      <c r="N56" s="35">
        <f t="shared" si="4"/>
        <v>2.2578857860825154</v>
      </c>
      <c r="O56" s="37">
        <v>3453397</v>
      </c>
      <c r="P56" s="38">
        <v>7797376</v>
      </c>
      <c r="Q56" s="38">
        <v>5303552</v>
      </c>
      <c r="R56" s="38">
        <v>2493000</v>
      </c>
      <c r="S56" s="39"/>
      <c r="T56" s="40">
        <v>70.482600000000005</v>
      </c>
      <c r="U56" s="40">
        <v>74.843400000000003</v>
      </c>
      <c r="V56" s="40">
        <v>28.212299999999999</v>
      </c>
      <c r="W56" s="40">
        <v>41.442999999999998</v>
      </c>
      <c r="X56" s="40">
        <v>45.707500000000003</v>
      </c>
      <c r="Y56" s="41"/>
      <c r="Z56" s="42"/>
      <c r="AA56" s="42"/>
      <c r="AC56" s="34" t="str">
        <f t="shared" si="5"/>
        <v>·</v>
      </c>
      <c r="AD56" s="35">
        <f t="shared" si="6"/>
        <v>0.50243521135229385</v>
      </c>
      <c r="AE56" s="35">
        <f t="shared" si="7"/>
        <v>0.38145401494125658</v>
      </c>
      <c r="AF56" s="35">
        <f t="shared" si="8"/>
        <v>0.12092250622072863</v>
      </c>
      <c r="AG56" s="36"/>
      <c r="AH56" s="35">
        <f t="shared" si="9"/>
        <v>2.0228244826760435</v>
      </c>
      <c r="AI56" s="37">
        <v>3453397</v>
      </c>
      <c r="AJ56" s="38">
        <v>6985616</v>
      </c>
      <c r="AK56" s="38">
        <v>5303552</v>
      </c>
      <c r="AL56" s="38">
        <v>1681248</v>
      </c>
      <c r="AM56" s="39"/>
      <c r="AN56" s="40">
        <v>70.482600000000005</v>
      </c>
      <c r="AO56" s="40">
        <v>74.843400000000003</v>
      </c>
      <c r="AP56" s="40">
        <v>27.808800000000002</v>
      </c>
      <c r="AQ56" s="40">
        <v>40.073900000000002</v>
      </c>
      <c r="AR56" s="40">
        <v>44.396999999999998</v>
      </c>
      <c r="AS56" s="41"/>
      <c r="AT56" s="42"/>
      <c r="AU56" s="42"/>
      <c r="AW56" s="43">
        <f t="shared" si="10"/>
        <v>7.9038973803072676E-2</v>
      </c>
      <c r="AX56" s="43"/>
      <c r="AZ56" s="44"/>
      <c r="BA56" s="44"/>
      <c r="BB56" s="44"/>
      <c r="BC56" s="44"/>
      <c r="BD56" s="44"/>
      <c r="BE56" s="45"/>
      <c r="BG56" s="44"/>
      <c r="BH56" s="44"/>
      <c r="BI56" s="44"/>
      <c r="BJ56" s="44"/>
      <c r="BK56" s="44"/>
      <c r="BL56" s="45"/>
    </row>
    <row r="57" spans="1:64" outlineLevel="1" x14ac:dyDescent="0.15">
      <c r="A57" s="16"/>
      <c r="B57" s="16" t="s">
        <v>254</v>
      </c>
      <c r="C57" s="17" t="s">
        <v>229</v>
      </c>
      <c r="D57" s="16">
        <v>13903516</v>
      </c>
      <c r="E57" s="18">
        <v>12</v>
      </c>
      <c r="F57" s="17">
        <v>1</v>
      </c>
      <c r="G57" s="17"/>
      <c r="I57" s="19" t="str">
        <f t="shared" si="0"/>
        <v>·</v>
      </c>
      <c r="J57" s="20">
        <f t="shared" si="1"/>
        <v>2.5776881186025173</v>
      </c>
      <c r="K57" s="20">
        <f t="shared" si="2"/>
        <v>1.6969606824633423</v>
      </c>
      <c r="L57" s="20">
        <f t="shared" si="3"/>
        <v>0.88063307151946313</v>
      </c>
      <c r="M57" s="21"/>
      <c r="N57" s="20">
        <f t="shared" si="4"/>
        <v>3.6026217496901141</v>
      </c>
      <c r="O57" s="22">
        <v>9948013</v>
      </c>
      <c r="P57" s="23">
        <v>35838928</v>
      </c>
      <c r="Q57" s="23">
        <v>23593720</v>
      </c>
      <c r="R57" s="23">
        <v>12243896</v>
      </c>
      <c r="S57" s="24"/>
      <c r="T57" s="25">
        <v>75.255799999999994</v>
      </c>
      <c r="U57" s="25">
        <v>80.152100000000004</v>
      </c>
      <c r="V57" s="25">
        <v>31.692900000000002</v>
      </c>
      <c r="W57" s="25">
        <v>44.738500000000002</v>
      </c>
      <c r="X57" s="25">
        <v>48.320700000000002</v>
      </c>
      <c r="Y57" s="26"/>
      <c r="Z57" s="27"/>
      <c r="AA57" s="27"/>
      <c r="AC57" s="19" t="str">
        <f t="shared" si="5"/>
        <v>·</v>
      </c>
      <c r="AD57" s="20">
        <f t="shared" si="6"/>
        <v>2.3593519797438289</v>
      </c>
      <c r="AE57" s="20">
        <f t="shared" si="7"/>
        <v>1.6969606824633423</v>
      </c>
      <c r="AF57" s="20">
        <f t="shared" si="8"/>
        <v>0.66229750805479704</v>
      </c>
      <c r="AG57" s="21"/>
      <c r="AH57" s="20">
        <f t="shared" si="9"/>
        <v>3.2974713643820128</v>
      </c>
      <c r="AI57" s="22">
        <v>9948013</v>
      </c>
      <c r="AJ57" s="23">
        <v>32803288</v>
      </c>
      <c r="AK57" s="23">
        <v>23593720</v>
      </c>
      <c r="AL57" s="23">
        <v>9208264</v>
      </c>
      <c r="AM57" s="24"/>
      <c r="AN57" s="25">
        <v>75.255799999999994</v>
      </c>
      <c r="AO57" s="25">
        <v>80.152100000000004</v>
      </c>
      <c r="AP57" s="25">
        <v>31.365500000000001</v>
      </c>
      <c r="AQ57" s="25">
        <v>43.277099999999997</v>
      </c>
      <c r="AR57" s="25">
        <v>46.909199999999998</v>
      </c>
      <c r="AS57" s="26"/>
      <c r="AT57" s="27"/>
      <c r="AU57" s="27"/>
      <c r="AW57" s="28">
        <f t="shared" si="10"/>
        <v>6.0922020755664441E-2</v>
      </c>
      <c r="AX57" s="28"/>
      <c r="AZ57" s="29"/>
      <c r="BA57" s="29"/>
      <c r="BB57" s="29"/>
      <c r="BC57" s="29"/>
      <c r="BD57" s="29"/>
      <c r="BE57" s="30"/>
      <c r="BG57" s="29"/>
      <c r="BH57" s="29"/>
      <c r="BI57" s="29"/>
      <c r="BJ57" s="29"/>
      <c r="BK57" s="29"/>
      <c r="BL57" s="30"/>
    </row>
    <row r="58" spans="1:64" outlineLevel="1" x14ac:dyDescent="0.15">
      <c r="A58" s="31"/>
      <c r="B58" s="46" t="s">
        <v>254</v>
      </c>
      <c r="C58" s="47" t="s">
        <v>230</v>
      </c>
      <c r="D58" s="46">
        <v>13903516</v>
      </c>
      <c r="E58" s="48">
        <v>12</v>
      </c>
      <c r="F58" s="47">
        <v>1</v>
      </c>
      <c r="G58" s="47"/>
      <c r="I58" s="49" t="str">
        <f t="shared" si="0"/>
        <v>·</v>
      </c>
      <c r="J58" s="50">
        <f t="shared" si="1"/>
        <v>5.5219200668377697</v>
      </c>
      <c r="K58" s="50">
        <f t="shared" si="2"/>
        <v>3.5693670579441918</v>
      </c>
      <c r="L58" s="50">
        <f t="shared" si="3"/>
        <v>1.9524413824531868</v>
      </c>
      <c r="M58" s="51"/>
      <c r="N58" s="50">
        <f t="shared" si="4"/>
        <v>6.2270329299726184</v>
      </c>
      <c r="O58" s="52">
        <v>12329163</v>
      </c>
      <c r="P58" s="53">
        <v>76774104</v>
      </c>
      <c r="Q58" s="53">
        <v>49626752</v>
      </c>
      <c r="R58" s="53">
        <v>27145800</v>
      </c>
      <c r="S58" s="54"/>
      <c r="T58" s="55">
        <v>80.025000000000006</v>
      </c>
      <c r="U58" s="55">
        <v>84.853800000000007</v>
      </c>
      <c r="V58" s="55">
        <v>36.110100000000003</v>
      </c>
      <c r="W58" s="55">
        <v>46.9435</v>
      </c>
      <c r="X58" s="55">
        <v>49.851799999999997</v>
      </c>
      <c r="Y58" s="56"/>
      <c r="Z58" s="57"/>
      <c r="AA58" s="57"/>
      <c r="AC58" s="49" t="str">
        <f t="shared" si="5"/>
        <v>·</v>
      </c>
      <c r="AD58" s="50">
        <f t="shared" si="6"/>
        <v>5.0708600615844226</v>
      </c>
      <c r="AE58" s="50">
        <f t="shared" si="7"/>
        <v>3.5693670579441918</v>
      </c>
      <c r="AF58" s="50">
        <f t="shared" si="8"/>
        <v>1.5013819525938619</v>
      </c>
      <c r="AG58" s="51"/>
      <c r="AH58" s="50">
        <f t="shared" si="9"/>
        <v>5.7183755296284104</v>
      </c>
      <c r="AI58" s="52">
        <v>12329163</v>
      </c>
      <c r="AJ58" s="53">
        <v>70502784</v>
      </c>
      <c r="AK58" s="53">
        <v>49626752</v>
      </c>
      <c r="AL58" s="53">
        <v>20874488</v>
      </c>
      <c r="AM58" s="54"/>
      <c r="AN58" s="55">
        <v>80.025000000000006</v>
      </c>
      <c r="AO58" s="55">
        <v>84.853800000000007</v>
      </c>
      <c r="AP58" s="55">
        <v>35.574100000000001</v>
      </c>
      <c r="AQ58" s="55">
        <v>45.478900000000003</v>
      </c>
      <c r="AR58" s="55">
        <v>48.465299999999999</v>
      </c>
      <c r="AS58" s="56"/>
      <c r="AT58" s="57"/>
      <c r="AU58" s="57"/>
      <c r="AW58" s="58">
        <f t="shared" si="10"/>
        <v>5.749813927022529E-2</v>
      </c>
      <c r="AX58" s="58"/>
      <c r="AZ58" s="59"/>
      <c r="BA58" s="59"/>
      <c r="BB58" s="59"/>
      <c r="BC58" s="59"/>
      <c r="BD58" s="59"/>
      <c r="BE58" s="60"/>
      <c r="BG58" s="59"/>
      <c r="BH58" s="59"/>
      <c r="BI58" s="59"/>
      <c r="BJ58" s="59"/>
      <c r="BK58" s="59"/>
      <c r="BL58" s="60"/>
    </row>
    <row r="59" spans="1:64" collapsed="1" x14ac:dyDescent="0.15">
      <c r="A59" s="16"/>
      <c r="B59" s="16" t="s">
        <v>257</v>
      </c>
      <c r="C59" s="17" t="s">
        <v>225</v>
      </c>
      <c r="D59" s="16">
        <v>4848745</v>
      </c>
      <c r="E59" s="18">
        <v>12</v>
      </c>
      <c r="F59" s="17">
        <v>1</v>
      </c>
      <c r="G59" s="17"/>
      <c r="I59" s="19" t="str">
        <f t="shared" si="0"/>
        <v>·</v>
      </c>
      <c r="J59" s="20">
        <f t="shared" si="1"/>
        <v>8.7461807127411327E-3</v>
      </c>
      <c r="K59" s="20">
        <f t="shared" si="2"/>
        <v>7.8205803769841476E-3</v>
      </c>
      <c r="L59" s="20">
        <f t="shared" si="3"/>
        <v>8.2330582449685434E-4</v>
      </c>
      <c r="M59" s="21"/>
      <c r="N59" s="20">
        <f t="shared" si="4"/>
        <v>1.2988269884536461</v>
      </c>
      <c r="O59" s="22">
        <v>32651</v>
      </c>
      <c r="P59" s="23">
        <v>42408</v>
      </c>
      <c r="Q59" s="23">
        <v>37920</v>
      </c>
      <c r="R59" s="23">
        <v>3992</v>
      </c>
      <c r="S59" s="24"/>
      <c r="T59" s="25">
        <v>52.921999999999997</v>
      </c>
      <c r="U59" s="25">
        <v>56.787399999999998</v>
      </c>
      <c r="V59" s="25">
        <v>19.807500000000001</v>
      </c>
      <c r="W59" s="25">
        <v>33.0124</v>
      </c>
      <c r="X59" s="25">
        <v>37.0092</v>
      </c>
      <c r="Y59" s="26"/>
      <c r="Z59" s="27"/>
      <c r="AA59" s="27"/>
      <c r="AC59" s="19" t="str">
        <f t="shared" si="5"/>
        <v>·</v>
      </c>
      <c r="AD59" s="20">
        <f t="shared" si="6"/>
        <v>8.3320529332847979E-3</v>
      </c>
      <c r="AE59" s="20">
        <f t="shared" si="7"/>
        <v>7.8205803769841476E-3</v>
      </c>
      <c r="AF59" s="20">
        <f t="shared" si="8"/>
        <v>4.1082795651245838E-4</v>
      </c>
      <c r="AG59" s="21"/>
      <c r="AH59" s="20">
        <f t="shared" si="9"/>
        <v>1.2373281063367125</v>
      </c>
      <c r="AI59" s="22">
        <v>32651</v>
      </c>
      <c r="AJ59" s="23">
        <v>40400</v>
      </c>
      <c r="AK59" s="23">
        <v>37920</v>
      </c>
      <c r="AL59" s="23">
        <v>1992</v>
      </c>
      <c r="AM59" s="24"/>
      <c r="AN59" s="25">
        <v>52.921999999999997</v>
      </c>
      <c r="AO59" s="25">
        <v>56.787399999999998</v>
      </c>
      <c r="AP59" s="25">
        <v>18.8825</v>
      </c>
      <c r="AQ59" s="25">
        <v>32.336799999999997</v>
      </c>
      <c r="AR59" s="25">
        <v>36.538200000000003</v>
      </c>
      <c r="AS59" s="26"/>
      <c r="AT59" s="27"/>
      <c r="AU59" s="27"/>
      <c r="AW59" s="28">
        <f t="shared" si="10"/>
        <v>4.4442950237298717E-2</v>
      </c>
      <c r="AX59" s="28">
        <f t="array" ref="AX59">AVERAGE(AK59:AK64/AJ59:AJ64) - AVERAGE(Q59:Q64/P59:P64)</f>
        <v>5.7661138947002422E-2</v>
      </c>
      <c r="AZ59" s="29">
        <f>IF( OR(ISBLANK(Q59:Q64),ISBLANK(AK59:AK64), ISBLANK(T59:T64),ISBLANK(AN59:AN64)), "·", bdRateExtend( Q59:Q64,T59:T64, AK59:AK64,AN59:AN64))</f>
        <v>0</v>
      </c>
      <c r="BA59" s="29">
        <f>IF( OR(ISBLANK(Q59:Q64),ISBLANK(AK59:AK64), ISBLANK(U59:U64),ISBLANK(AO59:AO64)), "·", bdRateExtend( Q59:Q64,U59:U64, AK59:AK64,AO59:AO64))</f>
        <v>0</v>
      </c>
      <c r="BB59" s="29">
        <f>IF( OR(ISBLANK(R59:R64),ISBLANK(AL59:AL64), ISBLANK(V59:V64),ISBLANK(AP59:AP64)), "·", bdRateExtend( R59:R64,V59:V64, AL59:AL64,AP59:AP64))</f>
        <v>-0.16510085019072585</v>
      </c>
      <c r="BC59" s="29">
        <f>IF( OR(ISBLANK(R59:R64),ISBLANK(AL59:AL64), ISBLANK(W59:W64),ISBLANK(AQ59:AQ64)), "·", bdRateExtend( R59:R64,W59:W64, AL59:AL64,AQ59:AQ64))</f>
        <v>0.20489939928566869</v>
      </c>
      <c r="BD59" s="29">
        <f>IF( OR(ISBLANK(R59:R64),ISBLANK(AL59:AL64), ISBLANK(X59:X64),ISBLANK(AR59:AR64)), "·", bdRateExtend( R59:R64,X59:X64, AL59:AL64,AR59:AR64))</f>
        <v>0.22860755628734863</v>
      </c>
      <c r="BE59" s="30"/>
      <c r="BG59" s="29">
        <f>IF( OR(ISBLANK(P59:P64),ISBLANK(AJ59:AJ64), ISBLANK(T59:T64),ISBLANK(AN59:AN64)), "·", bdRateExtend( P59:P64,T59:T64, AJ59:AJ64,AN59:AN64))</f>
        <v>-6.9696117484212783E-2</v>
      </c>
      <c r="BH59" s="29">
        <f>IF( OR(ISBLANK(P59:P64),ISBLANK(AJ59:AJ64), ISBLANK(U59:U64),ISBLANK(AO59:AO64)), "·", bdRateExtend( P59:P64,U59:U64, AJ59:AJ64,AO59:AO64))</f>
        <v>-6.9815288872396186E-2</v>
      </c>
      <c r="BI59" s="29">
        <f>IF( OR(ISBLANK(P59:P64),ISBLANK(AJ59:AJ64), ISBLANK(V59:V64),ISBLANK(AP59:AP64)), "·", bdRateExtend( P59:P64,V59:V64, AJ59:AJ64,AP59:AP64))</f>
        <v>0.15217845211004777</v>
      </c>
      <c r="BJ59" s="29">
        <f>IF( OR(ISBLANK(P59:P64),ISBLANK(AJ59:AJ64), ISBLANK(W59:W64),ISBLANK(AQ59:AQ64)), "·", bdRateExtend( P59:P64,W59:W64, AJ59:AJ64,AQ59:AQ64))</f>
        <v>0.59048233713085696</v>
      </c>
      <c r="BK59" s="29">
        <f>IF( OR(ISBLANK(P59:P64),ISBLANK(AJ59:AJ64), ISBLANK(X59:X64),ISBLANK(AR59:AR64)), "·", bdRateExtend( P59:P64,X59:X64, AJ59:AJ64,AR59:AR64))</f>
        <v>0.5984778205645005</v>
      </c>
      <c r="BL59" s="30"/>
    </row>
    <row r="60" spans="1:64" outlineLevel="1" x14ac:dyDescent="0.15">
      <c r="A60" s="31"/>
      <c r="B60" s="31" t="s">
        <v>257</v>
      </c>
      <c r="C60" s="32" t="s">
        <v>226</v>
      </c>
      <c r="D60" s="31">
        <v>4848745</v>
      </c>
      <c r="E60" s="33">
        <v>12</v>
      </c>
      <c r="F60" s="32">
        <v>1</v>
      </c>
      <c r="G60" s="32"/>
      <c r="I60" s="34" t="str">
        <f t="shared" si="0"/>
        <v>·</v>
      </c>
      <c r="J60" s="35">
        <f t="shared" si="1"/>
        <v>3.6090163537162712E-2</v>
      </c>
      <c r="K60" s="35">
        <f t="shared" si="2"/>
        <v>3.0952339213549073E-2</v>
      </c>
      <c r="L60" s="35">
        <f t="shared" si="3"/>
        <v>5.0338799008815679E-3</v>
      </c>
      <c r="M60" s="36"/>
      <c r="N60" s="35">
        <f t="shared" si="4"/>
        <v>1.320006939782302</v>
      </c>
      <c r="O60" s="37">
        <v>132569</v>
      </c>
      <c r="P60" s="38">
        <v>174992</v>
      </c>
      <c r="Q60" s="38">
        <v>150080</v>
      </c>
      <c r="R60" s="38">
        <v>24408</v>
      </c>
      <c r="S60" s="39"/>
      <c r="T60" s="40">
        <v>58.925199999999997</v>
      </c>
      <c r="U60" s="40">
        <v>62.912599999999998</v>
      </c>
      <c r="V60" s="40">
        <v>23.0547</v>
      </c>
      <c r="W60" s="40">
        <v>35.46</v>
      </c>
      <c r="X60" s="40">
        <v>38.2027</v>
      </c>
      <c r="Y60" s="41"/>
      <c r="Z60" s="42"/>
      <c r="AA60" s="42"/>
      <c r="AC60" s="34" t="str">
        <f t="shared" si="5"/>
        <v>·</v>
      </c>
      <c r="AD60" s="35">
        <f t="shared" si="6"/>
        <v>3.4016224816937168E-2</v>
      </c>
      <c r="AE60" s="35">
        <f t="shared" si="7"/>
        <v>3.0952339213549073E-2</v>
      </c>
      <c r="AF60" s="35">
        <f t="shared" si="8"/>
        <v>2.9615910921279632E-3</v>
      </c>
      <c r="AG60" s="36"/>
      <c r="AH60" s="35">
        <f t="shared" si="9"/>
        <v>1.2441521019242809</v>
      </c>
      <c r="AI60" s="37">
        <v>132569</v>
      </c>
      <c r="AJ60" s="38">
        <v>164936</v>
      </c>
      <c r="AK60" s="38">
        <v>150080</v>
      </c>
      <c r="AL60" s="38">
        <v>14360</v>
      </c>
      <c r="AM60" s="39"/>
      <c r="AN60" s="40">
        <v>58.925199999999997</v>
      </c>
      <c r="AO60" s="40">
        <v>62.912599999999998</v>
      </c>
      <c r="AP60" s="40">
        <v>22.3277</v>
      </c>
      <c r="AQ60" s="40">
        <v>34.4711</v>
      </c>
      <c r="AR60" s="40">
        <v>37.506700000000002</v>
      </c>
      <c r="AS60" s="41"/>
      <c r="AT60" s="42"/>
      <c r="AU60" s="42"/>
      <c r="AW60" s="43">
        <f t="shared" si="10"/>
        <v>5.2289493253101615E-2</v>
      </c>
      <c r="AX60" s="43"/>
      <c r="AZ60" s="44"/>
      <c r="BA60" s="44"/>
      <c r="BB60" s="44"/>
      <c r="BC60" s="44"/>
      <c r="BD60" s="44"/>
      <c r="BE60" s="45"/>
      <c r="BG60" s="44"/>
      <c r="BH60" s="44"/>
      <c r="BI60" s="44"/>
      <c r="BJ60" s="44"/>
      <c r="BK60" s="44"/>
      <c r="BL60" s="45"/>
    </row>
    <row r="61" spans="1:64" outlineLevel="1" x14ac:dyDescent="0.15">
      <c r="A61" s="16"/>
      <c r="B61" s="16" t="s">
        <v>257</v>
      </c>
      <c r="C61" s="17" t="s">
        <v>227</v>
      </c>
      <c r="D61" s="16">
        <v>4848745</v>
      </c>
      <c r="E61" s="18">
        <v>12</v>
      </c>
      <c r="F61" s="17">
        <v>1</v>
      </c>
      <c r="G61" s="17"/>
      <c r="I61" s="19" t="str">
        <f t="shared" si="0"/>
        <v>·</v>
      </c>
      <c r="J61" s="20">
        <f t="shared" si="1"/>
        <v>0.17298496827529597</v>
      </c>
      <c r="K61" s="20">
        <f t="shared" si="2"/>
        <v>0.13749042277950274</v>
      </c>
      <c r="L61" s="20">
        <f t="shared" si="3"/>
        <v>3.5390601073061176E-2</v>
      </c>
      <c r="M61" s="21"/>
      <c r="N61" s="20">
        <f t="shared" si="4"/>
        <v>1.6251101961734076</v>
      </c>
      <c r="O61" s="22">
        <v>516125</v>
      </c>
      <c r="P61" s="23">
        <v>838760</v>
      </c>
      <c r="Q61" s="23">
        <v>666656</v>
      </c>
      <c r="R61" s="23">
        <v>171600</v>
      </c>
      <c r="S61" s="24"/>
      <c r="T61" s="25">
        <v>64.837900000000005</v>
      </c>
      <c r="U61" s="25">
        <v>69.099900000000005</v>
      </c>
      <c r="V61" s="25">
        <v>26.6874</v>
      </c>
      <c r="W61" s="25">
        <v>38.048000000000002</v>
      </c>
      <c r="X61" s="25">
        <v>40.1113</v>
      </c>
      <c r="Y61" s="26"/>
      <c r="Z61" s="27"/>
      <c r="AA61" s="27"/>
      <c r="AC61" s="19" t="str">
        <f t="shared" si="5"/>
        <v>·</v>
      </c>
      <c r="AD61" s="20">
        <f t="shared" si="6"/>
        <v>0.15951674092986948</v>
      </c>
      <c r="AE61" s="20">
        <f t="shared" si="7"/>
        <v>0.13749042277950274</v>
      </c>
      <c r="AF61" s="20">
        <f t="shared" si="8"/>
        <v>2.1924023639106616E-2</v>
      </c>
      <c r="AG61" s="21"/>
      <c r="AH61" s="20">
        <f t="shared" si="9"/>
        <v>1.4985827076774036</v>
      </c>
      <c r="AI61" s="22">
        <v>516125</v>
      </c>
      <c r="AJ61" s="23">
        <v>773456</v>
      </c>
      <c r="AK61" s="23">
        <v>666656</v>
      </c>
      <c r="AL61" s="23">
        <v>106304</v>
      </c>
      <c r="AM61" s="24"/>
      <c r="AN61" s="25">
        <v>64.837900000000005</v>
      </c>
      <c r="AO61" s="25">
        <v>69.099900000000005</v>
      </c>
      <c r="AP61" s="25">
        <v>26.1203</v>
      </c>
      <c r="AQ61" s="25">
        <v>37.047699999999999</v>
      </c>
      <c r="AR61" s="25">
        <v>39.414099999999998</v>
      </c>
      <c r="AS61" s="26"/>
      <c r="AT61" s="27"/>
      <c r="AU61" s="27"/>
      <c r="AW61" s="28">
        <f t="shared" si="10"/>
        <v>6.7107066074360677E-2</v>
      </c>
      <c r="AX61" s="28"/>
      <c r="AZ61" s="29"/>
      <c r="BA61" s="29"/>
      <c r="BB61" s="29"/>
      <c r="BC61" s="29"/>
      <c r="BD61" s="29"/>
      <c r="BE61" s="30"/>
      <c r="BG61" s="29"/>
      <c r="BH61" s="29"/>
      <c r="BI61" s="29"/>
      <c r="BJ61" s="29"/>
      <c r="BK61" s="29"/>
      <c r="BL61" s="30"/>
    </row>
    <row r="62" spans="1:64" outlineLevel="1" x14ac:dyDescent="0.15">
      <c r="A62" s="31"/>
      <c r="B62" s="31" t="s">
        <v>257</v>
      </c>
      <c r="C62" s="32" t="s">
        <v>228</v>
      </c>
      <c r="D62" s="31">
        <v>4848745</v>
      </c>
      <c r="E62" s="33">
        <v>12</v>
      </c>
      <c r="F62" s="32">
        <v>1</v>
      </c>
      <c r="G62" s="32"/>
      <c r="I62" s="34" t="str">
        <f t="shared" si="0"/>
        <v>·</v>
      </c>
      <c r="J62" s="35">
        <f t="shared" si="1"/>
        <v>0.85422186565802083</v>
      </c>
      <c r="K62" s="35">
        <f t="shared" si="2"/>
        <v>0.64509063685551626</v>
      </c>
      <c r="L62" s="35">
        <f t="shared" si="3"/>
        <v>0.20897778703561437</v>
      </c>
      <c r="M62" s="36"/>
      <c r="N62" s="35">
        <f t="shared" si="4"/>
        <v>2.4019197246136947</v>
      </c>
      <c r="O62" s="37">
        <v>1724414</v>
      </c>
      <c r="P62" s="38">
        <v>4141904</v>
      </c>
      <c r="Q62" s="38">
        <v>3127880</v>
      </c>
      <c r="R62" s="38">
        <v>1013280</v>
      </c>
      <c r="S62" s="39"/>
      <c r="T62" s="40">
        <v>70.483199999999997</v>
      </c>
      <c r="U62" s="40">
        <v>75.132400000000004</v>
      </c>
      <c r="V62" s="40">
        <v>29.704999999999998</v>
      </c>
      <c r="W62" s="40">
        <v>40.893000000000001</v>
      </c>
      <c r="X62" s="40">
        <v>42.2378</v>
      </c>
      <c r="Y62" s="41"/>
      <c r="Z62" s="42"/>
      <c r="AA62" s="42"/>
      <c r="AC62" s="34" t="str">
        <f t="shared" si="5"/>
        <v>·</v>
      </c>
      <c r="AD62" s="35">
        <f t="shared" si="6"/>
        <v>0.78252991237938885</v>
      </c>
      <c r="AE62" s="35">
        <f t="shared" si="7"/>
        <v>0.64509063685551626</v>
      </c>
      <c r="AF62" s="35">
        <f t="shared" si="8"/>
        <v>0.13728748366845442</v>
      </c>
      <c r="AG62" s="36"/>
      <c r="AH62" s="35">
        <f t="shared" si="9"/>
        <v>2.2003347224042487</v>
      </c>
      <c r="AI62" s="37">
        <v>1724414</v>
      </c>
      <c r="AJ62" s="38">
        <v>3794288</v>
      </c>
      <c r="AK62" s="38">
        <v>3127880</v>
      </c>
      <c r="AL62" s="38">
        <v>665672</v>
      </c>
      <c r="AM62" s="39"/>
      <c r="AN62" s="40">
        <v>70.483199999999997</v>
      </c>
      <c r="AO62" s="40">
        <v>75.132400000000004</v>
      </c>
      <c r="AP62" s="40">
        <v>29.253699999999998</v>
      </c>
      <c r="AQ62" s="40">
        <v>39.793700000000001</v>
      </c>
      <c r="AR62" s="40">
        <v>41.4039</v>
      </c>
      <c r="AS62" s="41"/>
      <c r="AT62" s="42"/>
      <c r="AU62" s="42"/>
      <c r="AW62" s="43">
        <f t="shared" si="10"/>
        <v>6.9186206697083752E-2</v>
      </c>
      <c r="AX62" s="43"/>
      <c r="AZ62" s="44"/>
      <c r="BA62" s="44"/>
      <c r="BB62" s="44"/>
      <c r="BC62" s="44"/>
      <c r="BD62" s="44"/>
      <c r="BE62" s="45"/>
      <c r="BG62" s="44"/>
      <c r="BH62" s="44"/>
      <c r="BI62" s="44"/>
      <c r="BJ62" s="44"/>
      <c r="BK62" s="44"/>
      <c r="BL62" s="45"/>
    </row>
    <row r="63" spans="1:64" outlineLevel="1" x14ac:dyDescent="0.15">
      <c r="A63" s="16"/>
      <c r="B63" s="16" t="s">
        <v>257</v>
      </c>
      <c r="C63" s="17" t="s">
        <v>229</v>
      </c>
      <c r="D63" s="16">
        <v>4848745</v>
      </c>
      <c r="E63" s="18">
        <v>12</v>
      </c>
      <c r="F63" s="17">
        <v>1</v>
      </c>
      <c r="G63" s="17"/>
      <c r="I63" s="19" t="str">
        <f t="shared" si="0"/>
        <v>·</v>
      </c>
      <c r="J63" s="20">
        <f t="shared" si="1"/>
        <v>3.2137767607906786</v>
      </c>
      <c r="K63" s="20">
        <f t="shared" si="2"/>
        <v>2.4250860789750748</v>
      </c>
      <c r="L63" s="20">
        <f t="shared" si="3"/>
        <v>0.78851909102252238</v>
      </c>
      <c r="M63" s="21"/>
      <c r="N63" s="20">
        <f t="shared" si="4"/>
        <v>4.2831744471555373</v>
      </c>
      <c r="O63" s="22">
        <v>3638139</v>
      </c>
      <c r="P63" s="23">
        <v>15582784</v>
      </c>
      <c r="Q63" s="23">
        <v>11758624</v>
      </c>
      <c r="R63" s="23">
        <v>3823328</v>
      </c>
      <c r="S63" s="24"/>
      <c r="T63" s="25">
        <v>75.254000000000005</v>
      </c>
      <c r="U63" s="25">
        <v>79.960999999999999</v>
      </c>
      <c r="V63" s="25">
        <v>32.992100000000001</v>
      </c>
      <c r="W63" s="25">
        <v>43.694200000000002</v>
      </c>
      <c r="X63" s="25">
        <v>44.462899999999998</v>
      </c>
      <c r="Y63" s="26"/>
      <c r="Z63" s="27"/>
      <c r="AA63" s="27"/>
      <c r="AC63" s="19" t="str">
        <f t="shared" si="5"/>
        <v>·</v>
      </c>
      <c r="AD63" s="20">
        <f t="shared" si="6"/>
        <v>2.980992401126477</v>
      </c>
      <c r="AE63" s="20">
        <f t="shared" si="7"/>
        <v>2.4250860789750748</v>
      </c>
      <c r="AF63" s="20">
        <f t="shared" si="8"/>
        <v>0.55573638126979252</v>
      </c>
      <c r="AG63" s="21"/>
      <c r="AH63" s="20">
        <f t="shared" si="9"/>
        <v>3.9729301161940214</v>
      </c>
      <c r="AI63" s="22">
        <v>3638139</v>
      </c>
      <c r="AJ63" s="23">
        <v>14454072</v>
      </c>
      <c r="AK63" s="23">
        <v>11758624</v>
      </c>
      <c r="AL63" s="23">
        <v>2694624</v>
      </c>
      <c r="AM63" s="24"/>
      <c r="AN63" s="25">
        <v>75.254000000000005</v>
      </c>
      <c r="AO63" s="25">
        <v>79.960999999999999</v>
      </c>
      <c r="AP63" s="25">
        <v>32.611800000000002</v>
      </c>
      <c r="AQ63" s="25">
        <v>42.614800000000002</v>
      </c>
      <c r="AR63" s="25">
        <v>43.610199999999999</v>
      </c>
      <c r="AS63" s="26"/>
      <c r="AT63" s="27"/>
      <c r="AU63" s="27"/>
      <c r="AW63" s="28">
        <f t="shared" si="10"/>
        <v>5.8925649906748645E-2</v>
      </c>
      <c r="AX63" s="28"/>
      <c r="AZ63" s="29"/>
      <c r="BA63" s="29"/>
      <c r="BB63" s="29"/>
      <c r="BC63" s="29"/>
      <c r="BD63" s="29"/>
      <c r="BE63" s="30"/>
      <c r="BG63" s="29"/>
      <c r="BH63" s="29"/>
      <c r="BI63" s="29"/>
      <c r="BJ63" s="29"/>
      <c r="BK63" s="29"/>
      <c r="BL63" s="30"/>
    </row>
    <row r="64" spans="1:64" outlineLevel="1" x14ac:dyDescent="0.15">
      <c r="A64" s="31"/>
      <c r="B64" s="46" t="s">
        <v>257</v>
      </c>
      <c r="C64" s="47" t="s">
        <v>230</v>
      </c>
      <c r="D64" s="46">
        <v>4848745</v>
      </c>
      <c r="E64" s="48">
        <v>12</v>
      </c>
      <c r="F64" s="47">
        <v>1</v>
      </c>
      <c r="G64" s="47"/>
      <c r="I64" s="49" t="str">
        <f t="shared" si="0"/>
        <v>·</v>
      </c>
      <c r="J64" s="50">
        <f t="shared" si="1"/>
        <v>5.7583725273240809</v>
      </c>
      <c r="K64" s="50">
        <f t="shared" si="2"/>
        <v>4.07422374243232</v>
      </c>
      <c r="L64" s="50">
        <f t="shared" si="3"/>
        <v>1.6839606949839598</v>
      </c>
      <c r="M64" s="51"/>
      <c r="N64" s="50">
        <f t="shared" si="4"/>
        <v>6.4790658743829477</v>
      </c>
      <c r="O64" s="52">
        <v>4309399</v>
      </c>
      <c r="P64" s="53">
        <v>27920880</v>
      </c>
      <c r="Q64" s="53">
        <v>19754872</v>
      </c>
      <c r="R64" s="53">
        <v>8165096</v>
      </c>
      <c r="S64" s="54"/>
      <c r="T64" s="55">
        <v>80.025599999999997</v>
      </c>
      <c r="U64" s="55">
        <v>84.764899999999997</v>
      </c>
      <c r="V64" s="55">
        <v>36.866500000000002</v>
      </c>
      <c r="W64" s="55">
        <v>45.652099999999997</v>
      </c>
      <c r="X64" s="55">
        <v>46.179499999999997</v>
      </c>
      <c r="Y64" s="56"/>
      <c r="Z64" s="57"/>
      <c r="AA64" s="57"/>
      <c r="AC64" s="49" t="str">
        <f t="shared" si="5"/>
        <v>·</v>
      </c>
      <c r="AD64" s="50">
        <f t="shared" si="6"/>
        <v>5.3499385923574039</v>
      </c>
      <c r="AE64" s="50">
        <f t="shared" si="7"/>
        <v>4.07422374243232</v>
      </c>
      <c r="AF64" s="50">
        <f t="shared" si="8"/>
        <v>1.2755284099287547</v>
      </c>
      <c r="AG64" s="51"/>
      <c r="AH64" s="50">
        <f t="shared" si="9"/>
        <v>6.0195140900158002</v>
      </c>
      <c r="AI64" s="52">
        <v>4309399</v>
      </c>
      <c r="AJ64" s="53">
        <v>25940488</v>
      </c>
      <c r="AK64" s="53">
        <v>19754872</v>
      </c>
      <c r="AL64" s="53">
        <v>6184712</v>
      </c>
      <c r="AM64" s="54"/>
      <c r="AN64" s="55">
        <v>80.025599999999997</v>
      </c>
      <c r="AO64" s="55">
        <v>84.764899999999997</v>
      </c>
      <c r="AP64" s="55">
        <v>36.3855</v>
      </c>
      <c r="AQ64" s="55">
        <v>44.581400000000002</v>
      </c>
      <c r="AR64" s="55">
        <v>45.242400000000004</v>
      </c>
      <c r="AS64" s="56"/>
      <c r="AT64" s="57"/>
      <c r="AU64" s="57"/>
      <c r="AW64" s="58">
        <f t="shared" si="10"/>
        <v>5.4015467513419901E-2</v>
      </c>
      <c r="AX64" s="58"/>
      <c r="AZ64" s="59"/>
      <c r="BA64" s="59"/>
      <c r="BB64" s="59"/>
      <c r="BC64" s="59"/>
      <c r="BD64" s="59"/>
      <c r="BE64" s="60"/>
      <c r="BG64" s="59"/>
      <c r="BH64" s="59"/>
      <c r="BI64" s="59"/>
      <c r="BJ64" s="59"/>
      <c r="BK64" s="59"/>
      <c r="BL64" s="60"/>
    </row>
    <row r="65" spans="1:64" collapsed="1" x14ac:dyDescent="0.15">
      <c r="A65" s="16"/>
      <c r="B65" s="16" t="s">
        <v>260</v>
      </c>
      <c r="C65" s="17" t="s">
        <v>225</v>
      </c>
      <c r="D65" s="16">
        <v>3096122</v>
      </c>
      <c r="E65" s="18">
        <v>12</v>
      </c>
      <c r="F65" s="17">
        <v>1</v>
      </c>
      <c r="G65" s="17"/>
      <c r="I65" s="19" t="str">
        <f t="shared" si="0"/>
        <v>·</v>
      </c>
      <c r="J65" s="20">
        <f t="shared" si="1"/>
        <v>8.0332751745570748E-3</v>
      </c>
      <c r="K65" s="20">
        <f t="shared" si="2"/>
        <v>7.2219376368243887E-3</v>
      </c>
      <c r="L65" s="20">
        <f t="shared" si="3"/>
        <v>6.5113713219311126E-4</v>
      </c>
      <c r="M65" s="21"/>
      <c r="N65" s="20">
        <f t="shared" si="4"/>
        <v>1.4785400071335157</v>
      </c>
      <c r="O65" s="22">
        <v>16822</v>
      </c>
      <c r="P65" s="23">
        <v>24872</v>
      </c>
      <c r="Q65" s="23">
        <v>22360</v>
      </c>
      <c r="R65" s="23">
        <v>2016</v>
      </c>
      <c r="S65" s="24"/>
      <c r="T65" s="25">
        <v>52.924199999999999</v>
      </c>
      <c r="U65" s="25">
        <v>54.9499</v>
      </c>
      <c r="V65" s="25">
        <v>20.3935</v>
      </c>
      <c r="W65" s="25">
        <v>27.1812</v>
      </c>
      <c r="X65" s="25">
        <v>25.0975</v>
      </c>
      <c r="Y65" s="26"/>
      <c r="Z65" s="27"/>
      <c r="AA65" s="27"/>
      <c r="AC65" s="19" t="str">
        <f t="shared" si="5"/>
        <v>·</v>
      </c>
      <c r="AD65" s="20">
        <f t="shared" si="6"/>
        <v>7.612103140638515E-3</v>
      </c>
      <c r="AE65" s="20">
        <f t="shared" si="7"/>
        <v>7.2219376368243887E-3</v>
      </c>
      <c r="AF65" s="20">
        <f t="shared" si="8"/>
        <v>2.3254897578325401E-4</v>
      </c>
      <c r="AG65" s="21"/>
      <c r="AH65" s="20">
        <f t="shared" si="9"/>
        <v>1.401022470574248</v>
      </c>
      <c r="AI65" s="22">
        <v>16822</v>
      </c>
      <c r="AJ65" s="23">
        <v>23568</v>
      </c>
      <c r="AK65" s="23">
        <v>22360</v>
      </c>
      <c r="AL65" s="23">
        <v>720</v>
      </c>
      <c r="AM65" s="24"/>
      <c r="AN65" s="25">
        <v>52.924199999999999</v>
      </c>
      <c r="AO65" s="25">
        <v>54.9499</v>
      </c>
      <c r="AP65" s="25">
        <v>19.707799999999999</v>
      </c>
      <c r="AQ65" s="25">
        <v>26.355699999999999</v>
      </c>
      <c r="AR65" s="25">
        <v>24.487100000000002</v>
      </c>
      <c r="AS65" s="26"/>
      <c r="AT65" s="27"/>
      <c r="AU65" s="27"/>
      <c r="AW65" s="28">
        <f t="shared" si="10"/>
        <v>4.974116492053704E-2</v>
      </c>
      <c r="AX65" s="28">
        <f t="array" ref="AX65">AVERAGE(AK65:AK70/AJ65:AJ70) - AVERAGE(Q65:Q70/P65:P70)</f>
        <v>7.8324304095249819E-2</v>
      </c>
      <c r="AZ65" s="29">
        <f>IF( OR(ISBLANK(Q65:Q70),ISBLANK(AK65:AK70), ISBLANK(T65:T70),ISBLANK(AN65:AN70)), "·", bdRateExtend( Q65:Q70,T65:T70, AK65:AK70,AN65:AN70))</f>
        <v>0</v>
      </c>
      <c r="BA65" s="29">
        <f>IF( OR(ISBLANK(Q65:Q70),ISBLANK(AK65:AK70), ISBLANK(U65:U70),ISBLANK(AO65:AO70)), "·", bdRateExtend( Q65:Q70,U65:U70, AK65:AK70,AO65:AO70))</f>
        <v>0</v>
      </c>
      <c r="BB65" s="29">
        <f>IF( OR(ISBLANK(R65:R70),ISBLANK(AL65:AL70), ISBLANK(V65:V70),ISBLANK(AP65:AP70)), "·", bdRateExtend( R65:R70,V65:V70, AL65:AL70,AP65:AP70))</f>
        <v>-0.12608518487783027</v>
      </c>
      <c r="BC65" s="29">
        <f>IF( OR(ISBLANK(R65:R70),ISBLANK(AL65:AL70), ISBLANK(W65:W70),ISBLANK(AQ65:AQ70)), "·", bdRateExtend( R65:R70,W65:W70, AL65:AL70,AQ65:AQ70))</f>
        <v>0.24779387470787029</v>
      </c>
      <c r="BD65" s="29">
        <f>IF( OR(ISBLANK(R65:R70),ISBLANK(AL65:AL70), ISBLANK(X65:X70),ISBLANK(AR65:AR70)), "·", bdRateExtend( R65:R70,X65:X70, AL65:AL70,AR65:AR70))</f>
        <v>0.14096235376941491</v>
      </c>
      <c r="BE65" s="30"/>
      <c r="BG65" s="29">
        <f>IF( OR(ISBLANK(P65:P70),ISBLANK(AJ65:AJ70), ISBLANK(T65:T70),ISBLANK(AN65:AN70)), "·", bdRateExtend( P65:P70,T65:T70, AJ65:AJ70,AN65:AN70))</f>
        <v>-0.11132974373224414</v>
      </c>
      <c r="BH65" s="29">
        <f>IF( OR(ISBLANK(P65:P70),ISBLANK(AJ65:AJ70), ISBLANK(U65:U70),ISBLANK(AO65:AO70)), "·", bdRateExtend( P65:P70,U65:U70, AJ65:AJ70,AO65:AO70))</f>
        <v>-0.11198203868662082</v>
      </c>
      <c r="BI65" s="29">
        <f>IF( OR(ISBLANK(P65:P70),ISBLANK(AJ65:AJ70), ISBLANK(V65:V70),ISBLANK(AP65:AP70)), "·", bdRateExtend( P65:P70,V65:V70, AJ65:AJ70,AP65:AP70))</f>
        <v>0.12155497857984043</v>
      </c>
      <c r="BJ65" s="29">
        <f>IF( OR(ISBLANK(P65:P70),ISBLANK(AJ65:AJ70), ISBLANK(W65:W70),ISBLANK(AQ65:AQ70)), "·", bdRateExtend( P65:P70,W65:W70, AJ65:AJ70,AQ65:AQ70))</f>
        <v>0.50921986973368893</v>
      </c>
      <c r="BK65" s="29">
        <f>IF( OR(ISBLANK(P65:P70),ISBLANK(AJ65:AJ70), ISBLANK(X65:X70),ISBLANK(AR65:AR70)), "·", bdRateExtend( P65:P70,X65:X70, AJ65:AJ70,AR65:AR70))</f>
        <v>0.41101054155833983</v>
      </c>
      <c r="BL65" s="30"/>
    </row>
    <row r="66" spans="1:64" outlineLevel="1" x14ac:dyDescent="0.15">
      <c r="A66" s="31"/>
      <c r="B66" s="31" t="s">
        <v>260</v>
      </c>
      <c r="C66" s="32" t="s">
        <v>226</v>
      </c>
      <c r="D66" s="31">
        <v>3096122</v>
      </c>
      <c r="E66" s="33">
        <v>12</v>
      </c>
      <c r="F66" s="32">
        <v>1</v>
      </c>
      <c r="G66" s="32"/>
      <c r="I66" s="34" t="str">
        <f t="shared" si="0"/>
        <v>·</v>
      </c>
      <c r="J66" s="35">
        <f t="shared" si="1"/>
        <v>3.020294419922729E-2</v>
      </c>
      <c r="K66" s="35">
        <f t="shared" si="2"/>
        <v>2.463468816797271E-2</v>
      </c>
      <c r="L66" s="35">
        <f t="shared" si="3"/>
        <v>5.4054717482063044E-3</v>
      </c>
      <c r="M66" s="36"/>
      <c r="N66" s="35">
        <f t="shared" si="4"/>
        <v>1.4062800769971127</v>
      </c>
      <c r="O66" s="37">
        <v>66496</v>
      </c>
      <c r="P66" s="38">
        <v>93512</v>
      </c>
      <c r="Q66" s="38">
        <v>76272</v>
      </c>
      <c r="R66" s="38">
        <v>16736</v>
      </c>
      <c r="S66" s="39"/>
      <c r="T66" s="40">
        <v>58.919899999999998</v>
      </c>
      <c r="U66" s="40">
        <v>61.243200000000002</v>
      </c>
      <c r="V66" s="40">
        <v>22.703700000000001</v>
      </c>
      <c r="W66" s="40">
        <v>29.62</v>
      </c>
      <c r="X66" s="40">
        <v>28.0199</v>
      </c>
      <c r="Y66" s="41"/>
      <c r="Z66" s="42"/>
      <c r="AA66" s="42"/>
      <c r="AC66" s="34" t="str">
        <f t="shared" si="5"/>
        <v>·</v>
      </c>
      <c r="AD66" s="35">
        <f t="shared" si="6"/>
        <v>2.7231485064219046E-2</v>
      </c>
      <c r="AE66" s="35">
        <f t="shared" si="7"/>
        <v>2.463468816797271E-2</v>
      </c>
      <c r="AF66" s="35">
        <f t="shared" si="8"/>
        <v>2.4365964907067618E-3</v>
      </c>
      <c r="AG66" s="36"/>
      <c r="AH66" s="35">
        <f t="shared" si="9"/>
        <v>1.2679258902791146</v>
      </c>
      <c r="AI66" s="37">
        <v>66496</v>
      </c>
      <c r="AJ66" s="38">
        <v>84312</v>
      </c>
      <c r="AK66" s="38">
        <v>76272</v>
      </c>
      <c r="AL66" s="38">
        <v>7544</v>
      </c>
      <c r="AM66" s="39"/>
      <c r="AN66" s="40">
        <v>58.919899999999998</v>
      </c>
      <c r="AO66" s="40">
        <v>61.243200000000002</v>
      </c>
      <c r="AP66" s="40">
        <v>21.860199999999999</v>
      </c>
      <c r="AQ66" s="40">
        <v>28.3032</v>
      </c>
      <c r="AR66" s="40">
        <v>26.525200000000002</v>
      </c>
      <c r="AS66" s="41"/>
      <c r="AT66" s="42"/>
      <c r="AU66" s="42"/>
      <c r="AW66" s="43">
        <f t="shared" si="10"/>
        <v>8.9001274296024335E-2</v>
      </c>
      <c r="AX66" s="43"/>
      <c r="AZ66" s="44"/>
      <c r="BA66" s="44"/>
      <c r="BB66" s="44"/>
      <c r="BC66" s="44"/>
      <c r="BD66" s="44"/>
      <c r="BE66" s="45"/>
      <c r="BG66" s="44"/>
      <c r="BH66" s="44"/>
      <c r="BI66" s="44"/>
      <c r="BJ66" s="44"/>
      <c r="BK66" s="44"/>
      <c r="BL66" s="45"/>
    </row>
    <row r="67" spans="1:64" outlineLevel="1" x14ac:dyDescent="0.15">
      <c r="A67" s="16"/>
      <c r="B67" s="16" t="s">
        <v>260</v>
      </c>
      <c r="C67" s="17" t="s">
        <v>227</v>
      </c>
      <c r="D67" s="16">
        <v>3096122</v>
      </c>
      <c r="E67" s="18">
        <v>12</v>
      </c>
      <c r="F67" s="17">
        <v>1</v>
      </c>
      <c r="G67" s="17"/>
      <c r="I67" s="19" t="str">
        <f t="shared" si="0"/>
        <v>·</v>
      </c>
      <c r="J67" s="20">
        <f t="shared" si="1"/>
        <v>0.12576765385860117</v>
      </c>
      <c r="K67" s="20">
        <f t="shared" si="2"/>
        <v>8.3777060464671607E-2</v>
      </c>
      <c r="L67" s="20">
        <f t="shared" si="3"/>
        <v>4.1827809110881291E-2</v>
      </c>
      <c r="M67" s="21"/>
      <c r="N67" s="20">
        <f t="shared" si="4"/>
        <v>1.5306469808999319</v>
      </c>
      <c r="O67" s="22">
        <v>254397</v>
      </c>
      <c r="P67" s="23">
        <v>389392</v>
      </c>
      <c r="Q67" s="23">
        <v>259384</v>
      </c>
      <c r="R67" s="23">
        <v>129504</v>
      </c>
      <c r="S67" s="24"/>
      <c r="T67" s="25">
        <v>64.846100000000007</v>
      </c>
      <c r="U67" s="25">
        <v>67.734800000000007</v>
      </c>
      <c r="V67" s="25">
        <v>26.163</v>
      </c>
      <c r="W67" s="25">
        <v>33.4818</v>
      </c>
      <c r="X67" s="25">
        <v>32.275300000000001</v>
      </c>
      <c r="Y67" s="26"/>
      <c r="Z67" s="27"/>
      <c r="AA67" s="27"/>
      <c r="AC67" s="19" t="str">
        <f t="shared" si="5"/>
        <v>·</v>
      </c>
      <c r="AD67" s="20">
        <f t="shared" si="6"/>
        <v>0.11093878083615569</v>
      </c>
      <c r="AE67" s="20">
        <f t="shared" si="7"/>
        <v>8.3777060464671607E-2</v>
      </c>
      <c r="AF67" s="20">
        <f t="shared" si="8"/>
        <v>2.7001519965944496E-2</v>
      </c>
      <c r="AG67" s="21"/>
      <c r="AH67" s="20">
        <f t="shared" si="9"/>
        <v>1.3501731545576403</v>
      </c>
      <c r="AI67" s="22">
        <v>254397</v>
      </c>
      <c r="AJ67" s="23">
        <v>343480</v>
      </c>
      <c r="AK67" s="23">
        <v>259384</v>
      </c>
      <c r="AL67" s="23">
        <v>83600</v>
      </c>
      <c r="AM67" s="24"/>
      <c r="AN67" s="25">
        <v>64.846100000000007</v>
      </c>
      <c r="AO67" s="25">
        <v>67.734800000000007</v>
      </c>
      <c r="AP67" s="25">
        <v>25.454599999999999</v>
      </c>
      <c r="AQ67" s="25">
        <v>31.896799999999999</v>
      </c>
      <c r="AR67" s="25">
        <v>30.903400000000001</v>
      </c>
      <c r="AS67" s="26"/>
      <c r="AT67" s="27"/>
      <c r="AU67" s="27"/>
      <c r="AW67" s="28">
        <f t="shared" si="10"/>
        <v>8.9039131676808658E-2</v>
      </c>
      <c r="AX67" s="28"/>
      <c r="AZ67" s="29"/>
      <c r="BA67" s="29"/>
      <c r="BB67" s="29"/>
      <c r="BC67" s="29"/>
      <c r="BD67" s="29"/>
      <c r="BE67" s="30"/>
      <c r="BG67" s="29"/>
      <c r="BH67" s="29"/>
      <c r="BI67" s="29"/>
      <c r="BJ67" s="29"/>
      <c r="BK67" s="29"/>
      <c r="BL67" s="30"/>
    </row>
    <row r="68" spans="1:64" outlineLevel="1" x14ac:dyDescent="0.15">
      <c r="A68" s="31"/>
      <c r="B68" s="31" t="s">
        <v>260</v>
      </c>
      <c r="C68" s="32" t="s">
        <v>228</v>
      </c>
      <c r="D68" s="31">
        <v>3096122</v>
      </c>
      <c r="E68" s="33">
        <v>12</v>
      </c>
      <c r="F68" s="32">
        <v>1</v>
      </c>
      <c r="G68" s="32"/>
      <c r="I68" s="34" t="str">
        <f t="shared" si="0"/>
        <v>·</v>
      </c>
      <c r="J68" s="35">
        <f t="shared" si="1"/>
        <v>0.53223225699762478</v>
      </c>
      <c r="K68" s="35">
        <f t="shared" si="2"/>
        <v>0.3005747189548732</v>
      </c>
      <c r="L68" s="35">
        <f t="shared" si="3"/>
        <v>0.23149475375970327</v>
      </c>
      <c r="M68" s="36"/>
      <c r="N68" s="35">
        <f t="shared" si="4"/>
        <v>1.80470271276654</v>
      </c>
      <c r="O68" s="37">
        <v>913090</v>
      </c>
      <c r="P68" s="38">
        <v>1647856</v>
      </c>
      <c r="Q68" s="38">
        <v>930616</v>
      </c>
      <c r="R68" s="38">
        <v>716736</v>
      </c>
      <c r="S68" s="39"/>
      <c r="T68" s="40">
        <v>70.478700000000003</v>
      </c>
      <c r="U68" s="40">
        <v>74.316500000000005</v>
      </c>
      <c r="V68" s="40">
        <v>31.307099999999998</v>
      </c>
      <c r="W68" s="40">
        <v>38.491500000000002</v>
      </c>
      <c r="X68" s="40">
        <v>37.779200000000003</v>
      </c>
      <c r="Y68" s="41"/>
      <c r="Z68" s="42"/>
      <c r="AA68" s="42"/>
      <c r="AC68" s="34" t="str">
        <f t="shared" si="5"/>
        <v>·</v>
      </c>
      <c r="AD68" s="35">
        <f t="shared" si="6"/>
        <v>0.46489899299833792</v>
      </c>
      <c r="AE68" s="35">
        <f t="shared" si="7"/>
        <v>0.3005747189548732</v>
      </c>
      <c r="AF68" s="35">
        <f t="shared" si="8"/>
        <v>0.16416407363792512</v>
      </c>
      <c r="AG68" s="36"/>
      <c r="AH68" s="35">
        <f t="shared" si="9"/>
        <v>1.5763878697609217</v>
      </c>
      <c r="AI68" s="37">
        <v>913090</v>
      </c>
      <c r="AJ68" s="38">
        <v>1439384</v>
      </c>
      <c r="AK68" s="38">
        <v>930616</v>
      </c>
      <c r="AL68" s="38">
        <v>508272</v>
      </c>
      <c r="AM68" s="39"/>
      <c r="AN68" s="40">
        <v>70.478700000000003</v>
      </c>
      <c r="AO68" s="40">
        <v>74.316500000000005</v>
      </c>
      <c r="AP68" s="40">
        <v>30.553699999999999</v>
      </c>
      <c r="AQ68" s="40">
        <v>36.6053</v>
      </c>
      <c r="AR68" s="40">
        <v>36.066200000000002</v>
      </c>
      <c r="AS68" s="41"/>
      <c r="AT68" s="42"/>
      <c r="AU68" s="42"/>
      <c r="AW68" s="43">
        <f t="shared" si="10"/>
        <v>8.1794164286933646E-2</v>
      </c>
      <c r="AX68" s="43"/>
      <c r="AZ68" s="44"/>
      <c r="BA68" s="44"/>
      <c r="BB68" s="44"/>
      <c r="BC68" s="44"/>
      <c r="BD68" s="44"/>
      <c r="BE68" s="45"/>
      <c r="BG68" s="44"/>
      <c r="BH68" s="44"/>
      <c r="BI68" s="44"/>
      <c r="BJ68" s="44"/>
      <c r="BK68" s="44"/>
      <c r="BL68" s="45"/>
    </row>
    <row r="69" spans="1:64" outlineLevel="1" x14ac:dyDescent="0.15">
      <c r="A69" s="16"/>
      <c r="B69" s="16" t="s">
        <v>260</v>
      </c>
      <c r="C69" s="17" t="s">
        <v>229</v>
      </c>
      <c r="D69" s="16">
        <v>3096122</v>
      </c>
      <c r="E69" s="18">
        <v>12</v>
      </c>
      <c r="F69" s="17">
        <v>1</v>
      </c>
      <c r="G69" s="17"/>
      <c r="I69" s="19" t="str">
        <f t="shared" ref="I69:I132" si="11">IF(OR(ISBLANK(P69),ISBLANK(G69)),"·",P69*G69/F69/1000000)</f>
        <v>·</v>
      </c>
      <c r="J69" s="20">
        <f t="shared" ref="J69:J132" si="12">IF(ISBLANK(P69),"·",P69/D69)</f>
        <v>1.9645582441518776</v>
      </c>
      <c r="K69" s="20">
        <f t="shared" ref="K69:K132" si="13">IF(Q69="","·",Q69/D69)</f>
        <v>1.0497544993382044</v>
      </c>
      <c r="L69" s="20">
        <f t="shared" ref="L69:L132" si="14">IF(ISBLANK(R69),"·",R69/D69)</f>
        <v>0.91456086032785533</v>
      </c>
      <c r="M69" s="21"/>
      <c r="N69" s="20">
        <f t="shared" ref="N69:N132" si="15">IF(ISBLANK(P69),"·",P69/O69)</f>
        <v>2.202864496847909</v>
      </c>
      <c r="O69" s="22">
        <v>2761183</v>
      </c>
      <c r="P69" s="23">
        <v>6082512</v>
      </c>
      <c r="Q69" s="23">
        <v>3250168</v>
      </c>
      <c r="R69" s="23">
        <v>2831592</v>
      </c>
      <c r="S69" s="24"/>
      <c r="T69" s="25">
        <v>75.258099999999999</v>
      </c>
      <c r="U69" s="25">
        <v>80.1845</v>
      </c>
      <c r="V69" s="25">
        <v>36.741399999999999</v>
      </c>
      <c r="W69" s="25">
        <v>43.681600000000003</v>
      </c>
      <c r="X69" s="25">
        <v>43.136400000000002</v>
      </c>
      <c r="Y69" s="26"/>
      <c r="Z69" s="27"/>
      <c r="AA69" s="27"/>
      <c r="AC69" s="19" t="str">
        <f t="shared" ref="AC69:AC132" si="16">IF(OR(ISBLANK(AJ69),ISBLANK(G69)),"·",AJ69*G69/F69/1000000)</f>
        <v>·</v>
      </c>
      <c r="AD69" s="20">
        <f t="shared" ref="AD69:AD132" si="17">IF(ISBLANK(AJ69),"·",AJ69/D69)</f>
        <v>1.7122710280796429</v>
      </c>
      <c r="AE69" s="20">
        <f t="shared" ref="AE69:AE132" si="18">IF(AK69="","·",AK69/D69)</f>
        <v>1.0497544993382044</v>
      </c>
      <c r="AF69" s="20">
        <f t="shared" ref="AF69:AF132" si="19">IF(ISBLANK(AL69),"·",AL69/D69)</f>
        <v>0.66227622813312914</v>
      </c>
      <c r="AG69" s="21"/>
      <c r="AH69" s="20">
        <f t="shared" ref="AH69:AH132" si="20">IF(ISBLANK(AJ69),"·",AJ69/AI69)</f>
        <v>1.9199741560048718</v>
      </c>
      <c r="AI69" s="22">
        <v>2761183</v>
      </c>
      <c r="AJ69" s="23">
        <v>5301400</v>
      </c>
      <c r="AK69" s="23">
        <v>3250168</v>
      </c>
      <c r="AL69" s="23">
        <v>2050488</v>
      </c>
      <c r="AM69" s="24"/>
      <c r="AN69" s="25">
        <v>75.258099999999999</v>
      </c>
      <c r="AO69" s="25">
        <v>80.1845</v>
      </c>
      <c r="AP69" s="25">
        <v>36.013100000000001</v>
      </c>
      <c r="AQ69" s="25">
        <v>41.883299999999998</v>
      </c>
      <c r="AR69" s="25">
        <v>41.447099999999999</v>
      </c>
      <c r="AS69" s="26"/>
      <c r="AT69" s="27"/>
      <c r="AU69" s="27"/>
      <c r="AW69" s="28">
        <f t="shared" ref="AW69:AW132" si="21">(AK69/AJ69) - (Q69/P69)</f>
        <v>7.8730964479785115E-2</v>
      </c>
      <c r="AX69" s="28"/>
      <c r="AZ69" s="29"/>
      <c r="BA69" s="29"/>
      <c r="BB69" s="29"/>
      <c r="BC69" s="29"/>
      <c r="BD69" s="29"/>
      <c r="BE69" s="30"/>
      <c r="BG69" s="29"/>
      <c r="BH69" s="29"/>
      <c r="BI69" s="29"/>
      <c r="BJ69" s="29"/>
      <c r="BK69" s="29"/>
      <c r="BL69" s="30"/>
    </row>
    <row r="70" spans="1:64" outlineLevel="1" x14ac:dyDescent="0.15">
      <c r="A70" s="31"/>
      <c r="B70" s="46" t="s">
        <v>260</v>
      </c>
      <c r="C70" s="47" t="s">
        <v>230</v>
      </c>
      <c r="D70" s="46">
        <v>3096122</v>
      </c>
      <c r="E70" s="48">
        <v>12</v>
      </c>
      <c r="F70" s="47">
        <v>1</v>
      </c>
      <c r="G70" s="47"/>
      <c r="I70" s="49" t="str">
        <f t="shared" si="11"/>
        <v>·</v>
      </c>
      <c r="J70" s="50">
        <f t="shared" si="12"/>
        <v>5.1018945635863187</v>
      </c>
      <c r="K70" s="50">
        <f t="shared" si="13"/>
        <v>3.1409537479466247</v>
      </c>
      <c r="L70" s="50">
        <f t="shared" si="14"/>
        <v>1.9606979311538757</v>
      </c>
      <c r="M70" s="51"/>
      <c r="N70" s="50">
        <f t="shared" si="15"/>
        <v>5.3405956374108738</v>
      </c>
      <c r="O70" s="52">
        <v>2957739</v>
      </c>
      <c r="P70" s="53">
        <v>15796088</v>
      </c>
      <c r="Q70" s="53">
        <v>9724776</v>
      </c>
      <c r="R70" s="53">
        <v>6070560</v>
      </c>
      <c r="S70" s="54"/>
      <c r="T70" s="55">
        <v>80.021100000000004</v>
      </c>
      <c r="U70" s="55">
        <v>84.843500000000006</v>
      </c>
      <c r="V70" s="55">
        <v>40.716200000000001</v>
      </c>
      <c r="W70" s="55">
        <v>45.824300000000001</v>
      </c>
      <c r="X70" s="55">
        <v>45.467799999999997</v>
      </c>
      <c r="Y70" s="56"/>
      <c r="Z70" s="57"/>
      <c r="AA70" s="57"/>
      <c r="AC70" s="49" t="str">
        <f t="shared" si="16"/>
        <v>·</v>
      </c>
      <c r="AD70" s="50">
        <f t="shared" si="17"/>
        <v>4.5045563450019088</v>
      </c>
      <c r="AE70" s="50">
        <f t="shared" si="18"/>
        <v>3.1409537479466247</v>
      </c>
      <c r="AF70" s="50">
        <f t="shared" si="19"/>
        <v>1.3633622964469747</v>
      </c>
      <c r="AG70" s="51"/>
      <c r="AH70" s="50">
        <f t="shared" si="20"/>
        <v>4.7153099039502813</v>
      </c>
      <c r="AI70" s="52">
        <v>2957739</v>
      </c>
      <c r="AJ70" s="53">
        <v>13946656</v>
      </c>
      <c r="AK70" s="53">
        <v>9724776</v>
      </c>
      <c r="AL70" s="53">
        <v>4221136</v>
      </c>
      <c r="AM70" s="54"/>
      <c r="AN70" s="55">
        <v>80.021100000000004</v>
      </c>
      <c r="AO70" s="55">
        <v>84.843500000000006</v>
      </c>
      <c r="AP70" s="55">
        <v>39.677799999999998</v>
      </c>
      <c r="AQ70" s="55">
        <v>44.47</v>
      </c>
      <c r="AR70" s="55">
        <v>44.139499999999998</v>
      </c>
      <c r="AS70" s="56"/>
      <c r="AT70" s="57"/>
      <c r="AU70" s="57"/>
      <c r="AW70" s="58">
        <f t="shared" si="21"/>
        <v>8.1639124911410565E-2</v>
      </c>
      <c r="AX70" s="58"/>
      <c r="AZ70" s="59"/>
      <c r="BA70" s="59"/>
      <c r="BB70" s="59"/>
      <c r="BC70" s="59"/>
      <c r="BD70" s="59"/>
      <c r="BE70" s="60"/>
      <c r="BG70" s="59"/>
      <c r="BH70" s="59"/>
      <c r="BI70" s="59"/>
      <c r="BJ70" s="59"/>
      <c r="BK70" s="59"/>
      <c r="BL70" s="60"/>
    </row>
    <row r="71" spans="1:64" collapsed="1" x14ac:dyDescent="0.15">
      <c r="A71" s="16"/>
      <c r="B71" s="16" t="s">
        <v>263</v>
      </c>
      <c r="C71" s="17" t="s">
        <v>225</v>
      </c>
      <c r="D71" s="16">
        <v>857966</v>
      </c>
      <c r="E71" s="18">
        <v>10</v>
      </c>
      <c r="F71" s="17">
        <v>1</v>
      </c>
      <c r="G71" s="17"/>
      <c r="I71" s="19" t="str">
        <f t="shared" si="11"/>
        <v>·</v>
      </c>
      <c r="J71" s="20">
        <f t="shared" si="12"/>
        <v>2.7133942370676692E-2</v>
      </c>
      <c r="K71" s="20">
        <f t="shared" si="13"/>
        <v>2.4308655587750562E-2</v>
      </c>
      <c r="L71" s="20">
        <f t="shared" si="14"/>
        <v>2.2285265383476735E-3</v>
      </c>
      <c r="M71" s="21"/>
      <c r="N71" s="20">
        <f t="shared" si="15"/>
        <v>1.4839367669556349</v>
      </c>
      <c r="O71" s="22">
        <v>15688</v>
      </c>
      <c r="P71" s="23">
        <v>23280</v>
      </c>
      <c r="Q71" s="23">
        <v>20856</v>
      </c>
      <c r="R71" s="23">
        <v>1912</v>
      </c>
      <c r="S71" s="24"/>
      <c r="T71" s="25">
        <v>52.777099999999997</v>
      </c>
      <c r="U71" s="25">
        <v>55.653300000000002</v>
      </c>
      <c r="V71" s="25">
        <v>20.399100000000001</v>
      </c>
      <c r="W71" s="25">
        <v>27.052700000000002</v>
      </c>
      <c r="X71" s="25">
        <v>25.2394</v>
      </c>
      <c r="Y71" s="26"/>
      <c r="Z71" s="27"/>
      <c r="AA71" s="27"/>
      <c r="AC71" s="19" t="str">
        <f t="shared" si="16"/>
        <v>·</v>
      </c>
      <c r="AD71" s="20">
        <f t="shared" si="17"/>
        <v>2.5772583062732089E-2</v>
      </c>
      <c r="AE71" s="20">
        <f t="shared" si="18"/>
        <v>2.4308655587750562E-2</v>
      </c>
      <c r="AF71" s="20">
        <f t="shared" si="19"/>
        <v>8.7649160922460801E-4</v>
      </c>
      <c r="AG71" s="21"/>
      <c r="AH71" s="20">
        <f t="shared" si="20"/>
        <v>1.409484956654768</v>
      </c>
      <c r="AI71" s="22">
        <v>15688</v>
      </c>
      <c r="AJ71" s="23">
        <v>22112</v>
      </c>
      <c r="AK71" s="23">
        <v>20856</v>
      </c>
      <c r="AL71" s="23">
        <v>752</v>
      </c>
      <c r="AM71" s="24"/>
      <c r="AN71" s="25">
        <v>52.777099999999997</v>
      </c>
      <c r="AO71" s="25">
        <v>55.653300000000002</v>
      </c>
      <c r="AP71" s="25">
        <v>19.488</v>
      </c>
      <c r="AQ71" s="25">
        <v>26.223600000000001</v>
      </c>
      <c r="AR71" s="25">
        <v>24.337199999999999</v>
      </c>
      <c r="AS71" s="26"/>
      <c r="AT71" s="27"/>
      <c r="AU71" s="27"/>
      <c r="AW71" s="28">
        <f t="shared" si="21"/>
        <v>4.7321974726602711E-2</v>
      </c>
      <c r="AX71" s="28">
        <f t="array" ref="AX71">AVERAGE(AK71:AK76/AJ71:AJ76) - AVERAGE(Q71:Q76/P71:P76)</f>
        <v>6.7453599942318587E-2</v>
      </c>
      <c r="AZ71" s="29">
        <f>IF( OR(ISBLANK(Q71:Q76),ISBLANK(AK71:AK76), ISBLANK(T71:T76),ISBLANK(AN71:AN76)), "·", bdRateExtend( Q71:Q76,T71:T76, AK71:AK76,AN71:AN76))</f>
        <v>0</v>
      </c>
      <c r="BA71" s="29">
        <f>IF( OR(ISBLANK(Q71:Q76),ISBLANK(AK71:AK76), ISBLANK(U71:U76),ISBLANK(AO71:AO76)), "·", bdRateExtend( Q71:Q76,U71:U76, AK71:AK76,AO71:AO76))</f>
        <v>0</v>
      </c>
      <c r="BB71" s="29">
        <f>IF( OR(ISBLANK(R71:R76),ISBLANK(AL71:AL76), ISBLANK(V71:V76),ISBLANK(AP71:AP76)), "·", bdRateExtend( R71:R76,V71:V76, AL71:AL76,AP71:AP76))</f>
        <v>-0.10239556729254695</v>
      </c>
      <c r="BC71" s="29">
        <f>IF( OR(ISBLANK(R71:R76),ISBLANK(AL71:AL76), ISBLANK(W71:W76),ISBLANK(AQ71:AQ76)), "·", bdRateExtend( R71:R76,W71:W76, AL71:AL76,AQ71:AQ76))</f>
        <v>0.17719801452967499</v>
      </c>
      <c r="BD71" s="29">
        <f>IF( OR(ISBLANK(R71:R76),ISBLANK(AL71:AL76), ISBLANK(X71:X76),ISBLANK(AR71:AR76)), "·", bdRateExtend( R71:R76,X71:X76, AL71:AL76,AR71:AR76))</f>
        <v>0.10568220705853282</v>
      </c>
      <c r="BE71" s="30"/>
      <c r="BG71" s="29">
        <f>IF( OR(ISBLANK(P71:P76),ISBLANK(AJ71:AJ76), ISBLANK(T71:T76),ISBLANK(AN71:AN76)), "·", bdRateExtend( P71:P76,T71:T76, AJ71:AJ76,AN71:AN76))</f>
        <v>-0.10688776563456004</v>
      </c>
      <c r="BH71" s="29">
        <f>IF( OR(ISBLANK(P71:P76),ISBLANK(AJ71:AJ76), ISBLANK(U71:U76),ISBLANK(AO71:AO76)), "·", bdRateExtend( P71:P76,U71:U76, AJ71:AJ76,AO71:AO76))</f>
        <v>-0.10524837803490938</v>
      </c>
      <c r="BI71" s="29">
        <f>IF( OR(ISBLANK(P71:P76),ISBLANK(AJ71:AJ76), ISBLANK(V71:V76),ISBLANK(AP71:AP76)), "·", bdRateExtend( P71:P76,V71:V76, AJ71:AJ76,AP71:AP76))</f>
        <v>8.2306210004776004E-2</v>
      </c>
      <c r="BJ71" s="29">
        <f>IF( OR(ISBLANK(P71:P76),ISBLANK(AJ71:AJ76), ISBLANK(W71:W76),ISBLANK(AQ71:AQ76)), "·", bdRateExtend( P71:P76,W71:W76, AJ71:AJ76,AQ71:AQ76))</f>
        <v>0.32262692503715806</v>
      </c>
      <c r="BK71" s="29">
        <f>IF( OR(ISBLANK(P71:P76),ISBLANK(AJ71:AJ76), ISBLANK(X71:X76),ISBLANK(AR71:AR76)), "·", bdRateExtend( P71:P76,X71:X76, AJ71:AJ76,AR71:AR76))</f>
        <v>0.2703467767182608</v>
      </c>
      <c r="BL71" s="30"/>
    </row>
    <row r="72" spans="1:64" outlineLevel="1" x14ac:dyDescent="0.15">
      <c r="A72" s="31"/>
      <c r="B72" s="31" t="s">
        <v>263</v>
      </c>
      <c r="C72" s="32" t="s">
        <v>226</v>
      </c>
      <c r="D72" s="31">
        <v>857966</v>
      </c>
      <c r="E72" s="33">
        <v>10</v>
      </c>
      <c r="F72" s="32">
        <v>1</v>
      </c>
      <c r="G72" s="32"/>
      <c r="I72" s="34" t="str">
        <f t="shared" si="11"/>
        <v>·</v>
      </c>
      <c r="J72" s="35">
        <f t="shared" si="12"/>
        <v>0.10239100383931297</v>
      </c>
      <c r="K72" s="35">
        <f t="shared" si="13"/>
        <v>8.3210756603408528E-2</v>
      </c>
      <c r="L72" s="35">
        <f t="shared" si="14"/>
        <v>1.8574162612504459E-2</v>
      </c>
      <c r="M72" s="36"/>
      <c r="N72" s="35">
        <f t="shared" si="15"/>
        <v>1.4139385160148077</v>
      </c>
      <c r="O72" s="37">
        <v>62130</v>
      </c>
      <c r="P72" s="38">
        <v>87848</v>
      </c>
      <c r="Q72" s="38">
        <v>71392</v>
      </c>
      <c r="R72" s="38">
        <v>15936</v>
      </c>
      <c r="S72" s="39"/>
      <c r="T72" s="40">
        <v>58.441499999999998</v>
      </c>
      <c r="U72" s="40">
        <v>62.248399999999997</v>
      </c>
      <c r="V72" s="40">
        <v>22.723600000000001</v>
      </c>
      <c r="W72" s="40">
        <v>29.6464</v>
      </c>
      <c r="X72" s="40">
        <v>28.054500000000001</v>
      </c>
      <c r="Y72" s="41"/>
      <c r="Z72" s="42"/>
      <c r="AA72" s="42"/>
      <c r="AC72" s="34" t="str">
        <f t="shared" si="16"/>
        <v>·</v>
      </c>
      <c r="AD72" s="35">
        <f t="shared" si="17"/>
        <v>9.232067471205152E-2</v>
      </c>
      <c r="AE72" s="35">
        <f t="shared" si="18"/>
        <v>8.3210756603408528E-2</v>
      </c>
      <c r="AF72" s="35">
        <f t="shared" si="19"/>
        <v>8.5131578640645425E-3</v>
      </c>
      <c r="AG72" s="36"/>
      <c r="AH72" s="35">
        <f t="shared" si="20"/>
        <v>1.2748752615483663</v>
      </c>
      <c r="AI72" s="37">
        <v>62130</v>
      </c>
      <c r="AJ72" s="38">
        <v>79208</v>
      </c>
      <c r="AK72" s="38">
        <v>71392</v>
      </c>
      <c r="AL72" s="38">
        <v>7304</v>
      </c>
      <c r="AM72" s="39"/>
      <c r="AN72" s="40">
        <v>58.441499999999998</v>
      </c>
      <c r="AO72" s="40">
        <v>62.248399999999997</v>
      </c>
      <c r="AP72" s="40">
        <v>21.821200000000001</v>
      </c>
      <c r="AQ72" s="40">
        <v>28.543500000000002</v>
      </c>
      <c r="AR72" s="40">
        <v>26.8078</v>
      </c>
      <c r="AS72" s="41"/>
      <c r="AT72" s="42"/>
      <c r="AU72" s="42"/>
      <c r="AW72" s="43">
        <f t="shared" si="21"/>
        <v>8.8646657551320729E-2</v>
      </c>
      <c r="AX72" s="43"/>
      <c r="AZ72" s="44"/>
      <c r="BA72" s="44"/>
      <c r="BB72" s="44"/>
      <c r="BC72" s="44"/>
      <c r="BD72" s="44"/>
      <c r="BE72" s="45"/>
      <c r="BG72" s="44"/>
      <c r="BH72" s="44"/>
      <c r="BI72" s="44"/>
      <c r="BJ72" s="44"/>
      <c r="BK72" s="44"/>
      <c r="BL72" s="45"/>
    </row>
    <row r="73" spans="1:64" outlineLevel="1" x14ac:dyDescent="0.15">
      <c r="A73" s="16"/>
      <c r="B73" s="16" t="s">
        <v>263</v>
      </c>
      <c r="C73" s="17" t="s">
        <v>227</v>
      </c>
      <c r="D73" s="16">
        <v>857966</v>
      </c>
      <c r="E73" s="18">
        <v>10</v>
      </c>
      <c r="F73" s="17">
        <v>1</v>
      </c>
      <c r="G73" s="17"/>
      <c r="I73" s="19" t="str">
        <f t="shared" si="11"/>
        <v>·</v>
      </c>
      <c r="J73" s="20">
        <f t="shared" si="12"/>
        <v>0.42762533713457179</v>
      </c>
      <c r="K73" s="20">
        <f t="shared" si="13"/>
        <v>0.2831067897795484</v>
      </c>
      <c r="L73" s="20">
        <f t="shared" si="14"/>
        <v>0.14391246273162339</v>
      </c>
      <c r="M73" s="21"/>
      <c r="N73" s="20">
        <f t="shared" si="15"/>
        <v>1.5383660667863073</v>
      </c>
      <c r="O73" s="22">
        <v>238492</v>
      </c>
      <c r="P73" s="23">
        <v>366888</v>
      </c>
      <c r="Q73" s="23">
        <v>242896</v>
      </c>
      <c r="R73" s="23">
        <v>123472</v>
      </c>
      <c r="S73" s="24"/>
      <c r="T73" s="25">
        <v>63.212200000000003</v>
      </c>
      <c r="U73" s="25">
        <v>68.462699999999998</v>
      </c>
      <c r="V73" s="25">
        <v>26.431699999999999</v>
      </c>
      <c r="W73" s="25">
        <v>33.723300000000002</v>
      </c>
      <c r="X73" s="25">
        <v>32.636600000000001</v>
      </c>
      <c r="Y73" s="26"/>
      <c r="Z73" s="27"/>
      <c r="AA73" s="27"/>
      <c r="AC73" s="19" t="str">
        <f t="shared" si="16"/>
        <v>·</v>
      </c>
      <c r="AD73" s="20">
        <f t="shared" si="17"/>
        <v>0.37608949538792913</v>
      </c>
      <c r="AE73" s="20">
        <f t="shared" si="18"/>
        <v>0.2831067897795484</v>
      </c>
      <c r="AF73" s="20">
        <f t="shared" si="19"/>
        <v>9.2385945363802291E-2</v>
      </c>
      <c r="AG73" s="21"/>
      <c r="AH73" s="20">
        <f t="shared" si="20"/>
        <v>1.3529678144340271</v>
      </c>
      <c r="AI73" s="22">
        <v>238492</v>
      </c>
      <c r="AJ73" s="23">
        <v>322672</v>
      </c>
      <c r="AK73" s="23">
        <v>242896</v>
      </c>
      <c r="AL73" s="23">
        <v>79264</v>
      </c>
      <c r="AM73" s="24"/>
      <c r="AN73" s="25">
        <v>63.212200000000003</v>
      </c>
      <c r="AO73" s="25">
        <v>68.462699999999998</v>
      </c>
      <c r="AP73" s="25">
        <v>25.65</v>
      </c>
      <c r="AQ73" s="25">
        <v>32.078000000000003</v>
      </c>
      <c r="AR73" s="25">
        <v>31.1264</v>
      </c>
      <c r="AS73" s="26"/>
      <c r="AT73" s="27"/>
      <c r="AU73" s="27"/>
      <c r="AW73" s="28">
        <f t="shared" si="21"/>
        <v>9.0720414587690201E-2</v>
      </c>
      <c r="AX73" s="28"/>
      <c r="AZ73" s="29"/>
      <c r="BA73" s="29"/>
      <c r="BB73" s="29"/>
      <c r="BC73" s="29"/>
      <c r="BD73" s="29"/>
      <c r="BE73" s="30"/>
      <c r="BG73" s="29"/>
      <c r="BH73" s="29"/>
      <c r="BI73" s="29"/>
      <c r="BJ73" s="29"/>
      <c r="BK73" s="29"/>
      <c r="BL73" s="30"/>
    </row>
    <row r="74" spans="1:64" outlineLevel="1" x14ac:dyDescent="0.15">
      <c r="A74" s="31"/>
      <c r="B74" s="31" t="s">
        <v>263</v>
      </c>
      <c r="C74" s="32" t="s">
        <v>228</v>
      </c>
      <c r="D74" s="31">
        <v>857966</v>
      </c>
      <c r="E74" s="33">
        <v>10</v>
      </c>
      <c r="F74" s="32">
        <v>1</v>
      </c>
      <c r="G74" s="32"/>
      <c r="I74" s="34" t="str">
        <f t="shared" si="11"/>
        <v>·</v>
      </c>
      <c r="J74" s="35">
        <f t="shared" si="12"/>
        <v>1.2025837853714483</v>
      </c>
      <c r="K74" s="35">
        <f t="shared" si="13"/>
        <v>0.63691101978400078</v>
      </c>
      <c r="L74" s="35">
        <f t="shared" si="14"/>
        <v>0.56505735658522593</v>
      </c>
      <c r="M74" s="36"/>
      <c r="N74" s="35">
        <f t="shared" si="15"/>
        <v>2.0264039625583798</v>
      </c>
      <c r="O74" s="37">
        <v>509166</v>
      </c>
      <c r="P74" s="38">
        <v>1031776</v>
      </c>
      <c r="Q74" s="38">
        <v>546448</v>
      </c>
      <c r="R74" s="38">
        <v>484800</v>
      </c>
      <c r="S74" s="39"/>
      <c r="T74" s="40">
        <v>67.983999999999995</v>
      </c>
      <c r="U74" s="40">
        <v>73.363299999999995</v>
      </c>
      <c r="V74" s="40">
        <v>30.1431</v>
      </c>
      <c r="W74" s="40">
        <v>37.287799999999997</v>
      </c>
      <c r="X74" s="40">
        <v>36.480800000000002</v>
      </c>
      <c r="Y74" s="41"/>
      <c r="Z74" s="42"/>
      <c r="AA74" s="42"/>
      <c r="AC74" s="34" t="str">
        <f t="shared" si="16"/>
        <v>·</v>
      </c>
      <c r="AD74" s="35">
        <f t="shared" si="17"/>
        <v>1.045458677849705</v>
      </c>
      <c r="AE74" s="35">
        <f t="shared" si="18"/>
        <v>0.63691101978400078</v>
      </c>
      <c r="AF74" s="35">
        <f t="shared" si="19"/>
        <v>0.40794157344230425</v>
      </c>
      <c r="AG74" s="36"/>
      <c r="AH74" s="35">
        <f t="shared" si="20"/>
        <v>1.7616415864374291</v>
      </c>
      <c r="AI74" s="37">
        <v>509166</v>
      </c>
      <c r="AJ74" s="38">
        <v>896968</v>
      </c>
      <c r="AK74" s="38">
        <v>546448</v>
      </c>
      <c r="AL74" s="38">
        <v>350000</v>
      </c>
      <c r="AM74" s="39"/>
      <c r="AN74" s="40">
        <v>67.983999999999995</v>
      </c>
      <c r="AO74" s="40">
        <v>73.363299999999995</v>
      </c>
      <c r="AP74" s="40">
        <v>29.495899999999999</v>
      </c>
      <c r="AQ74" s="40">
        <v>35.564500000000002</v>
      </c>
      <c r="AR74" s="40">
        <v>34.954099999999997</v>
      </c>
      <c r="AS74" s="41"/>
      <c r="AT74" s="42"/>
      <c r="AU74" s="42"/>
      <c r="AW74" s="43">
        <f t="shared" si="21"/>
        <v>7.9597996253512049E-2</v>
      </c>
      <c r="AX74" s="43"/>
      <c r="AZ74" s="44"/>
      <c r="BA74" s="44"/>
      <c r="BB74" s="44"/>
      <c r="BC74" s="44"/>
      <c r="BD74" s="44"/>
      <c r="BE74" s="45"/>
      <c r="BG74" s="44"/>
      <c r="BH74" s="44"/>
      <c r="BI74" s="44"/>
      <c r="BJ74" s="44"/>
      <c r="BK74" s="44"/>
      <c r="BL74" s="45"/>
    </row>
    <row r="75" spans="1:64" outlineLevel="1" x14ac:dyDescent="0.15">
      <c r="A75" s="16"/>
      <c r="B75" s="16" t="s">
        <v>263</v>
      </c>
      <c r="C75" s="17" t="s">
        <v>229</v>
      </c>
      <c r="D75" s="16">
        <v>857966</v>
      </c>
      <c r="E75" s="18">
        <v>10</v>
      </c>
      <c r="F75" s="17">
        <v>1</v>
      </c>
      <c r="G75" s="17"/>
      <c r="I75" s="19" t="str">
        <f t="shared" si="11"/>
        <v>·</v>
      </c>
      <c r="J75" s="20">
        <f t="shared" si="12"/>
        <v>2.1852520962369137</v>
      </c>
      <c r="K75" s="20">
        <f t="shared" si="13"/>
        <v>0.82491846996267915</v>
      </c>
      <c r="L75" s="20">
        <f t="shared" si="14"/>
        <v>1.359718217272013</v>
      </c>
      <c r="M75" s="21"/>
      <c r="N75" s="20">
        <f t="shared" si="15"/>
        <v>2.7801994762488027</v>
      </c>
      <c r="O75" s="22">
        <v>674366</v>
      </c>
      <c r="P75" s="23">
        <v>1874872</v>
      </c>
      <c r="Q75" s="23">
        <v>707752</v>
      </c>
      <c r="R75" s="23">
        <v>1166592</v>
      </c>
      <c r="S75" s="24"/>
      <c r="T75" s="25">
        <v>69.679100000000005</v>
      </c>
      <c r="U75" s="25">
        <v>74.742800000000003</v>
      </c>
      <c r="V75" s="25">
        <v>33.616799999999998</v>
      </c>
      <c r="W75" s="25">
        <v>40.168199999999999</v>
      </c>
      <c r="X75" s="25">
        <v>39.657699999999998</v>
      </c>
      <c r="Y75" s="26"/>
      <c r="Z75" s="27"/>
      <c r="AA75" s="27"/>
      <c r="AC75" s="19" t="str">
        <f t="shared" si="16"/>
        <v>·</v>
      </c>
      <c r="AD75" s="20">
        <f t="shared" si="17"/>
        <v>1.9055580291060485</v>
      </c>
      <c r="AE75" s="20">
        <f t="shared" si="18"/>
        <v>0.82491846996267915</v>
      </c>
      <c r="AF75" s="20">
        <f t="shared" si="19"/>
        <v>1.0800334745199693</v>
      </c>
      <c r="AG75" s="21"/>
      <c r="AH75" s="20">
        <f t="shared" si="20"/>
        <v>2.4243570998537884</v>
      </c>
      <c r="AI75" s="22">
        <v>674366</v>
      </c>
      <c r="AJ75" s="23">
        <v>1634904</v>
      </c>
      <c r="AK75" s="23">
        <v>707752</v>
      </c>
      <c r="AL75" s="23">
        <v>926632</v>
      </c>
      <c r="AM75" s="24"/>
      <c r="AN75" s="25">
        <v>69.679100000000005</v>
      </c>
      <c r="AO75" s="25">
        <v>74.742800000000003</v>
      </c>
      <c r="AP75" s="25">
        <v>33.220799999999997</v>
      </c>
      <c r="AQ75" s="25">
        <v>38.992800000000003</v>
      </c>
      <c r="AR75" s="25">
        <v>38.492800000000003</v>
      </c>
      <c r="AS75" s="26"/>
      <c r="AT75" s="27"/>
      <c r="AU75" s="27"/>
      <c r="AW75" s="28">
        <f t="shared" si="21"/>
        <v>5.5407755477660137E-2</v>
      </c>
      <c r="AX75" s="28"/>
      <c r="AZ75" s="29"/>
      <c r="BA75" s="29"/>
      <c r="BB75" s="29"/>
      <c r="BC75" s="29"/>
      <c r="BD75" s="29"/>
      <c r="BE75" s="30"/>
      <c r="BG75" s="29"/>
      <c r="BH75" s="29"/>
      <c r="BI75" s="29"/>
      <c r="BJ75" s="29"/>
      <c r="BK75" s="29"/>
      <c r="BL75" s="30"/>
    </row>
    <row r="76" spans="1:64" outlineLevel="1" x14ac:dyDescent="0.15">
      <c r="A76" s="31"/>
      <c r="B76" s="46" t="s">
        <v>263</v>
      </c>
      <c r="C76" s="47" t="s">
        <v>230</v>
      </c>
      <c r="D76" s="46">
        <v>857966</v>
      </c>
      <c r="E76" s="48">
        <v>10</v>
      </c>
      <c r="F76" s="47">
        <v>1</v>
      </c>
      <c r="G76" s="47"/>
      <c r="I76" s="49" t="str">
        <f t="shared" si="11"/>
        <v>·</v>
      </c>
      <c r="J76" s="50">
        <f t="shared" si="12"/>
        <v>3.5787152404640743</v>
      </c>
      <c r="K76" s="50">
        <f t="shared" si="13"/>
        <v>0.9213511957350291</v>
      </c>
      <c r="L76" s="50">
        <f t="shared" si="14"/>
        <v>2.6567486357268235</v>
      </c>
      <c r="M76" s="51"/>
      <c r="N76" s="50">
        <f t="shared" si="15"/>
        <v>4.0153057888418395</v>
      </c>
      <c r="O76" s="52">
        <v>764678</v>
      </c>
      <c r="P76" s="53">
        <v>3070416</v>
      </c>
      <c r="Q76" s="53">
        <v>790488</v>
      </c>
      <c r="R76" s="53">
        <v>2279400</v>
      </c>
      <c r="S76" s="54"/>
      <c r="T76" s="55">
        <v>70.385000000000005</v>
      </c>
      <c r="U76" s="55">
        <v>75.237700000000004</v>
      </c>
      <c r="V76" s="55">
        <v>37.185899999999997</v>
      </c>
      <c r="W76" s="55">
        <v>42.972700000000003</v>
      </c>
      <c r="X76" s="55">
        <v>42.671300000000002</v>
      </c>
      <c r="Y76" s="56"/>
      <c r="Z76" s="57"/>
      <c r="AA76" s="57"/>
      <c r="AC76" s="49" t="str">
        <f t="shared" si="16"/>
        <v>·</v>
      </c>
      <c r="AD76" s="50">
        <f t="shared" si="17"/>
        <v>3.0662660291899679</v>
      </c>
      <c r="AE76" s="50">
        <f t="shared" si="18"/>
        <v>0.9213511957350291</v>
      </c>
      <c r="AF76" s="50">
        <f t="shared" si="19"/>
        <v>2.1443087488315387</v>
      </c>
      <c r="AG76" s="51"/>
      <c r="AH76" s="50">
        <f t="shared" si="20"/>
        <v>3.4403395939205783</v>
      </c>
      <c r="AI76" s="52">
        <v>764678</v>
      </c>
      <c r="AJ76" s="53">
        <v>2630752</v>
      </c>
      <c r="AK76" s="53">
        <v>790488</v>
      </c>
      <c r="AL76" s="53">
        <v>1839744</v>
      </c>
      <c r="AM76" s="54"/>
      <c r="AN76" s="55">
        <v>70.385000000000005</v>
      </c>
      <c r="AO76" s="55">
        <v>75.237700000000004</v>
      </c>
      <c r="AP76" s="55">
        <v>36.703800000000001</v>
      </c>
      <c r="AQ76" s="55">
        <v>42.019799999999996</v>
      </c>
      <c r="AR76" s="55">
        <v>41.635300000000001</v>
      </c>
      <c r="AS76" s="56"/>
      <c r="AT76" s="57"/>
      <c r="AU76" s="57"/>
      <c r="AW76" s="58">
        <f t="shared" si="21"/>
        <v>4.3026801057126696E-2</v>
      </c>
      <c r="AX76" s="58"/>
      <c r="AZ76" s="59"/>
      <c r="BA76" s="59"/>
      <c r="BB76" s="59"/>
      <c r="BC76" s="59"/>
      <c r="BD76" s="59"/>
      <c r="BE76" s="60"/>
      <c r="BG76" s="59"/>
      <c r="BH76" s="59"/>
      <c r="BI76" s="59"/>
      <c r="BJ76" s="59"/>
      <c r="BK76" s="59"/>
      <c r="BL76" s="60"/>
    </row>
    <row r="77" spans="1:64" collapsed="1" x14ac:dyDescent="0.15">
      <c r="A77" s="16"/>
      <c r="B77" s="16" t="s">
        <v>266</v>
      </c>
      <c r="C77" s="17" t="s">
        <v>225</v>
      </c>
      <c r="D77" s="16">
        <v>3017285</v>
      </c>
      <c r="E77" s="18">
        <v>12</v>
      </c>
      <c r="F77" s="17">
        <v>1</v>
      </c>
      <c r="G77" s="17"/>
      <c r="I77" s="19" t="str">
        <f t="shared" si="11"/>
        <v>·</v>
      </c>
      <c r="J77" s="20">
        <f t="shared" si="12"/>
        <v>7.3125342816472427E-3</v>
      </c>
      <c r="K77" s="20">
        <f t="shared" si="13"/>
        <v>6.840586818944846E-3</v>
      </c>
      <c r="L77" s="20">
        <f t="shared" si="14"/>
        <v>3.0756126782852794E-4</v>
      </c>
      <c r="M77" s="21"/>
      <c r="N77" s="20">
        <f t="shared" si="15"/>
        <v>1.375818419903972</v>
      </c>
      <c r="O77" s="22">
        <v>16037</v>
      </c>
      <c r="P77" s="23">
        <v>22064</v>
      </c>
      <c r="Q77" s="23">
        <v>20640</v>
      </c>
      <c r="R77" s="23">
        <v>928</v>
      </c>
      <c r="S77" s="24"/>
      <c r="T77" s="25">
        <v>52.910699999999999</v>
      </c>
      <c r="U77" s="25">
        <v>54.946800000000003</v>
      </c>
      <c r="V77" s="25">
        <v>25.8782</v>
      </c>
      <c r="W77" s="25">
        <v>36.788600000000002</v>
      </c>
      <c r="X77" s="25">
        <v>36.919400000000003</v>
      </c>
      <c r="Y77" s="26"/>
      <c r="Z77" s="27"/>
      <c r="AA77" s="27"/>
      <c r="AC77" s="19" t="str">
        <f t="shared" si="16"/>
        <v>·</v>
      </c>
      <c r="AD77" s="20">
        <f t="shared" si="17"/>
        <v>7.1720105989324838E-3</v>
      </c>
      <c r="AE77" s="20">
        <f t="shared" si="18"/>
        <v>6.840586818944846E-3</v>
      </c>
      <c r="AF77" s="20">
        <f t="shared" si="19"/>
        <v>1.6968897535367061E-4</v>
      </c>
      <c r="AG77" s="21"/>
      <c r="AH77" s="20">
        <f t="shared" si="20"/>
        <v>1.3493795597680365</v>
      </c>
      <c r="AI77" s="22">
        <v>16037</v>
      </c>
      <c r="AJ77" s="23">
        <v>21640</v>
      </c>
      <c r="AK77" s="23">
        <v>20640</v>
      </c>
      <c r="AL77" s="23">
        <v>512</v>
      </c>
      <c r="AM77" s="24"/>
      <c r="AN77" s="25">
        <v>52.910699999999999</v>
      </c>
      <c r="AO77" s="25">
        <v>54.946800000000003</v>
      </c>
      <c r="AP77" s="25">
        <v>24.956499999999998</v>
      </c>
      <c r="AQ77" s="25">
        <v>35.420900000000003</v>
      </c>
      <c r="AR77" s="25">
        <v>34.872500000000002</v>
      </c>
      <c r="AS77" s="26"/>
      <c r="AT77" s="27"/>
      <c r="AU77" s="27"/>
      <c r="AW77" s="28">
        <f t="shared" si="21"/>
        <v>1.8328800505067355E-2</v>
      </c>
      <c r="AX77" s="28">
        <f t="array" ref="AX77">AVERAGE(AK77:AK82/AJ77:AJ82) - AVERAGE(Q77:Q82/P77:P82)</f>
        <v>3.9127081410145093E-2</v>
      </c>
      <c r="AZ77" s="29">
        <f>IF( OR(ISBLANK(Q77:Q82),ISBLANK(AK77:AK82), ISBLANK(T77:T82),ISBLANK(AN77:AN82)), "·", bdRateExtend( Q77:Q82,T77:T82, AK77:AK82,AN77:AN82))</f>
        <v>0</v>
      </c>
      <c r="BA77" s="29">
        <f>IF( OR(ISBLANK(Q77:Q82),ISBLANK(AK77:AK82), ISBLANK(U77:U82),ISBLANK(AO77:AO82)), "·", bdRateExtend( Q77:Q82,U77:U82, AK77:AK82,AO77:AO82))</f>
        <v>0</v>
      </c>
      <c r="BB77" s="29">
        <f>IF( OR(ISBLANK(R77:R82),ISBLANK(AL77:AL82), ISBLANK(V77:V82),ISBLANK(AP77:AP82)), "·", bdRateExtend( R77:R82,V77:V82, AL77:AL82,AP77:AP82))</f>
        <v>4.1230574543831278E-2</v>
      </c>
      <c r="BC77" s="29">
        <f>IF( OR(ISBLANK(R77:R82),ISBLANK(AL77:AL82), ISBLANK(W77:W82),ISBLANK(AQ77:AQ82)), "·", bdRateExtend( R77:R82,W77:W82, AL77:AL82,AQ77:AQ82))</f>
        <v>0.39603616589818036</v>
      </c>
      <c r="BD77" s="29">
        <f>IF( OR(ISBLANK(R77:R82),ISBLANK(AL77:AL82), ISBLANK(X77:X82),ISBLANK(AR77:AR82)), "·", bdRateExtend( R77:R82,X77:X82, AL77:AL82,AR77:AR82))</f>
        <v>0.36153622573670074</v>
      </c>
      <c r="BE77" s="30"/>
      <c r="BG77" s="29">
        <f>IF( OR(ISBLANK(P77:P82),ISBLANK(AJ77:AJ82), ISBLANK(T77:T82),ISBLANK(AN77:AN82)), "·", bdRateExtend( P77:P82,T77:T82, AJ77:AJ82,AN77:AN82))</f>
        <v>-4.3981512136562984E-2</v>
      </c>
      <c r="BH77" s="29">
        <f>IF( OR(ISBLANK(P77:P82),ISBLANK(AJ77:AJ82), ISBLANK(U77:U82),ISBLANK(AO77:AO82)), "·", bdRateExtend( P77:P82,U77:U82, AJ77:AJ82,AO77:AO82))</f>
        <v>-4.4531471672588419E-2</v>
      </c>
      <c r="BI77" s="29">
        <f>IF( OR(ISBLANK(P77:P82),ISBLANK(AJ77:AJ82), ISBLANK(V77:V82),ISBLANK(AP77:AP82)), "·", bdRateExtend( P77:P82,V77:V82, AJ77:AJ82,AP77:AP82))</f>
        <v>0.5087378020169615</v>
      </c>
      <c r="BJ77" s="29">
        <f>IF( OR(ISBLANK(P77:P82),ISBLANK(AJ77:AJ82), ISBLANK(W77:W82),ISBLANK(AQ77:AQ82)), "·", bdRateExtend( P77:P82,W77:W82, AJ77:AJ82,AQ77:AQ82))</f>
        <v>0.91228503522245186</v>
      </c>
      <c r="BK77" s="29">
        <f>IF( OR(ISBLANK(P77:P82),ISBLANK(AJ77:AJ82), ISBLANK(X77:X82),ISBLANK(AR77:AR82)), "·", bdRateExtend( P77:P82,X77:X82, AJ77:AJ82,AR77:AR82))</f>
        <v>0.87594223914996316</v>
      </c>
      <c r="BL77" s="30"/>
    </row>
    <row r="78" spans="1:64" outlineLevel="1" x14ac:dyDescent="0.15">
      <c r="A78" s="31"/>
      <c r="B78" s="31" t="s">
        <v>266</v>
      </c>
      <c r="C78" s="32" t="s">
        <v>226</v>
      </c>
      <c r="D78" s="31">
        <v>3017285</v>
      </c>
      <c r="E78" s="33">
        <v>12</v>
      </c>
      <c r="F78" s="32">
        <v>1</v>
      </c>
      <c r="G78" s="32"/>
      <c r="I78" s="34" t="str">
        <f t="shared" si="11"/>
        <v>·</v>
      </c>
      <c r="J78" s="35">
        <f t="shared" si="12"/>
        <v>2.4167422036698555E-2</v>
      </c>
      <c r="K78" s="35">
        <f t="shared" si="13"/>
        <v>2.2576587892757894E-2</v>
      </c>
      <c r="L78" s="35">
        <f t="shared" si="14"/>
        <v>1.4237965588268925E-3</v>
      </c>
      <c r="M78" s="36"/>
      <c r="N78" s="35">
        <f t="shared" si="15"/>
        <v>1.1531223808846087</v>
      </c>
      <c r="O78" s="37">
        <v>63237</v>
      </c>
      <c r="P78" s="38">
        <v>72920</v>
      </c>
      <c r="Q78" s="38">
        <v>68120</v>
      </c>
      <c r="R78" s="38">
        <v>4296</v>
      </c>
      <c r="S78" s="39"/>
      <c r="T78" s="40">
        <v>58.9131</v>
      </c>
      <c r="U78" s="40">
        <v>61.239800000000002</v>
      </c>
      <c r="V78" s="40">
        <v>29.206099999999999</v>
      </c>
      <c r="W78" s="40">
        <v>41.595100000000002</v>
      </c>
      <c r="X78" s="40">
        <v>40.785699999999999</v>
      </c>
      <c r="Y78" s="41"/>
      <c r="Z78" s="42"/>
      <c r="AA78" s="42"/>
      <c r="AC78" s="34" t="str">
        <f t="shared" si="16"/>
        <v>·</v>
      </c>
      <c r="AD78" s="35">
        <f t="shared" si="17"/>
        <v>2.3507225866963181E-2</v>
      </c>
      <c r="AE78" s="35">
        <f t="shared" si="18"/>
        <v>2.2576587892757894E-2</v>
      </c>
      <c r="AF78" s="35">
        <f t="shared" si="19"/>
        <v>7.6625177933141875E-4</v>
      </c>
      <c r="AG78" s="36"/>
      <c r="AH78" s="35">
        <f t="shared" si="20"/>
        <v>1.121621835317931</v>
      </c>
      <c r="AI78" s="37">
        <v>63237</v>
      </c>
      <c r="AJ78" s="38">
        <v>70928</v>
      </c>
      <c r="AK78" s="38">
        <v>68120</v>
      </c>
      <c r="AL78" s="38">
        <v>2312</v>
      </c>
      <c r="AM78" s="39"/>
      <c r="AN78" s="40">
        <v>58.9131</v>
      </c>
      <c r="AO78" s="40">
        <v>61.239800000000002</v>
      </c>
      <c r="AP78" s="40">
        <v>27.955200000000001</v>
      </c>
      <c r="AQ78" s="40">
        <v>38.945</v>
      </c>
      <c r="AR78" s="40">
        <v>38.582299999999996</v>
      </c>
      <c r="AS78" s="41"/>
      <c r="AT78" s="42"/>
      <c r="AU78" s="42"/>
      <c r="AW78" s="43">
        <f t="shared" si="21"/>
        <v>2.6236119444761785E-2</v>
      </c>
      <c r="AX78" s="43"/>
      <c r="AZ78" s="44"/>
      <c r="BA78" s="44"/>
      <c r="BB78" s="44"/>
      <c r="BC78" s="44"/>
      <c r="BD78" s="44"/>
      <c r="BE78" s="45"/>
      <c r="BG78" s="44"/>
      <c r="BH78" s="44"/>
      <c r="BI78" s="44"/>
      <c r="BJ78" s="44"/>
      <c r="BK78" s="44"/>
      <c r="BL78" s="45"/>
    </row>
    <row r="79" spans="1:64" outlineLevel="1" x14ac:dyDescent="0.15">
      <c r="A79" s="16"/>
      <c r="B79" s="16" t="s">
        <v>266</v>
      </c>
      <c r="C79" s="17" t="s">
        <v>227</v>
      </c>
      <c r="D79" s="16">
        <v>3017285</v>
      </c>
      <c r="E79" s="18">
        <v>12</v>
      </c>
      <c r="F79" s="17">
        <v>1</v>
      </c>
      <c r="G79" s="17"/>
      <c r="I79" s="19" t="str">
        <f t="shared" si="11"/>
        <v>·</v>
      </c>
      <c r="J79" s="20">
        <f t="shared" si="12"/>
        <v>8.7368611185221157E-2</v>
      </c>
      <c r="K79" s="20">
        <f t="shared" si="13"/>
        <v>7.7677779858382617E-2</v>
      </c>
      <c r="L79" s="20">
        <f t="shared" si="14"/>
        <v>9.5237937417247624E-3</v>
      </c>
      <c r="M79" s="21"/>
      <c r="N79" s="20">
        <f t="shared" si="15"/>
        <v>1.0903676251613117</v>
      </c>
      <c r="O79" s="22">
        <v>241768</v>
      </c>
      <c r="P79" s="23">
        <v>263616</v>
      </c>
      <c r="Q79" s="23">
        <v>234376</v>
      </c>
      <c r="R79" s="23">
        <v>28736</v>
      </c>
      <c r="S79" s="24"/>
      <c r="T79" s="25">
        <v>64.833399999999997</v>
      </c>
      <c r="U79" s="25">
        <v>67.7393</v>
      </c>
      <c r="V79" s="25">
        <v>32.932099999999998</v>
      </c>
      <c r="W79" s="25">
        <v>46.169499999999999</v>
      </c>
      <c r="X79" s="25">
        <v>45.888300000000001</v>
      </c>
      <c r="Y79" s="26"/>
      <c r="Z79" s="27"/>
      <c r="AA79" s="27"/>
      <c r="AC79" s="19" t="str">
        <f t="shared" si="16"/>
        <v>·</v>
      </c>
      <c r="AD79" s="20">
        <f t="shared" si="17"/>
        <v>8.2847990826189766E-2</v>
      </c>
      <c r="AE79" s="20">
        <f t="shared" si="18"/>
        <v>7.7677779858382617E-2</v>
      </c>
      <c r="AF79" s="20">
        <f t="shared" si="19"/>
        <v>5.0058247729332823E-3</v>
      </c>
      <c r="AG79" s="21"/>
      <c r="AH79" s="20">
        <f t="shared" si="20"/>
        <v>1.0339499023857583</v>
      </c>
      <c r="AI79" s="22">
        <v>241768</v>
      </c>
      <c r="AJ79" s="23">
        <v>249976</v>
      </c>
      <c r="AK79" s="23">
        <v>234376</v>
      </c>
      <c r="AL79" s="23">
        <v>15104</v>
      </c>
      <c r="AM79" s="24"/>
      <c r="AN79" s="25">
        <v>64.833399999999997</v>
      </c>
      <c r="AO79" s="25">
        <v>67.7393</v>
      </c>
      <c r="AP79" s="25">
        <v>31.532499999999999</v>
      </c>
      <c r="AQ79" s="25">
        <v>44.046300000000002</v>
      </c>
      <c r="AR79" s="25">
        <v>43.640099999999997</v>
      </c>
      <c r="AS79" s="26"/>
      <c r="AT79" s="27"/>
      <c r="AU79" s="27"/>
      <c r="AW79" s="28">
        <f t="shared" si="21"/>
        <v>4.8512921382234619E-2</v>
      </c>
      <c r="AX79" s="28"/>
      <c r="AZ79" s="29"/>
      <c r="BA79" s="29"/>
      <c r="BB79" s="29"/>
      <c r="BC79" s="29"/>
      <c r="BD79" s="29"/>
      <c r="BE79" s="30"/>
      <c r="BG79" s="29"/>
      <c r="BH79" s="29"/>
      <c r="BI79" s="29"/>
      <c r="BJ79" s="29"/>
      <c r="BK79" s="29"/>
      <c r="BL79" s="30"/>
    </row>
    <row r="80" spans="1:64" outlineLevel="1" x14ac:dyDescent="0.15">
      <c r="A80" s="31"/>
      <c r="B80" s="31" t="s">
        <v>266</v>
      </c>
      <c r="C80" s="32" t="s">
        <v>228</v>
      </c>
      <c r="D80" s="31">
        <v>3017285</v>
      </c>
      <c r="E80" s="33">
        <v>12</v>
      </c>
      <c r="F80" s="32">
        <v>1</v>
      </c>
      <c r="G80" s="32"/>
      <c r="I80" s="34" t="str">
        <f t="shared" si="11"/>
        <v>·</v>
      </c>
      <c r="J80" s="35">
        <f t="shared" si="12"/>
        <v>0.33197526915753733</v>
      </c>
      <c r="K80" s="35">
        <f t="shared" si="13"/>
        <v>0.28016445247962984</v>
      </c>
      <c r="L80" s="35">
        <f t="shared" si="14"/>
        <v>5.164377909279369E-2</v>
      </c>
      <c r="M80" s="36"/>
      <c r="N80" s="35">
        <f t="shared" si="15"/>
        <v>1.1513511649559189</v>
      </c>
      <c r="O80" s="37">
        <v>869990</v>
      </c>
      <c r="P80" s="38">
        <v>1001664</v>
      </c>
      <c r="Q80" s="38">
        <v>845336</v>
      </c>
      <c r="R80" s="38">
        <v>155824</v>
      </c>
      <c r="S80" s="39"/>
      <c r="T80" s="40">
        <v>70.485699999999994</v>
      </c>
      <c r="U80" s="40">
        <v>74.331400000000002</v>
      </c>
      <c r="V80" s="40">
        <v>38.054200000000002</v>
      </c>
      <c r="W80" s="40">
        <v>49.718000000000004</v>
      </c>
      <c r="X80" s="40">
        <v>50.062199999999997</v>
      </c>
      <c r="Y80" s="41"/>
      <c r="Z80" s="42"/>
      <c r="AA80" s="42"/>
      <c r="AC80" s="34" t="str">
        <f t="shared" si="16"/>
        <v>·</v>
      </c>
      <c r="AD80" s="35">
        <f t="shared" si="17"/>
        <v>0.31288525943024936</v>
      </c>
      <c r="AE80" s="35">
        <f t="shared" si="18"/>
        <v>0.28016445247962984</v>
      </c>
      <c r="AF80" s="35">
        <f t="shared" si="19"/>
        <v>3.2556420755745642E-2</v>
      </c>
      <c r="AG80" s="36"/>
      <c r="AH80" s="35">
        <f t="shared" si="20"/>
        <v>1.0851435073966367</v>
      </c>
      <c r="AI80" s="37">
        <v>869990</v>
      </c>
      <c r="AJ80" s="38">
        <v>944064</v>
      </c>
      <c r="AK80" s="38">
        <v>845336</v>
      </c>
      <c r="AL80" s="38">
        <v>98232</v>
      </c>
      <c r="AM80" s="39"/>
      <c r="AN80" s="40">
        <v>70.485699999999994</v>
      </c>
      <c r="AO80" s="40">
        <v>74.331400000000002</v>
      </c>
      <c r="AP80" s="40">
        <v>36.200600000000001</v>
      </c>
      <c r="AQ80" s="40">
        <v>47.8765</v>
      </c>
      <c r="AR80" s="40">
        <v>47.936500000000002</v>
      </c>
      <c r="AS80" s="41"/>
      <c r="AT80" s="42"/>
      <c r="AU80" s="42"/>
      <c r="AW80" s="43">
        <f t="shared" si="21"/>
        <v>5.1490646592745715E-2</v>
      </c>
      <c r="AX80" s="43"/>
      <c r="AZ80" s="44"/>
      <c r="BA80" s="44"/>
      <c r="BB80" s="44"/>
      <c r="BC80" s="44"/>
      <c r="BD80" s="44"/>
      <c r="BE80" s="45"/>
      <c r="BG80" s="44"/>
      <c r="BH80" s="44"/>
      <c r="BI80" s="44"/>
      <c r="BJ80" s="44"/>
      <c r="BK80" s="44"/>
      <c r="BL80" s="45"/>
    </row>
    <row r="81" spans="1:64" outlineLevel="1" x14ac:dyDescent="0.15">
      <c r="A81" s="16"/>
      <c r="B81" s="16" t="s">
        <v>266</v>
      </c>
      <c r="C81" s="17" t="s">
        <v>229</v>
      </c>
      <c r="D81" s="16">
        <v>3017285</v>
      </c>
      <c r="E81" s="18">
        <v>12</v>
      </c>
      <c r="F81" s="17">
        <v>1</v>
      </c>
      <c r="G81" s="17"/>
      <c r="I81" s="19" t="str">
        <f t="shared" si="11"/>
        <v>·</v>
      </c>
      <c r="J81" s="20">
        <f t="shared" si="12"/>
        <v>1.1767135023705086</v>
      </c>
      <c r="K81" s="20">
        <f t="shared" si="13"/>
        <v>0.97338103626273287</v>
      </c>
      <c r="L81" s="20">
        <f t="shared" si="14"/>
        <v>0.20305672152282597</v>
      </c>
      <c r="M81" s="21"/>
      <c r="N81" s="20">
        <f t="shared" si="15"/>
        <v>1.3329018568754547</v>
      </c>
      <c r="O81" s="22">
        <v>2663722</v>
      </c>
      <c r="P81" s="23">
        <v>3550480</v>
      </c>
      <c r="Q81" s="23">
        <v>2936968</v>
      </c>
      <c r="R81" s="23">
        <v>612680</v>
      </c>
      <c r="S81" s="24"/>
      <c r="T81" s="25">
        <v>75.253200000000007</v>
      </c>
      <c r="U81" s="25">
        <v>80.152799999999999</v>
      </c>
      <c r="V81" s="25">
        <v>43.507899999999999</v>
      </c>
      <c r="W81" s="25">
        <v>52.679600000000001</v>
      </c>
      <c r="X81" s="25">
        <v>53.027299999999997</v>
      </c>
      <c r="Y81" s="26"/>
      <c r="Z81" s="27"/>
      <c r="AA81" s="27"/>
      <c r="AC81" s="19" t="str">
        <f t="shared" si="16"/>
        <v>·</v>
      </c>
      <c r="AD81" s="20">
        <f t="shared" si="17"/>
        <v>1.1137191216606983</v>
      </c>
      <c r="AE81" s="20">
        <f t="shared" si="18"/>
        <v>0.97338103626273287</v>
      </c>
      <c r="AF81" s="20">
        <f t="shared" si="19"/>
        <v>0.14006499220325558</v>
      </c>
      <c r="AG81" s="21"/>
      <c r="AH81" s="20">
        <f t="shared" si="20"/>
        <v>1.2615460622392276</v>
      </c>
      <c r="AI81" s="22">
        <v>2663722</v>
      </c>
      <c r="AJ81" s="23">
        <v>3360408</v>
      </c>
      <c r="AK81" s="23">
        <v>2936968</v>
      </c>
      <c r="AL81" s="23">
        <v>422616</v>
      </c>
      <c r="AM81" s="24"/>
      <c r="AN81" s="25">
        <v>75.253200000000007</v>
      </c>
      <c r="AO81" s="25">
        <v>80.152799999999999</v>
      </c>
      <c r="AP81" s="25">
        <v>41.779600000000002</v>
      </c>
      <c r="AQ81" s="25">
        <v>51.057000000000002</v>
      </c>
      <c r="AR81" s="25">
        <v>51.382100000000001</v>
      </c>
      <c r="AS81" s="26"/>
      <c r="AT81" s="27"/>
      <c r="AU81" s="27"/>
      <c r="AW81" s="28">
        <f t="shared" si="21"/>
        <v>4.6788409109238205E-2</v>
      </c>
      <c r="AX81" s="28"/>
      <c r="AZ81" s="29"/>
      <c r="BA81" s="29"/>
      <c r="BB81" s="29"/>
      <c r="BC81" s="29"/>
      <c r="BD81" s="29"/>
      <c r="BE81" s="30"/>
      <c r="BG81" s="29"/>
      <c r="BH81" s="29"/>
      <c r="BI81" s="29"/>
      <c r="BJ81" s="29"/>
      <c r="BK81" s="29"/>
      <c r="BL81" s="30"/>
    </row>
    <row r="82" spans="1:64" outlineLevel="1" x14ac:dyDescent="0.15">
      <c r="A82" s="31"/>
      <c r="B82" s="46" t="s">
        <v>266</v>
      </c>
      <c r="C82" s="47" t="s">
        <v>230</v>
      </c>
      <c r="D82" s="46">
        <v>3017285</v>
      </c>
      <c r="E82" s="48">
        <v>12</v>
      </c>
      <c r="F82" s="47">
        <v>1</v>
      </c>
      <c r="G82" s="47"/>
      <c r="I82" s="49" t="str">
        <f t="shared" si="11"/>
        <v>·</v>
      </c>
      <c r="J82" s="50">
        <f t="shared" si="12"/>
        <v>3.4588419721703452</v>
      </c>
      <c r="K82" s="50">
        <f t="shared" si="13"/>
        <v>3.0079438965825238</v>
      </c>
      <c r="L82" s="50">
        <f t="shared" si="14"/>
        <v>0.4506223310028718</v>
      </c>
      <c r="M82" s="51"/>
      <c r="N82" s="50">
        <f t="shared" si="15"/>
        <v>3.6387812190668387</v>
      </c>
      <c r="O82" s="52">
        <v>2868079</v>
      </c>
      <c r="P82" s="53">
        <v>10436312</v>
      </c>
      <c r="Q82" s="53">
        <v>9075824</v>
      </c>
      <c r="R82" s="53">
        <v>1359656</v>
      </c>
      <c r="S82" s="54"/>
      <c r="T82" s="55">
        <v>80.028199999999998</v>
      </c>
      <c r="U82" s="55">
        <v>84.855099999999993</v>
      </c>
      <c r="V82" s="55">
        <v>45.629800000000003</v>
      </c>
      <c r="W82" s="55">
        <v>53.880899999999997</v>
      </c>
      <c r="X82" s="55">
        <v>54.119100000000003</v>
      </c>
      <c r="Y82" s="56"/>
      <c r="Z82" s="57"/>
      <c r="AA82" s="57"/>
      <c r="AC82" s="49" t="str">
        <f t="shared" si="16"/>
        <v>·</v>
      </c>
      <c r="AD82" s="50">
        <f t="shared" si="17"/>
        <v>3.2944107036623986</v>
      </c>
      <c r="AE82" s="50">
        <f t="shared" si="18"/>
        <v>3.0079438965825238</v>
      </c>
      <c r="AF82" s="50">
        <f t="shared" si="19"/>
        <v>0.28619371388516496</v>
      </c>
      <c r="AG82" s="51"/>
      <c r="AH82" s="50">
        <f t="shared" si="20"/>
        <v>3.4657957469093423</v>
      </c>
      <c r="AI82" s="52">
        <v>2868079</v>
      </c>
      <c r="AJ82" s="53">
        <v>9940176</v>
      </c>
      <c r="AK82" s="53">
        <v>9075824</v>
      </c>
      <c r="AL82" s="53">
        <v>863528</v>
      </c>
      <c r="AM82" s="54"/>
      <c r="AN82" s="55">
        <v>80.028199999999998</v>
      </c>
      <c r="AO82" s="55">
        <v>84.855099999999993</v>
      </c>
      <c r="AP82" s="55">
        <v>44.393300000000004</v>
      </c>
      <c r="AQ82" s="55">
        <v>52.574199999999998</v>
      </c>
      <c r="AR82" s="55">
        <v>52.809699999999999</v>
      </c>
      <c r="AS82" s="56"/>
      <c r="AT82" s="57"/>
      <c r="AU82" s="57"/>
      <c r="AW82" s="58">
        <f t="shared" si="21"/>
        <v>4.3405591426824208E-2</v>
      </c>
      <c r="AX82" s="58"/>
      <c r="AZ82" s="59"/>
      <c r="BA82" s="59"/>
      <c r="BB82" s="59"/>
      <c r="BC82" s="59"/>
      <c r="BD82" s="59"/>
      <c r="BE82" s="60"/>
      <c r="BG82" s="59"/>
      <c r="BH82" s="59"/>
      <c r="BI82" s="59"/>
      <c r="BJ82" s="59"/>
      <c r="BK82" s="59"/>
      <c r="BL82" s="60"/>
    </row>
    <row r="83" spans="1:64" collapsed="1" x14ac:dyDescent="0.15">
      <c r="A83" s="16"/>
      <c r="B83" s="16" t="s">
        <v>269</v>
      </c>
      <c r="C83" s="17" t="s">
        <v>225</v>
      </c>
      <c r="D83" s="16">
        <v>805285</v>
      </c>
      <c r="E83" s="18">
        <v>10</v>
      </c>
      <c r="F83" s="17">
        <v>1</v>
      </c>
      <c r="G83" s="17"/>
      <c r="I83" s="19" t="str">
        <f t="shared" si="11"/>
        <v>·</v>
      </c>
      <c r="J83" s="20">
        <f t="shared" si="12"/>
        <v>2.5064418187349821E-2</v>
      </c>
      <c r="K83" s="20">
        <f t="shared" si="13"/>
        <v>2.3365640735888538E-2</v>
      </c>
      <c r="L83" s="20">
        <f t="shared" si="14"/>
        <v>1.0729120746071268E-3</v>
      </c>
      <c r="M83" s="21"/>
      <c r="N83" s="20">
        <f t="shared" si="15"/>
        <v>1.37203453198287</v>
      </c>
      <c r="O83" s="22">
        <v>14711</v>
      </c>
      <c r="P83" s="23">
        <v>20184</v>
      </c>
      <c r="Q83" s="23">
        <v>18816</v>
      </c>
      <c r="R83" s="23">
        <v>864</v>
      </c>
      <c r="S83" s="24"/>
      <c r="T83" s="25">
        <v>52.804400000000001</v>
      </c>
      <c r="U83" s="25">
        <v>55.652900000000002</v>
      </c>
      <c r="V83" s="25">
        <v>25.638200000000001</v>
      </c>
      <c r="W83" s="25">
        <v>36.404699999999998</v>
      </c>
      <c r="X83" s="25">
        <v>36.112900000000003</v>
      </c>
      <c r="Y83" s="26"/>
      <c r="Z83" s="27"/>
      <c r="AA83" s="27"/>
      <c r="AC83" s="19" t="str">
        <f t="shared" si="16"/>
        <v>·</v>
      </c>
      <c r="AD83" s="20">
        <f t="shared" si="17"/>
        <v>2.4527962150046257E-2</v>
      </c>
      <c r="AE83" s="20">
        <f t="shared" si="18"/>
        <v>2.3365640735888538E-2</v>
      </c>
      <c r="AF83" s="20">
        <f t="shared" si="19"/>
        <v>5.4639040836474047E-4</v>
      </c>
      <c r="AG83" s="21"/>
      <c r="AH83" s="20">
        <f t="shared" si="20"/>
        <v>1.3426687512745565</v>
      </c>
      <c r="AI83" s="22">
        <v>14711</v>
      </c>
      <c r="AJ83" s="23">
        <v>19752</v>
      </c>
      <c r="AK83" s="23">
        <v>18816</v>
      </c>
      <c r="AL83" s="23">
        <v>440</v>
      </c>
      <c r="AM83" s="24"/>
      <c r="AN83" s="25">
        <v>52.804400000000001</v>
      </c>
      <c r="AO83" s="25">
        <v>55.652900000000002</v>
      </c>
      <c r="AP83" s="25">
        <v>24.271100000000001</v>
      </c>
      <c r="AQ83" s="25">
        <v>35.369799999999998</v>
      </c>
      <c r="AR83" s="25">
        <v>34.819099999999999</v>
      </c>
      <c r="AS83" s="26"/>
      <c r="AT83" s="27"/>
      <c r="AU83" s="27"/>
      <c r="AW83" s="28">
        <f t="shared" si="21"/>
        <v>2.0388850280939064E-2</v>
      </c>
      <c r="AX83" s="28">
        <f t="array" ref="AX83">AVERAGE(AK83:AK88/AJ83:AJ88) - AVERAGE(Q83:Q88/P83:P88)</f>
        <v>4.7439931134129143E-2</v>
      </c>
      <c r="AZ83" s="29">
        <f>IF( OR(ISBLANK(Q83:Q88),ISBLANK(AK83:AK88), ISBLANK(T83:T88),ISBLANK(AN83:AN88)), "·", bdRateExtend( Q83:Q88,T83:T88, AK83:AK88,AN83:AN88))</f>
        <v>0</v>
      </c>
      <c r="BA83" s="29">
        <f>IF( OR(ISBLANK(Q83:Q88),ISBLANK(AK83:AK88), ISBLANK(U83:U88),ISBLANK(AO83:AO88)), "·", bdRateExtend( Q83:Q88,U83:U88, AK83:AK88,AO83:AO88))</f>
        <v>0</v>
      </c>
      <c r="BB83" s="29">
        <f>IF( OR(ISBLANK(R83:R88),ISBLANK(AL83:AL88), ISBLANK(V83:V88),ISBLANK(AP83:AP88)), "·", bdRateExtend( R83:R88,V83:V88, AL83:AL88,AP83:AP88))</f>
        <v>1.4363584855946909E-2</v>
      </c>
      <c r="BC83" s="29">
        <f>IF( OR(ISBLANK(R83:R88),ISBLANK(AL83:AL88), ISBLANK(W83:W88),ISBLANK(AQ83:AQ88)), "·", bdRateExtend( R83:R88,W83:W88, AL83:AL88,AQ83:AQ88))</f>
        <v>0.37654371110592577</v>
      </c>
      <c r="BD83" s="29">
        <f>IF( OR(ISBLANK(R83:R88),ISBLANK(AL83:AL88), ISBLANK(X83:X88),ISBLANK(AR83:AR88)), "·", bdRateExtend( R83:R88,X83:X88, AL83:AL88,AR83:AR88))</f>
        <v>0.34376915019270782</v>
      </c>
      <c r="BE83" s="30"/>
      <c r="BG83" s="29">
        <f>IF( OR(ISBLANK(P83:P88),ISBLANK(AJ83:AJ88), ISBLANK(T83:T88),ISBLANK(AN83:AN88)), "·", bdRateExtend( P83:P88,T83:T88, AJ83:AJ88,AN83:AN88))</f>
        <v>-4.5192589041117892E-2</v>
      </c>
      <c r="BH83" s="29">
        <f>IF( OR(ISBLANK(P83:P88),ISBLANK(AJ83:AJ88), ISBLANK(U83:U88),ISBLANK(AO83:AO88)), "·", bdRateExtend( P83:P88,U83:U88, AJ83:AJ88,AO83:AO88))</f>
        <v>-4.3144518643368213E-2</v>
      </c>
      <c r="BI83" s="29">
        <f>IF( OR(ISBLANK(P83:P88),ISBLANK(AJ83:AJ88), ISBLANK(V83:V88),ISBLANK(AP83:AP88)), "·", bdRateExtend( P83:P88,V83:V88, AJ83:AJ88,AP83:AP88))</f>
        <v>0.29711285384616115</v>
      </c>
      <c r="BJ83" s="29">
        <f>IF( OR(ISBLANK(P83:P88),ISBLANK(AJ83:AJ88), ISBLANK(W83:W88),ISBLANK(AQ83:AQ88)), "·", bdRateExtend( P83:P88,W83:W88, AJ83:AJ88,AQ83:AQ88))</f>
        <v>0.6506356709148684</v>
      </c>
      <c r="BK83" s="29">
        <f>IF( OR(ISBLANK(P83:P88),ISBLANK(AJ83:AJ88), ISBLANK(X83:X88),ISBLANK(AR83:AR88)), "·", bdRateExtend( P83:P88,X83:X88, AJ83:AJ88,AR83:AR88))</f>
        <v>0.61628237982120582</v>
      </c>
      <c r="BL83" s="30"/>
    </row>
    <row r="84" spans="1:64" outlineLevel="1" x14ac:dyDescent="0.15">
      <c r="A84" s="31"/>
      <c r="B84" s="31" t="s">
        <v>269</v>
      </c>
      <c r="C84" s="32" t="s">
        <v>226</v>
      </c>
      <c r="D84" s="31">
        <v>805285</v>
      </c>
      <c r="E84" s="33">
        <v>10</v>
      </c>
      <c r="F84" s="32">
        <v>1</v>
      </c>
      <c r="G84" s="32"/>
      <c r="I84" s="34" t="str">
        <f t="shared" si="11"/>
        <v>·</v>
      </c>
      <c r="J84" s="35">
        <f t="shared" si="12"/>
        <v>8.3349373203275859E-2</v>
      </c>
      <c r="K84" s="35">
        <f t="shared" si="13"/>
        <v>7.7547700503548436E-2</v>
      </c>
      <c r="L84" s="35">
        <f t="shared" si="14"/>
        <v>5.1658729518120911E-3</v>
      </c>
      <c r="M84" s="36"/>
      <c r="N84" s="35">
        <f t="shared" si="15"/>
        <v>1.1547725552267565</v>
      </c>
      <c r="O84" s="37">
        <v>58124</v>
      </c>
      <c r="P84" s="38">
        <v>67120</v>
      </c>
      <c r="Q84" s="38">
        <v>62448</v>
      </c>
      <c r="R84" s="38">
        <v>4160</v>
      </c>
      <c r="S84" s="39"/>
      <c r="T84" s="40">
        <v>58.439399999999999</v>
      </c>
      <c r="U84" s="40">
        <v>62.217100000000002</v>
      </c>
      <c r="V84" s="40">
        <v>29.017099999999999</v>
      </c>
      <c r="W84" s="40">
        <v>41.341900000000003</v>
      </c>
      <c r="X84" s="40">
        <v>40.590699999999998</v>
      </c>
      <c r="Y84" s="41"/>
      <c r="Z84" s="42"/>
      <c r="AA84" s="42"/>
      <c r="AC84" s="34" t="str">
        <f t="shared" si="16"/>
        <v>·</v>
      </c>
      <c r="AD84" s="35">
        <f t="shared" si="17"/>
        <v>8.0935321035409818E-2</v>
      </c>
      <c r="AE84" s="35">
        <f t="shared" si="18"/>
        <v>7.7547700503548436E-2</v>
      </c>
      <c r="AF84" s="35">
        <f t="shared" si="19"/>
        <v>2.7617551550072335E-3</v>
      </c>
      <c r="AG84" s="36"/>
      <c r="AH84" s="35">
        <f t="shared" si="20"/>
        <v>1.1213268185259102</v>
      </c>
      <c r="AI84" s="37">
        <v>58124</v>
      </c>
      <c r="AJ84" s="38">
        <v>65176</v>
      </c>
      <c r="AK84" s="38">
        <v>62448</v>
      </c>
      <c r="AL84" s="38">
        <v>2224</v>
      </c>
      <c r="AM84" s="39"/>
      <c r="AN84" s="40">
        <v>58.439399999999999</v>
      </c>
      <c r="AO84" s="40">
        <v>62.217100000000002</v>
      </c>
      <c r="AP84" s="40">
        <v>27.707599999999999</v>
      </c>
      <c r="AQ84" s="40">
        <v>39.243200000000002</v>
      </c>
      <c r="AR84" s="40">
        <v>38.5077</v>
      </c>
      <c r="AS84" s="41"/>
      <c r="AT84" s="42"/>
      <c r="AU84" s="42"/>
      <c r="AW84" s="43">
        <f t="shared" si="21"/>
        <v>2.7750776736115035E-2</v>
      </c>
      <c r="AX84" s="43"/>
      <c r="AZ84" s="44"/>
      <c r="BA84" s="44"/>
      <c r="BB84" s="44"/>
      <c r="BC84" s="44"/>
      <c r="BD84" s="44"/>
      <c r="BE84" s="45"/>
      <c r="BG84" s="44"/>
      <c r="BH84" s="44"/>
      <c r="BI84" s="44"/>
      <c r="BJ84" s="44"/>
      <c r="BK84" s="44"/>
      <c r="BL84" s="45"/>
    </row>
    <row r="85" spans="1:64" outlineLevel="1" x14ac:dyDescent="0.15">
      <c r="A85" s="16"/>
      <c r="B85" s="16" t="s">
        <v>269</v>
      </c>
      <c r="C85" s="17" t="s">
        <v>227</v>
      </c>
      <c r="D85" s="16">
        <v>805285</v>
      </c>
      <c r="E85" s="18">
        <v>10</v>
      </c>
      <c r="F85" s="17">
        <v>1</v>
      </c>
      <c r="G85" s="17"/>
      <c r="I85" s="19" t="str">
        <f t="shared" si="11"/>
        <v>·</v>
      </c>
      <c r="J85" s="20">
        <f t="shared" si="12"/>
        <v>0.30296851425271798</v>
      </c>
      <c r="K85" s="20">
        <f t="shared" si="13"/>
        <v>0.26839690295982166</v>
      </c>
      <c r="L85" s="20">
        <f t="shared" si="14"/>
        <v>3.3925877173919795E-2</v>
      </c>
      <c r="M85" s="21"/>
      <c r="N85" s="20">
        <f t="shared" si="15"/>
        <v>1.0952710164576169</v>
      </c>
      <c r="O85" s="22">
        <v>222754</v>
      </c>
      <c r="P85" s="23">
        <v>243976</v>
      </c>
      <c r="Q85" s="23">
        <v>216136</v>
      </c>
      <c r="R85" s="23">
        <v>27320</v>
      </c>
      <c r="S85" s="24"/>
      <c r="T85" s="25">
        <v>63.209899999999998</v>
      </c>
      <c r="U85" s="25">
        <v>68.449799999999996</v>
      </c>
      <c r="V85" s="25">
        <v>32.6571</v>
      </c>
      <c r="W85" s="25">
        <v>45.970500000000001</v>
      </c>
      <c r="X85" s="25">
        <v>45.476599999999998</v>
      </c>
      <c r="Y85" s="26"/>
      <c r="Z85" s="27"/>
      <c r="AA85" s="27"/>
      <c r="AC85" s="19" t="str">
        <f t="shared" si="16"/>
        <v>·</v>
      </c>
      <c r="AD85" s="20">
        <f t="shared" si="17"/>
        <v>0.28698411121528405</v>
      </c>
      <c r="AE85" s="20">
        <f t="shared" si="18"/>
        <v>0.26839690295982166</v>
      </c>
      <c r="AF85" s="20">
        <f t="shared" si="19"/>
        <v>1.7951408507547017E-2</v>
      </c>
      <c r="AG85" s="21"/>
      <c r="AH85" s="20">
        <f t="shared" si="20"/>
        <v>1.0374852976826454</v>
      </c>
      <c r="AI85" s="22">
        <v>222754</v>
      </c>
      <c r="AJ85" s="23">
        <v>231104</v>
      </c>
      <c r="AK85" s="23">
        <v>216136</v>
      </c>
      <c r="AL85" s="23">
        <v>14456</v>
      </c>
      <c r="AM85" s="24"/>
      <c r="AN85" s="25">
        <v>63.209899999999998</v>
      </c>
      <c r="AO85" s="25">
        <v>68.449799999999996</v>
      </c>
      <c r="AP85" s="25">
        <v>31.2913</v>
      </c>
      <c r="AQ85" s="25">
        <v>43.496899999999997</v>
      </c>
      <c r="AR85" s="25">
        <v>43.022599999999997</v>
      </c>
      <c r="AS85" s="26"/>
      <c r="AT85" s="27"/>
      <c r="AU85" s="27"/>
      <c r="AW85" s="28">
        <f t="shared" si="21"/>
        <v>4.9342207091532031E-2</v>
      </c>
      <c r="AX85" s="28"/>
      <c r="AZ85" s="29"/>
      <c r="BA85" s="29"/>
      <c r="BB85" s="29"/>
      <c r="BC85" s="29"/>
      <c r="BD85" s="29"/>
      <c r="BE85" s="30"/>
      <c r="BG85" s="29"/>
      <c r="BH85" s="29"/>
      <c r="BI85" s="29"/>
      <c r="BJ85" s="29"/>
      <c r="BK85" s="29"/>
      <c r="BL85" s="30"/>
    </row>
    <row r="86" spans="1:64" outlineLevel="1" x14ac:dyDescent="0.15">
      <c r="A86" s="31"/>
      <c r="B86" s="31" t="s">
        <v>269</v>
      </c>
      <c r="C86" s="32" t="s">
        <v>228</v>
      </c>
      <c r="D86" s="31">
        <v>805285</v>
      </c>
      <c r="E86" s="33">
        <v>10</v>
      </c>
      <c r="F86" s="32">
        <v>1</v>
      </c>
      <c r="G86" s="32"/>
      <c r="I86" s="34" t="str">
        <f t="shared" si="11"/>
        <v>·</v>
      </c>
      <c r="J86" s="35">
        <f t="shared" si="12"/>
        <v>0.74529638575162827</v>
      </c>
      <c r="K86" s="35">
        <f t="shared" si="13"/>
        <v>0.61071546098586216</v>
      </c>
      <c r="L86" s="35">
        <f t="shared" si="14"/>
        <v>0.13392525627572846</v>
      </c>
      <c r="M86" s="36"/>
      <c r="N86" s="35">
        <f t="shared" si="15"/>
        <v>1.2584918043786866</v>
      </c>
      <c r="O86" s="37">
        <v>476901</v>
      </c>
      <c r="P86" s="38">
        <v>600176</v>
      </c>
      <c r="Q86" s="38">
        <v>491800</v>
      </c>
      <c r="R86" s="38">
        <v>107848</v>
      </c>
      <c r="S86" s="39"/>
      <c r="T86" s="40">
        <v>67.981800000000007</v>
      </c>
      <c r="U86" s="40">
        <v>73.339200000000005</v>
      </c>
      <c r="V86" s="40">
        <v>36.180999999999997</v>
      </c>
      <c r="W86" s="40">
        <v>48.540399999999998</v>
      </c>
      <c r="X86" s="40">
        <v>48.6873</v>
      </c>
      <c r="Y86" s="41"/>
      <c r="Z86" s="42"/>
      <c r="AA86" s="42"/>
      <c r="AC86" s="34" t="str">
        <f t="shared" si="16"/>
        <v>·</v>
      </c>
      <c r="AD86" s="35">
        <f t="shared" si="17"/>
        <v>0.6957636116405993</v>
      </c>
      <c r="AE86" s="35">
        <f t="shared" si="18"/>
        <v>0.61071546098586216</v>
      </c>
      <c r="AF86" s="35">
        <f t="shared" si="19"/>
        <v>8.4402416535760638E-2</v>
      </c>
      <c r="AG86" s="36"/>
      <c r="AH86" s="35">
        <f t="shared" si="20"/>
        <v>1.1748518036238129</v>
      </c>
      <c r="AI86" s="37">
        <v>476901</v>
      </c>
      <c r="AJ86" s="38">
        <v>560288</v>
      </c>
      <c r="AK86" s="38">
        <v>491800</v>
      </c>
      <c r="AL86" s="38">
        <v>67968</v>
      </c>
      <c r="AM86" s="39"/>
      <c r="AN86" s="40">
        <v>67.981800000000007</v>
      </c>
      <c r="AO86" s="40">
        <v>73.339200000000005</v>
      </c>
      <c r="AP86" s="40">
        <v>34.6449</v>
      </c>
      <c r="AQ86" s="40">
        <v>46.613399999999999</v>
      </c>
      <c r="AR86" s="40">
        <v>46.569099999999999</v>
      </c>
      <c r="AS86" s="41"/>
      <c r="AT86" s="42"/>
      <c r="AU86" s="42"/>
      <c r="AW86" s="43">
        <f t="shared" si="21"/>
        <v>5.8336563194190227E-2</v>
      </c>
      <c r="AX86" s="43"/>
      <c r="AZ86" s="44"/>
      <c r="BA86" s="44"/>
      <c r="BB86" s="44"/>
      <c r="BC86" s="44"/>
      <c r="BD86" s="44"/>
      <c r="BE86" s="45"/>
      <c r="BG86" s="44"/>
      <c r="BH86" s="44"/>
      <c r="BI86" s="44"/>
      <c r="BJ86" s="44"/>
      <c r="BK86" s="44"/>
      <c r="BL86" s="45"/>
    </row>
    <row r="87" spans="1:64" outlineLevel="1" x14ac:dyDescent="0.15">
      <c r="A87" s="16"/>
      <c r="B87" s="16" t="s">
        <v>269</v>
      </c>
      <c r="C87" s="17" t="s">
        <v>229</v>
      </c>
      <c r="D87" s="16">
        <v>805285</v>
      </c>
      <c r="E87" s="18">
        <v>10</v>
      </c>
      <c r="F87" s="17">
        <v>1</v>
      </c>
      <c r="G87" s="17"/>
      <c r="I87" s="19" t="str">
        <f t="shared" si="11"/>
        <v>·</v>
      </c>
      <c r="J87" s="20">
        <f t="shared" si="12"/>
        <v>1.1284054713548619</v>
      </c>
      <c r="K87" s="20">
        <f t="shared" si="13"/>
        <v>0.79284228565042192</v>
      </c>
      <c r="L87" s="20">
        <f t="shared" si="14"/>
        <v>0.33490751721440237</v>
      </c>
      <c r="M87" s="21"/>
      <c r="N87" s="20">
        <f t="shared" si="15"/>
        <v>1.4351973086733687</v>
      </c>
      <c r="O87" s="22">
        <v>633145</v>
      </c>
      <c r="P87" s="23">
        <v>908688</v>
      </c>
      <c r="Q87" s="23">
        <v>638464</v>
      </c>
      <c r="R87" s="23">
        <v>269696</v>
      </c>
      <c r="S87" s="24"/>
      <c r="T87" s="25">
        <v>69.706400000000002</v>
      </c>
      <c r="U87" s="25">
        <v>74.790400000000005</v>
      </c>
      <c r="V87" s="25">
        <v>39.258800000000001</v>
      </c>
      <c r="W87" s="25">
        <v>50.507899999999999</v>
      </c>
      <c r="X87" s="25">
        <v>50.726900000000001</v>
      </c>
      <c r="Y87" s="26"/>
      <c r="Z87" s="27"/>
      <c r="AA87" s="27"/>
      <c r="AC87" s="19" t="str">
        <f t="shared" si="16"/>
        <v>·</v>
      </c>
      <c r="AD87" s="20">
        <f t="shared" si="17"/>
        <v>1.0427711928075154</v>
      </c>
      <c r="AE87" s="20">
        <f t="shared" si="18"/>
        <v>0.79284228565042192</v>
      </c>
      <c r="AF87" s="20">
        <f t="shared" si="19"/>
        <v>0.24928317303811695</v>
      </c>
      <c r="AG87" s="21"/>
      <c r="AH87" s="20">
        <f t="shared" si="20"/>
        <v>1.3262807097900164</v>
      </c>
      <c r="AI87" s="22">
        <v>633145</v>
      </c>
      <c r="AJ87" s="23">
        <v>839728</v>
      </c>
      <c r="AK87" s="23">
        <v>638464</v>
      </c>
      <c r="AL87" s="23">
        <v>200744</v>
      </c>
      <c r="AM87" s="24"/>
      <c r="AN87" s="25">
        <v>69.706400000000002</v>
      </c>
      <c r="AO87" s="25">
        <v>74.790400000000005</v>
      </c>
      <c r="AP87" s="25">
        <v>38.305700000000002</v>
      </c>
      <c r="AQ87" s="25">
        <v>48.907699999999998</v>
      </c>
      <c r="AR87" s="25">
        <v>49.1952</v>
      </c>
      <c r="AS87" s="26"/>
      <c r="AT87" s="27"/>
      <c r="AU87" s="27"/>
      <c r="AW87" s="28">
        <f t="shared" si="21"/>
        <v>5.7700588124634189E-2</v>
      </c>
      <c r="AX87" s="28"/>
      <c r="AZ87" s="29"/>
      <c r="BA87" s="29"/>
      <c r="BB87" s="29"/>
      <c r="BC87" s="29"/>
      <c r="BD87" s="29"/>
      <c r="BE87" s="30"/>
      <c r="BG87" s="29"/>
      <c r="BH87" s="29"/>
      <c r="BI87" s="29"/>
      <c r="BJ87" s="29"/>
      <c r="BK87" s="29"/>
      <c r="BL87" s="30"/>
    </row>
    <row r="88" spans="1:64" outlineLevel="1" x14ac:dyDescent="0.15">
      <c r="A88" s="31"/>
      <c r="B88" s="46" t="s">
        <v>269</v>
      </c>
      <c r="C88" s="47" t="s">
        <v>230</v>
      </c>
      <c r="D88" s="46">
        <v>805285</v>
      </c>
      <c r="E88" s="48">
        <v>10</v>
      </c>
      <c r="F88" s="47">
        <v>1</v>
      </c>
      <c r="G88" s="47"/>
      <c r="I88" s="49" t="str">
        <f t="shared" si="11"/>
        <v>·</v>
      </c>
      <c r="J88" s="50">
        <f t="shared" si="12"/>
        <v>1.5998907219183272</v>
      </c>
      <c r="K88" s="50">
        <f t="shared" si="13"/>
        <v>0.88093035384987928</v>
      </c>
      <c r="L88" s="50">
        <f t="shared" si="14"/>
        <v>0.71830469957841014</v>
      </c>
      <c r="M88" s="51"/>
      <c r="N88" s="50">
        <f t="shared" si="15"/>
        <v>1.7976542290014985</v>
      </c>
      <c r="O88" s="52">
        <v>716694</v>
      </c>
      <c r="P88" s="53">
        <v>1288368</v>
      </c>
      <c r="Q88" s="53">
        <v>709400</v>
      </c>
      <c r="R88" s="53">
        <v>578440</v>
      </c>
      <c r="S88" s="54"/>
      <c r="T88" s="55">
        <v>70.3874</v>
      </c>
      <c r="U88" s="55">
        <v>75.311300000000003</v>
      </c>
      <c r="V88" s="55">
        <v>42.2727</v>
      </c>
      <c r="W88" s="55">
        <v>52.038800000000002</v>
      </c>
      <c r="X88" s="55">
        <v>52.320700000000002</v>
      </c>
      <c r="Y88" s="56"/>
      <c r="Z88" s="57"/>
      <c r="AA88" s="57"/>
      <c r="AC88" s="49" t="str">
        <f t="shared" si="16"/>
        <v>·</v>
      </c>
      <c r="AD88" s="50">
        <f t="shared" si="17"/>
        <v>1.4168797382293226</v>
      </c>
      <c r="AE88" s="50">
        <f t="shared" si="18"/>
        <v>0.88093035384987928</v>
      </c>
      <c r="AF88" s="50">
        <f t="shared" si="19"/>
        <v>0.53530365026046678</v>
      </c>
      <c r="AG88" s="51"/>
      <c r="AH88" s="50">
        <f t="shared" si="20"/>
        <v>1.5920211415192538</v>
      </c>
      <c r="AI88" s="52">
        <v>716694</v>
      </c>
      <c r="AJ88" s="53">
        <v>1140992</v>
      </c>
      <c r="AK88" s="53">
        <v>709400</v>
      </c>
      <c r="AL88" s="53">
        <v>431072</v>
      </c>
      <c r="AM88" s="54"/>
      <c r="AN88" s="55">
        <v>70.3874</v>
      </c>
      <c r="AO88" s="55">
        <v>75.311300000000003</v>
      </c>
      <c r="AP88" s="55">
        <v>41.453499999999998</v>
      </c>
      <c r="AQ88" s="55">
        <v>50.613999999999997</v>
      </c>
      <c r="AR88" s="55">
        <v>50.914400000000001</v>
      </c>
      <c r="AS88" s="56"/>
      <c r="AT88" s="57"/>
      <c r="AU88" s="57"/>
      <c r="AW88" s="58">
        <f t="shared" si="21"/>
        <v>7.1120601377363535E-2</v>
      </c>
      <c r="AX88" s="58"/>
      <c r="AZ88" s="59"/>
      <c r="BA88" s="59"/>
      <c r="BB88" s="59"/>
      <c r="BC88" s="59"/>
      <c r="BD88" s="59"/>
      <c r="BE88" s="60"/>
      <c r="BG88" s="59"/>
      <c r="BH88" s="59"/>
      <c r="BI88" s="59"/>
      <c r="BJ88" s="59"/>
      <c r="BK88" s="59"/>
      <c r="BL88" s="60"/>
    </row>
    <row r="89" spans="1:64" collapsed="1" x14ac:dyDescent="0.15">
      <c r="A89" s="16"/>
      <c r="B89" s="16" t="s">
        <v>272</v>
      </c>
      <c r="C89" s="17" t="s">
        <v>225</v>
      </c>
      <c r="D89" s="16">
        <v>1000993</v>
      </c>
      <c r="E89" s="18">
        <v>10</v>
      </c>
      <c r="F89" s="17">
        <v>1</v>
      </c>
      <c r="G89" s="17"/>
      <c r="I89" s="19" t="str">
        <f t="shared" si="11"/>
        <v>·</v>
      </c>
      <c r="J89" s="20">
        <f t="shared" si="12"/>
        <v>1.9772366040521763E-2</v>
      </c>
      <c r="K89" s="20">
        <f t="shared" si="13"/>
        <v>1.7766358006499547E-2</v>
      </c>
      <c r="L89" s="20">
        <f t="shared" si="14"/>
        <v>1.4945159456659536E-3</v>
      </c>
      <c r="M89" s="21"/>
      <c r="N89" s="20">
        <f t="shared" si="15"/>
        <v>1.3479534155145407</v>
      </c>
      <c r="O89" s="22">
        <v>14683</v>
      </c>
      <c r="P89" s="23">
        <v>19792</v>
      </c>
      <c r="Q89" s="23">
        <v>17784</v>
      </c>
      <c r="R89" s="23">
        <v>1496</v>
      </c>
      <c r="S89" s="24"/>
      <c r="T89" s="25">
        <v>52.804699999999997</v>
      </c>
      <c r="U89" s="25">
        <v>56.040300000000002</v>
      </c>
      <c r="V89" s="25">
        <v>22.82</v>
      </c>
      <c r="W89" s="25">
        <v>31.005199999999999</v>
      </c>
      <c r="X89" s="25">
        <v>29.511500000000002</v>
      </c>
      <c r="Y89" s="26"/>
      <c r="Z89" s="27"/>
      <c r="AA89" s="27"/>
      <c r="AC89" s="19" t="str">
        <f t="shared" si="16"/>
        <v>·</v>
      </c>
      <c r="AD89" s="20">
        <f t="shared" si="17"/>
        <v>1.8997135844106804E-2</v>
      </c>
      <c r="AE89" s="20">
        <f t="shared" si="18"/>
        <v>1.7766358006499547E-2</v>
      </c>
      <c r="AF89" s="20">
        <f t="shared" si="19"/>
        <v>7.2727781313156037E-4</v>
      </c>
      <c r="AG89" s="21"/>
      <c r="AH89" s="20">
        <f t="shared" si="20"/>
        <v>1.2951031805489341</v>
      </c>
      <c r="AI89" s="22">
        <v>14683</v>
      </c>
      <c r="AJ89" s="23">
        <v>19016</v>
      </c>
      <c r="AK89" s="23">
        <v>17784</v>
      </c>
      <c r="AL89" s="23">
        <v>728</v>
      </c>
      <c r="AM89" s="24"/>
      <c r="AN89" s="25">
        <v>52.804699999999997</v>
      </c>
      <c r="AO89" s="25">
        <v>56.040300000000002</v>
      </c>
      <c r="AP89" s="25">
        <v>21.779699999999998</v>
      </c>
      <c r="AQ89" s="25">
        <v>29.666899999999998</v>
      </c>
      <c r="AR89" s="25">
        <v>28.046199999999999</v>
      </c>
      <c r="AS89" s="26"/>
      <c r="AT89" s="27"/>
      <c r="AU89" s="27"/>
      <c r="AW89" s="28">
        <f t="shared" si="21"/>
        <v>3.6667586058661716E-2</v>
      </c>
      <c r="AX89" s="28">
        <f t="array" ref="AX89">AVERAGE(AK89:AK94/AJ89:AJ94) - AVERAGE(Q89:Q94/P89:P94)</f>
        <v>6.1067789790593796E-2</v>
      </c>
      <c r="AZ89" s="29">
        <f>IF( OR(ISBLANK(Q89:Q94),ISBLANK(AK89:AK94), ISBLANK(T89:T94),ISBLANK(AN89:AN94)), "·", bdRateExtend( Q89:Q94,T89:T94, AK89:AK94,AN89:AN94))</f>
        <v>0</v>
      </c>
      <c r="BA89" s="29">
        <f>IF( OR(ISBLANK(Q89:Q94),ISBLANK(AK89:AK94), ISBLANK(U89:U94),ISBLANK(AO89:AO94)), "·", bdRateExtend( Q89:Q94,U89:U94, AK89:AK94,AO89:AO94))</f>
        <v>0</v>
      </c>
      <c r="BB89" s="29">
        <f>IF( OR(ISBLANK(R89:R94),ISBLANK(AL89:AL94), ISBLANK(V89:V94),ISBLANK(AP89:AP94)), "·", bdRateExtend( R89:R94,V89:V94, AL89:AL94,AP89:AP94))</f>
        <v>-0.14548832972493142</v>
      </c>
      <c r="BC89" s="29">
        <f>IF( OR(ISBLANK(R89:R94),ISBLANK(AL89:AL94), ISBLANK(W89:W94),ISBLANK(AQ89:AQ94)), "·", bdRateExtend( R89:R94,W89:W94, AL89:AL94,AQ89:AQ94))</f>
        <v>2.6976273723815503E-2</v>
      </c>
      <c r="BD89" s="29">
        <f>IF( OR(ISBLANK(R89:R94),ISBLANK(AL89:AL94), ISBLANK(X89:X94),ISBLANK(AR89:AR94)), "·", bdRateExtend( R89:R94,X89:X94, AL89:AL94,AR89:AR94))</f>
        <v>-6.7190423540999689E-2</v>
      </c>
      <c r="BE89" s="30"/>
      <c r="BG89" s="29">
        <f>IF( OR(ISBLANK(P89:P94),ISBLANK(AJ89:AJ94), ISBLANK(T89:T94),ISBLANK(AN89:AN94)), "·", bdRateExtend( P89:P94,T89:T94, AJ89:AJ94,AN89:AN94))</f>
        <v>-6.8303373582651483E-2</v>
      </c>
      <c r="BH89" s="29">
        <f>IF( OR(ISBLANK(P89:P94),ISBLANK(AJ89:AJ94), ISBLANK(U89:U94),ISBLANK(AO89:AO94)), "·", bdRateExtend( P89:P94,U89:U94, AJ89:AJ94,AO89:AO94))</f>
        <v>-6.4908008897857861E-2</v>
      </c>
      <c r="BI89" s="29">
        <f>IF( OR(ISBLANK(P89:P94),ISBLANK(AJ89:AJ94), ISBLANK(V89:V94),ISBLANK(AP89:AP94)), "·", bdRateExtend( P89:P94,V89:V94, AJ89:AJ94,AP89:AP94))</f>
        <v>0.10586212622627689</v>
      </c>
      <c r="BJ89" s="29">
        <f>IF( OR(ISBLANK(P89:P94),ISBLANK(AJ89:AJ94), ISBLANK(W89:W94),ISBLANK(AQ89:AQ94)), "·", bdRateExtend( P89:P94,W89:W94, AJ89:AJ94,AQ89:AQ94))</f>
        <v>0.25913400208292736</v>
      </c>
      <c r="BK89" s="29">
        <f>IF( OR(ISBLANK(P89:P94),ISBLANK(AJ89:AJ94), ISBLANK(X89:X94),ISBLANK(AR89:AR94)), "·", bdRateExtend( P89:P94,X89:X94, AJ89:AJ94,AR89:AR94))</f>
        <v>0.17539487887813743</v>
      </c>
      <c r="BL89" s="30"/>
    </row>
    <row r="90" spans="1:64" outlineLevel="1" x14ac:dyDescent="0.15">
      <c r="A90" s="31"/>
      <c r="B90" s="31" t="s">
        <v>272</v>
      </c>
      <c r="C90" s="32" t="s">
        <v>226</v>
      </c>
      <c r="D90" s="31">
        <v>1000993</v>
      </c>
      <c r="E90" s="33">
        <v>10</v>
      </c>
      <c r="F90" s="32">
        <v>1</v>
      </c>
      <c r="G90" s="32"/>
      <c r="I90" s="34" t="str">
        <f t="shared" si="11"/>
        <v>·</v>
      </c>
      <c r="J90" s="35">
        <f t="shared" si="12"/>
        <v>6.9562924016451658E-2</v>
      </c>
      <c r="K90" s="35">
        <f t="shared" si="13"/>
        <v>5.9948471168130048E-2</v>
      </c>
      <c r="L90" s="35">
        <f t="shared" si="14"/>
        <v>9.0949686960847872E-3</v>
      </c>
      <c r="M90" s="36"/>
      <c r="N90" s="35">
        <f t="shared" si="15"/>
        <v>1.1566393143084948</v>
      </c>
      <c r="O90" s="37">
        <v>60202</v>
      </c>
      <c r="P90" s="38">
        <v>69632</v>
      </c>
      <c r="Q90" s="38">
        <v>60008</v>
      </c>
      <c r="R90" s="38">
        <v>9104</v>
      </c>
      <c r="S90" s="39"/>
      <c r="T90" s="40">
        <v>58.431800000000003</v>
      </c>
      <c r="U90" s="40">
        <v>62.6616</v>
      </c>
      <c r="V90" s="40">
        <v>26.456399999999999</v>
      </c>
      <c r="W90" s="40">
        <v>34.434899999999999</v>
      </c>
      <c r="X90" s="40">
        <v>32.883499999999998</v>
      </c>
      <c r="Y90" s="41"/>
      <c r="Z90" s="42"/>
      <c r="AA90" s="42"/>
      <c r="AC90" s="34" t="str">
        <f t="shared" si="16"/>
        <v>·</v>
      </c>
      <c r="AD90" s="35">
        <f t="shared" si="17"/>
        <v>6.5830630184227065E-2</v>
      </c>
      <c r="AE90" s="35">
        <f t="shared" si="18"/>
        <v>5.9948471168130048E-2</v>
      </c>
      <c r="AF90" s="35">
        <f t="shared" si="19"/>
        <v>5.3706669277407536E-3</v>
      </c>
      <c r="AG90" s="36"/>
      <c r="AH90" s="35">
        <f t="shared" si="20"/>
        <v>1.0945815753629446</v>
      </c>
      <c r="AI90" s="37">
        <v>60202</v>
      </c>
      <c r="AJ90" s="38">
        <v>65896</v>
      </c>
      <c r="AK90" s="38">
        <v>60008</v>
      </c>
      <c r="AL90" s="38">
        <v>5376</v>
      </c>
      <c r="AM90" s="39"/>
      <c r="AN90" s="40">
        <v>58.431800000000003</v>
      </c>
      <c r="AO90" s="40">
        <v>62.6616</v>
      </c>
      <c r="AP90" s="40">
        <v>25.7088</v>
      </c>
      <c r="AQ90" s="40">
        <v>33.331499999999998</v>
      </c>
      <c r="AR90" s="40">
        <v>31.870799999999999</v>
      </c>
      <c r="AS90" s="41"/>
      <c r="AT90" s="42"/>
      <c r="AU90" s="42"/>
      <c r="AW90" s="43">
        <f t="shared" si="21"/>
        <v>4.8859396424133505E-2</v>
      </c>
      <c r="AX90" s="43"/>
      <c r="AZ90" s="44"/>
      <c r="BA90" s="44"/>
      <c r="BB90" s="44"/>
      <c r="BC90" s="44"/>
      <c r="BD90" s="44"/>
      <c r="BE90" s="45"/>
      <c r="BG90" s="44"/>
      <c r="BH90" s="44"/>
      <c r="BI90" s="44"/>
      <c r="BJ90" s="44"/>
      <c r="BK90" s="44"/>
      <c r="BL90" s="45"/>
    </row>
    <row r="91" spans="1:64" outlineLevel="1" x14ac:dyDescent="0.15">
      <c r="A91" s="16"/>
      <c r="B91" s="16" t="s">
        <v>272</v>
      </c>
      <c r="C91" s="17" t="s">
        <v>227</v>
      </c>
      <c r="D91" s="16">
        <v>1000993</v>
      </c>
      <c r="E91" s="18">
        <v>10</v>
      </c>
      <c r="F91" s="17">
        <v>1</v>
      </c>
      <c r="G91" s="17"/>
      <c r="I91" s="19" t="str">
        <f t="shared" si="11"/>
        <v>·</v>
      </c>
      <c r="J91" s="20">
        <f t="shared" si="12"/>
        <v>0.26602383832853976</v>
      </c>
      <c r="K91" s="20">
        <f t="shared" si="13"/>
        <v>0.21084662929710798</v>
      </c>
      <c r="L91" s="20">
        <f t="shared" si="14"/>
        <v>5.4649732815314392E-2</v>
      </c>
      <c r="M91" s="21"/>
      <c r="N91" s="20">
        <f t="shared" si="15"/>
        <v>1.0840888642812652</v>
      </c>
      <c r="O91" s="22">
        <v>245633</v>
      </c>
      <c r="P91" s="23">
        <v>266288</v>
      </c>
      <c r="Q91" s="23">
        <v>211056</v>
      </c>
      <c r="R91" s="23">
        <v>54704</v>
      </c>
      <c r="S91" s="24"/>
      <c r="T91" s="25">
        <v>63.209800000000001</v>
      </c>
      <c r="U91" s="25">
        <v>69.047499999999999</v>
      </c>
      <c r="V91" s="25">
        <v>31.190799999999999</v>
      </c>
      <c r="W91" s="25">
        <v>39.552700000000002</v>
      </c>
      <c r="X91" s="25">
        <v>38.441000000000003</v>
      </c>
      <c r="Y91" s="26"/>
      <c r="Z91" s="27"/>
      <c r="AA91" s="27"/>
      <c r="AC91" s="19" t="str">
        <f t="shared" si="16"/>
        <v>·</v>
      </c>
      <c r="AD91" s="20">
        <f t="shared" si="17"/>
        <v>0.24705067867607466</v>
      </c>
      <c r="AE91" s="20">
        <f t="shared" si="18"/>
        <v>0.21084662929710798</v>
      </c>
      <c r="AF91" s="20">
        <f t="shared" si="19"/>
        <v>3.5684565226729859E-2</v>
      </c>
      <c r="AG91" s="21"/>
      <c r="AH91" s="20">
        <f t="shared" si="20"/>
        <v>1.0067702629532678</v>
      </c>
      <c r="AI91" s="22">
        <v>245633</v>
      </c>
      <c r="AJ91" s="23">
        <v>247296</v>
      </c>
      <c r="AK91" s="23">
        <v>211056</v>
      </c>
      <c r="AL91" s="23">
        <v>35720</v>
      </c>
      <c r="AM91" s="24"/>
      <c r="AN91" s="25">
        <v>63.209800000000001</v>
      </c>
      <c r="AO91" s="25">
        <v>69.047499999999999</v>
      </c>
      <c r="AP91" s="25">
        <v>30.440100000000001</v>
      </c>
      <c r="AQ91" s="25">
        <v>38.0991</v>
      </c>
      <c r="AR91" s="25">
        <v>37.664099999999998</v>
      </c>
      <c r="AS91" s="26"/>
      <c r="AT91" s="27"/>
      <c r="AU91" s="27"/>
      <c r="AW91" s="28">
        <f t="shared" si="21"/>
        <v>6.0869497574754905E-2</v>
      </c>
      <c r="AX91" s="28"/>
      <c r="AZ91" s="29"/>
      <c r="BA91" s="29"/>
      <c r="BB91" s="29"/>
      <c r="BC91" s="29"/>
      <c r="BD91" s="29"/>
      <c r="BE91" s="30"/>
      <c r="BG91" s="29"/>
      <c r="BH91" s="29"/>
      <c r="BI91" s="29"/>
      <c r="BJ91" s="29"/>
      <c r="BK91" s="29"/>
      <c r="BL91" s="30"/>
    </row>
    <row r="92" spans="1:64" outlineLevel="1" x14ac:dyDescent="0.15">
      <c r="A92" s="31"/>
      <c r="B92" s="31" t="s">
        <v>272</v>
      </c>
      <c r="C92" s="32" t="s">
        <v>228</v>
      </c>
      <c r="D92" s="31">
        <v>1000993</v>
      </c>
      <c r="E92" s="33">
        <v>10</v>
      </c>
      <c r="F92" s="32">
        <v>1</v>
      </c>
      <c r="G92" s="32"/>
      <c r="I92" s="34" t="str">
        <f t="shared" si="11"/>
        <v>·</v>
      </c>
      <c r="J92" s="35">
        <f t="shared" si="12"/>
        <v>0.68428050945411212</v>
      </c>
      <c r="K92" s="35">
        <f t="shared" si="13"/>
        <v>0.49358986526379306</v>
      </c>
      <c r="L92" s="35">
        <f t="shared" si="14"/>
        <v>0.19016316797420163</v>
      </c>
      <c r="M92" s="36"/>
      <c r="N92" s="35">
        <f t="shared" si="15"/>
        <v>1.228991540097069</v>
      </c>
      <c r="O92" s="37">
        <v>557335</v>
      </c>
      <c r="P92" s="38">
        <v>684960</v>
      </c>
      <c r="Q92" s="38">
        <v>494080</v>
      </c>
      <c r="R92" s="38">
        <v>190352</v>
      </c>
      <c r="S92" s="39"/>
      <c r="T92" s="40">
        <v>67.974199999999996</v>
      </c>
      <c r="U92" s="40">
        <v>73.680999999999997</v>
      </c>
      <c r="V92" s="40">
        <v>34.8904</v>
      </c>
      <c r="W92" s="40">
        <v>43.634399999999999</v>
      </c>
      <c r="X92" s="40">
        <v>43.033700000000003</v>
      </c>
      <c r="Y92" s="41"/>
      <c r="Z92" s="42"/>
      <c r="AA92" s="42"/>
      <c r="AC92" s="34" t="str">
        <f t="shared" si="16"/>
        <v>·</v>
      </c>
      <c r="AD92" s="35">
        <f t="shared" si="17"/>
        <v>0.62119914924479991</v>
      </c>
      <c r="AE92" s="35">
        <f t="shared" si="18"/>
        <v>0.49358986526379306</v>
      </c>
      <c r="AF92" s="35">
        <f t="shared" si="19"/>
        <v>0.12708979982877003</v>
      </c>
      <c r="AG92" s="36"/>
      <c r="AH92" s="35">
        <f t="shared" si="20"/>
        <v>1.1156952281841261</v>
      </c>
      <c r="AI92" s="37">
        <v>557335</v>
      </c>
      <c r="AJ92" s="38">
        <v>621816</v>
      </c>
      <c r="AK92" s="38">
        <v>494080</v>
      </c>
      <c r="AL92" s="38">
        <v>127216</v>
      </c>
      <c r="AM92" s="39"/>
      <c r="AN92" s="40">
        <v>67.974199999999996</v>
      </c>
      <c r="AO92" s="40">
        <v>73.680999999999997</v>
      </c>
      <c r="AP92" s="40">
        <v>34.0672</v>
      </c>
      <c r="AQ92" s="40">
        <v>42.211599999999997</v>
      </c>
      <c r="AR92" s="40">
        <v>41.618899999999996</v>
      </c>
      <c r="AS92" s="41"/>
      <c r="AT92" s="42"/>
      <c r="AU92" s="42"/>
      <c r="AW92" s="43">
        <f t="shared" si="21"/>
        <v>7.3249094595355224E-2</v>
      </c>
      <c r="AX92" s="43"/>
      <c r="AZ92" s="44"/>
      <c r="BA92" s="44"/>
      <c r="BB92" s="44"/>
      <c r="BC92" s="44"/>
      <c r="BD92" s="44"/>
      <c r="BE92" s="45"/>
      <c r="BG92" s="44"/>
      <c r="BH92" s="44"/>
      <c r="BI92" s="44"/>
      <c r="BJ92" s="44"/>
      <c r="BK92" s="44"/>
      <c r="BL92" s="45"/>
    </row>
    <row r="93" spans="1:64" outlineLevel="1" x14ac:dyDescent="0.15">
      <c r="A93" s="16"/>
      <c r="B93" s="16" t="s">
        <v>272</v>
      </c>
      <c r="C93" s="17" t="s">
        <v>229</v>
      </c>
      <c r="D93" s="16">
        <v>1000993</v>
      </c>
      <c r="E93" s="18">
        <v>10</v>
      </c>
      <c r="F93" s="17">
        <v>1</v>
      </c>
      <c r="G93" s="17"/>
      <c r="I93" s="19" t="str">
        <f t="shared" si="11"/>
        <v>·</v>
      </c>
      <c r="J93" s="20">
        <f t="shared" si="12"/>
        <v>1.0998518471158141</v>
      </c>
      <c r="K93" s="20">
        <f t="shared" si="13"/>
        <v>0.64452798371217379</v>
      </c>
      <c r="L93" s="20">
        <f t="shared" si="14"/>
        <v>0.4547963871875228</v>
      </c>
      <c r="M93" s="21"/>
      <c r="N93" s="20">
        <f t="shared" si="15"/>
        <v>1.442992349523369</v>
      </c>
      <c r="O93" s="22">
        <v>762959</v>
      </c>
      <c r="P93" s="23">
        <v>1100944</v>
      </c>
      <c r="Q93" s="23">
        <v>645168</v>
      </c>
      <c r="R93" s="23">
        <v>455248</v>
      </c>
      <c r="S93" s="24"/>
      <c r="T93" s="25">
        <v>69.706699999999998</v>
      </c>
      <c r="U93" s="25">
        <v>75.012900000000002</v>
      </c>
      <c r="V93" s="25">
        <v>37.441899999999997</v>
      </c>
      <c r="W93" s="25">
        <v>46.414200000000001</v>
      </c>
      <c r="X93" s="25">
        <v>45.8093</v>
      </c>
      <c r="Y93" s="26"/>
      <c r="Z93" s="27"/>
      <c r="AA93" s="27"/>
      <c r="AC93" s="19" t="str">
        <f t="shared" si="16"/>
        <v>·</v>
      </c>
      <c r="AD93" s="20">
        <f t="shared" si="17"/>
        <v>0.97798885706493455</v>
      </c>
      <c r="AE93" s="20">
        <f t="shared" si="18"/>
        <v>0.64452798371217379</v>
      </c>
      <c r="AF93" s="20">
        <f t="shared" si="19"/>
        <v>0.33294138920052391</v>
      </c>
      <c r="AG93" s="21"/>
      <c r="AH93" s="20">
        <f t="shared" si="20"/>
        <v>1.2831095773167365</v>
      </c>
      <c r="AI93" s="22">
        <v>762959</v>
      </c>
      <c r="AJ93" s="23">
        <v>978960</v>
      </c>
      <c r="AK93" s="23">
        <v>645168</v>
      </c>
      <c r="AL93" s="23">
        <v>333272</v>
      </c>
      <c r="AM93" s="24"/>
      <c r="AN93" s="25">
        <v>69.706699999999998</v>
      </c>
      <c r="AO93" s="25">
        <v>75.012900000000002</v>
      </c>
      <c r="AP93" s="25">
        <v>36.823999999999998</v>
      </c>
      <c r="AQ93" s="25">
        <v>45.2669</v>
      </c>
      <c r="AR93" s="25">
        <v>44.670900000000003</v>
      </c>
      <c r="AS93" s="26"/>
      <c r="AT93" s="27"/>
      <c r="AU93" s="27"/>
      <c r="AW93" s="28">
        <f t="shared" si="21"/>
        <v>7.3020619437760614E-2</v>
      </c>
      <c r="AX93" s="28"/>
      <c r="AZ93" s="29"/>
      <c r="BA93" s="29"/>
      <c r="BB93" s="29"/>
      <c r="BC93" s="29"/>
      <c r="BD93" s="29"/>
      <c r="BE93" s="30"/>
      <c r="BG93" s="29"/>
      <c r="BH93" s="29"/>
      <c r="BI93" s="29"/>
      <c r="BJ93" s="29"/>
      <c r="BK93" s="29"/>
      <c r="BL93" s="30"/>
    </row>
    <row r="94" spans="1:64" outlineLevel="1" x14ac:dyDescent="0.15">
      <c r="A94" s="31"/>
      <c r="B94" s="46" t="s">
        <v>272</v>
      </c>
      <c r="C94" s="47" t="s">
        <v>230</v>
      </c>
      <c r="D94" s="46">
        <v>1000993</v>
      </c>
      <c r="E94" s="48">
        <v>10</v>
      </c>
      <c r="F94" s="47">
        <v>1</v>
      </c>
      <c r="G94" s="47"/>
      <c r="I94" s="49" t="str">
        <f t="shared" si="11"/>
        <v>·</v>
      </c>
      <c r="J94" s="50">
        <f t="shared" si="12"/>
        <v>1.6456059133280652</v>
      </c>
      <c r="K94" s="50">
        <f t="shared" si="13"/>
        <v>0.71177320920326115</v>
      </c>
      <c r="L94" s="50">
        <f t="shared" si="14"/>
        <v>0.93329723584480606</v>
      </c>
      <c r="M94" s="51"/>
      <c r="N94" s="50">
        <f t="shared" si="15"/>
        <v>1.8768757477354299</v>
      </c>
      <c r="O94" s="52">
        <v>877650</v>
      </c>
      <c r="P94" s="53">
        <v>1647240</v>
      </c>
      <c r="Q94" s="53">
        <v>712480</v>
      </c>
      <c r="R94" s="53">
        <v>934224</v>
      </c>
      <c r="S94" s="54"/>
      <c r="T94" s="55">
        <v>70.395499999999998</v>
      </c>
      <c r="U94" s="55">
        <v>75.426900000000003</v>
      </c>
      <c r="V94" s="55">
        <v>40.744199999999999</v>
      </c>
      <c r="W94" s="55">
        <v>48.559800000000003</v>
      </c>
      <c r="X94" s="55">
        <v>47.960799999999999</v>
      </c>
      <c r="Y94" s="56"/>
      <c r="Z94" s="57"/>
      <c r="AA94" s="57"/>
      <c r="AC94" s="49" t="str">
        <f t="shared" si="16"/>
        <v>·</v>
      </c>
      <c r="AD94" s="50">
        <f t="shared" si="17"/>
        <v>1.4059159254859923</v>
      </c>
      <c r="AE94" s="50">
        <f t="shared" si="18"/>
        <v>0.71177320920326115</v>
      </c>
      <c r="AF94" s="50">
        <f t="shared" si="19"/>
        <v>0.6936152400666139</v>
      </c>
      <c r="AG94" s="51"/>
      <c r="AH94" s="50">
        <f t="shared" si="20"/>
        <v>1.6035002563664331</v>
      </c>
      <c r="AI94" s="52">
        <v>877650</v>
      </c>
      <c r="AJ94" s="53">
        <v>1407312</v>
      </c>
      <c r="AK94" s="53">
        <v>712480</v>
      </c>
      <c r="AL94" s="53">
        <v>694304</v>
      </c>
      <c r="AM94" s="54"/>
      <c r="AN94" s="55">
        <v>70.395499999999998</v>
      </c>
      <c r="AO94" s="55">
        <v>75.426900000000003</v>
      </c>
      <c r="AP94" s="55">
        <v>40.061900000000001</v>
      </c>
      <c r="AQ94" s="55">
        <v>47.488100000000003</v>
      </c>
      <c r="AR94" s="55">
        <v>46.909100000000002</v>
      </c>
      <c r="AS94" s="56"/>
      <c r="AT94" s="57"/>
      <c r="AU94" s="57"/>
      <c r="AW94" s="58">
        <f t="shared" si="21"/>
        <v>7.3740544652896534E-2</v>
      </c>
      <c r="AX94" s="58"/>
      <c r="AZ94" s="59"/>
      <c r="BA94" s="59"/>
      <c r="BB94" s="59"/>
      <c r="BC94" s="59"/>
      <c r="BD94" s="59"/>
      <c r="BE94" s="60"/>
      <c r="BG94" s="59"/>
      <c r="BH94" s="59"/>
      <c r="BI94" s="59"/>
      <c r="BJ94" s="59"/>
      <c r="BK94" s="59"/>
      <c r="BL94" s="60"/>
    </row>
    <row r="95" spans="1:64" collapsed="1" x14ac:dyDescent="0.15">
      <c r="A95" s="16"/>
      <c r="B95" s="16" t="s">
        <v>275</v>
      </c>
      <c r="C95" s="17" t="s">
        <v>225</v>
      </c>
      <c r="D95" s="16">
        <v>2770567</v>
      </c>
      <c r="E95" s="18">
        <v>12</v>
      </c>
      <c r="F95" s="17">
        <v>1</v>
      </c>
      <c r="G95" s="17"/>
      <c r="I95" s="19" t="str">
        <f t="shared" si="11"/>
        <v>·</v>
      </c>
      <c r="J95" s="20">
        <f t="shared" si="12"/>
        <v>8.6220618378837263E-3</v>
      </c>
      <c r="K95" s="20">
        <f t="shared" si="13"/>
        <v>7.8539880103964278E-3</v>
      </c>
      <c r="L95" s="20">
        <f t="shared" si="14"/>
        <v>5.8904910077973213E-4</v>
      </c>
      <c r="M95" s="21"/>
      <c r="N95" s="20">
        <f t="shared" si="15"/>
        <v>1.5304971809328549</v>
      </c>
      <c r="O95" s="22">
        <v>15608</v>
      </c>
      <c r="P95" s="23">
        <v>23888</v>
      </c>
      <c r="Q95" s="23">
        <v>21760</v>
      </c>
      <c r="R95" s="23">
        <v>1632</v>
      </c>
      <c r="S95" s="24"/>
      <c r="T95" s="25">
        <v>52.897199999999998</v>
      </c>
      <c r="U95" s="25">
        <v>54.956299999999999</v>
      </c>
      <c r="V95" s="25">
        <v>24.707100000000001</v>
      </c>
      <c r="W95" s="25">
        <v>33.529400000000003</v>
      </c>
      <c r="X95" s="25">
        <v>24.3781</v>
      </c>
      <c r="Y95" s="26"/>
      <c r="Z95" s="27"/>
      <c r="AA95" s="27"/>
      <c r="AC95" s="19" t="str">
        <f t="shared" si="16"/>
        <v>·</v>
      </c>
      <c r="AD95" s="20">
        <f t="shared" si="17"/>
        <v>8.3073248183494573E-3</v>
      </c>
      <c r="AE95" s="20">
        <f t="shared" si="18"/>
        <v>7.8539880103964278E-3</v>
      </c>
      <c r="AF95" s="20">
        <f t="shared" si="19"/>
        <v>2.77199576837521E-4</v>
      </c>
      <c r="AG95" s="21"/>
      <c r="AH95" s="20">
        <f t="shared" si="20"/>
        <v>1.4746283956945156</v>
      </c>
      <c r="AI95" s="22">
        <v>15608</v>
      </c>
      <c r="AJ95" s="23">
        <v>23016</v>
      </c>
      <c r="AK95" s="23">
        <v>21760</v>
      </c>
      <c r="AL95" s="23">
        <v>768</v>
      </c>
      <c r="AM95" s="24"/>
      <c r="AN95" s="25">
        <v>52.897199999999998</v>
      </c>
      <c r="AO95" s="25">
        <v>54.956299999999999</v>
      </c>
      <c r="AP95" s="25">
        <v>23.497199999999999</v>
      </c>
      <c r="AQ95" s="25">
        <v>31.726800000000001</v>
      </c>
      <c r="AR95" s="25">
        <v>23.3993</v>
      </c>
      <c r="AS95" s="26"/>
      <c r="AT95" s="27"/>
      <c r="AU95" s="27"/>
      <c r="AW95" s="28">
        <f t="shared" si="21"/>
        <v>3.4511651057966941E-2</v>
      </c>
      <c r="AX95" s="28">
        <f t="array" ref="AX95">AVERAGE(AK95:AK100/AJ95:AJ100) - AVERAGE(Q95:Q100/P95:P100)</f>
        <v>6.3193324719182375E-2</v>
      </c>
      <c r="AZ95" s="29">
        <f>IF( OR(ISBLANK(Q95:Q100),ISBLANK(AK95:AK100), ISBLANK(T95:T100),ISBLANK(AN95:AN100)), "·", bdRateExtend( Q95:Q100,T95:T100, AK95:AK100,AN95:AN100))</f>
        <v>0</v>
      </c>
      <c r="BA95" s="29">
        <f>IF( OR(ISBLANK(Q95:Q100),ISBLANK(AK95:AK100), ISBLANK(U95:U100),ISBLANK(AO95:AO100)), "·", bdRateExtend( Q95:Q100,U95:U100, AK95:AK100,AO95:AO100))</f>
        <v>0</v>
      </c>
      <c r="BB95" s="29">
        <f>IF( OR(ISBLANK(R95:R100),ISBLANK(AL95:AL100), ISBLANK(V95:V100),ISBLANK(AP95:AP100)), "·", bdRateExtend( R95:R100,V95:V100, AL95:AL100,AP95:AP100))</f>
        <v>-4.0298889186664022E-3</v>
      </c>
      <c r="BC95" s="29">
        <f>IF( OR(ISBLANK(R95:R100),ISBLANK(AL95:AL100), ISBLANK(W95:W100),ISBLANK(AQ95:AQ100)), "·", bdRateExtend( R95:R100,W95:W100, AL95:AL100,AQ95:AQ100))</f>
        <v>0.25756912795618447</v>
      </c>
      <c r="BD95" s="29">
        <f>IF( OR(ISBLANK(R95:R100),ISBLANK(AL95:AL100), ISBLANK(X95:X100),ISBLANK(AR95:AR100)), "·", bdRateExtend( R95:R100,X95:X100, AL95:AL100,AR95:AR100))</f>
        <v>-4.4535951322731693E-3</v>
      </c>
      <c r="BE95" s="30"/>
      <c r="BG95" s="29">
        <f>IF( OR(ISBLANK(P95:P100),ISBLANK(AJ95:AJ100), ISBLANK(T95:T100),ISBLANK(AN95:AN100)), "·", bdRateExtend( P95:P100,T95:T100, AJ95:AJ100,AN95:AN100))</f>
        <v>-7.6855740896060398E-2</v>
      </c>
      <c r="BH95" s="29">
        <f>IF( OR(ISBLANK(P95:P100),ISBLANK(AJ95:AJ100), ISBLANK(U95:U100),ISBLANK(AO95:AO100)), "·", bdRateExtend( P95:P100,U95:U100, AJ95:AJ100,AO95:AO100))</f>
        <v>-7.7163644141435173E-2</v>
      </c>
      <c r="BI95" s="29">
        <f>IF( OR(ISBLANK(P95:P100),ISBLANK(AJ95:AJ100), ISBLANK(V95:V100),ISBLANK(AP95:AP100)), "·", bdRateExtend( P95:P100,V95:V100, AJ95:AJ100,AP95:AP100))</f>
        <v>0.38254347488300855</v>
      </c>
      <c r="BJ95" s="29">
        <f>IF( OR(ISBLANK(P95:P100),ISBLANK(AJ95:AJ100), ISBLANK(W95:W100),ISBLANK(AQ95:AQ100)), "·", bdRateExtend( P95:P100,W95:W100, AJ95:AJ100,AQ95:AQ100))</f>
        <v>0.68266193313136814</v>
      </c>
      <c r="BK95" s="29">
        <f>IF( OR(ISBLANK(P95:P100),ISBLANK(AJ95:AJ100), ISBLANK(X95:X100),ISBLANK(AR95:AR100)), "·", bdRateExtend( P95:P100,X95:X100, AJ95:AJ100,AR95:AR100))</f>
        <v>0.36125735112634594</v>
      </c>
      <c r="BL95" s="30"/>
    </row>
    <row r="96" spans="1:64" outlineLevel="1" x14ac:dyDescent="0.15">
      <c r="A96" s="31"/>
      <c r="B96" s="31" t="s">
        <v>275</v>
      </c>
      <c r="C96" s="32" t="s">
        <v>226</v>
      </c>
      <c r="D96" s="31">
        <v>2770567</v>
      </c>
      <c r="E96" s="33">
        <v>12</v>
      </c>
      <c r="F96" s="32">
        <v>1</v>
      </c>
      <c r="G96" s="32"/>
      <c r="I96" s="34" t="str">
        <f t="shared" si="11"/>
        <v>·</v>
      </c>
      <c r="J96" s="35">
        <f t="shared" si="12"/>
        <v>3.0714290612715738E-2</v>
      </c>
      <c r="K96" s="35">
        <f t="shared" si="13"/>
        <v>2.6611159376402016E-2</v>
      </c>
      <c r="L96" s="35">
        <f t="shared" si="14"/>
        <v>3.921219014014099E-3</v>
      </c>
      <c r="M96" s="36"/>
      <c r="N96" s="35">
        <f t="shared" si="15"/>
        <v>1.3784300385524995</v>
      </c>
      <c r="O96" s="37">
        <v>61734</v>
      </c>
      <c r="P96" s="38">
        <v>85096</v>
      </c>
      <c r="Q96" s="38">
        <v>73728</v>
      </c>
      <c r="R96" s="38">
        <v>10864</v>
      </c>
      <c r="S96" s="39"/>
      <c r="T96" s="40">
        <v>58.924799999999998</v>
      </c>
      <c r="U96" s="40">
        <v>61.241799999999998</v>
      </c>
      <c r="V96" s="40">
        <v>28.468599999999999</v>
      </c>
      <c r="W96" s="40">
        <v>36.539499999999997</v>
      </c>
      <c r="X96" s="40">
        <v>27.305700000000002</v>
      </c>
      <c r="Y96" s="41"/>
      <c r="Z96" s="42"/>
      <c r="AA96" s="42"/>
      <c r="AC96" s="34" t="str">
        <f t="shared" si="16"/>
        <v>·</v>
      </c>
      <c r="AD96" s="35">
        <f t="shared" si="17"/>
        <v>2.8672831229131078E-2</v>
      </c>
      <c r="AE96" s="35">
        <f t="shared" si="18"/>
        <v>2.6611159376402016E-2</v>
      </c>
      <c r="AF96" s="35">
        <f t="shared" si="19"/>
        <v>1.8826471260214967E-3</v>
      </c>
      <c r="AG96" s="36"/>
      <c r="AH96" s="35">
        <f t="shared" si="20"/>
        <v>1.2868111575468948</v>
      </c>
      <c r="AI96" s="37">
        <v>61734</v>
      </c>
      <c r="AJ96" s="38">
        <v>79440</v>
      </c>
      <c r="AK96" s="38">
        <v>73728</v>
      </c>
      <c r="AL96" s="38">
        <v>5216</v>
      </c>
      <c r="AM96" s="39"/>
      <c r="AN96" s="40">
        <v>58.924799999999998</v>
      </c>
      <c r="AO96" s="40">
        <v>61.241799999999998</v>
      </c>
      <c r="AP96" s="40">
        <v>27.096</v>
      </c>
      <c r="AQ96" s="40">
        <v>35.155000000000001</v>
      </c>
      <c r="AR96" s="40">
        <v>25.8705</v>
      </c>
      <c r="AS96" s="41"/>
      <c r="AT96" s="42"/>
      <c r="AU96" s="42"/>
      <c r="AW96" s="43">
        <f t="shared" si="21"/>
        <v>6.1686974753518142E-2</v>
      </c>
      <c r="AX96" s="43"/>
      <c r="AZ96" s="44"/>
      <c r="BA96" s="44"/>
      <c r="BB96" s="44"/>
      <c r="BC96" s="44"/>
      <c r="BD96" s="44"/>
      <c r="BE96" s="45"/>
      <c r="BG96" s="44"/>
      <c r="BH96" s="44"/>
      <c r="BI96" s="44"/>
      <c r="BJ96" s="44"/>
      <c r="BK96" s="44"/>
      <c r="BL96" s="45"/>
    </row>
    <row r="97" spans="1:64" outlineLevel="1" x14ac:dyDescent="0.15">
      <c r="A97" s="16"/>
      <c r="B97" s="16" t="s">
        <v>275</v>
      </c>
      <c r="C97" s="17" t="s">
        <v>227</v>
      </c>
      <c r="D97" s="16">
        <v>2770567</v>
      </c>
      <c r="E97" s="18">
        <v>12</v>
      </c>
      <c r="F97" s="17">
        <v>1</v>
      </c>
      <c r="G97" s="17"/>
      <c r="I97" s="19" t="str">
        <f t="shared" si="11"/>
        <v>·</v>
      </c>
      <c r="J97" s="20">
        <f t="shared" si="12"/>
        <v>0.11558933604565419</v>
      </c>
      <c r="K97" s="20">
        <f t="shared" si="13"/>
        <v>9.2145759333739266E-2</v>
      </c>
      <c r="L97" s="20">
        <f t="shared" si="14"/>
        <v>2.3261664489615301E-2</v>
      </c>
      <c r="M97" s="21"/>
      <c r="N97" s="20">
        <f t="shared" si="15"/>
        <v>1.3586410534890034</v>
      </c>
      <c r="O97" s="22">
        <v>235712</v>
      </c>
      <c r="P97" s="23">
        <v>320248</v>
      </c>
      <c r="Q97" s="23">
        <v>255296</v>
      </c>
      <c r="R97" s="23">
        <v>64448</v>
      </c>
      <c r="S97" s="24"/>
      <c r="T97" s="25">
        <v>64.847700000000003</v>
      </c>
      <c r="U97" s="25">
        <v>67.733199999999997</v>
      </c>
      <c r="V97" s="25">
        <v>32.381300000000003</v>
      </c>
      <c r="W97" s="25">
        <v>39.823900000000002</v>
      </c>
      <c r="X97" s="25">
        <v>32.126600000000003</v>
      </c>
      <c r="Y97" s="26"/>
      <c r="Z97" s="27"/>
      <c r="AA97" s="27"/>
      <c r="AC97" s="19" t="str">
        <f t="shared" si="16"/>
        <v>·</v>
      </c>
      <c r="AD97" s="20">
        <f t="shared" si="17"/>
        <v>0.10708566152704482</v>
      </c>
      <c r="AE97" s="20">
        <f t="shared" si="18"/>
        <v>9.2145759333739266E-2</v>
      </c>
      <c r="AF97" s="20">
        <f t="shared" si="19"/>
        <v>1.4760877466597993E-2</v>
      </c>
      <c r="AG97" s="21"/>
      <c r="AH97" s="20">
        <f t="shared" si="20"/>
        <v>1.2586885691012761</v>
      </c>
      <c r="AI97" s="22">
        <v>235712</v>
      </c>
      <c r="AJ97" s="23">
        <v>296688</v>
      </c>
      <c r="AK97" s="23">
        <v>255296</v>
      </c>
      <c r="AL97" s="23">
        <v>40896</v>
      </c>
      <c r="AM97" s="24"/>
      <c r="AN97" s="25">
        <v>64.847700000000003</v>
      </c>
      <c r="AO97" s="25">
        <v>67.733199999999997</v>
      </c>
      <c r="AP97" s="25">
        <v>31.125299999999999</v>
      </c>
      <c r="AQ97" s="25">
        <v>38.415199999999999</v>
      </c>
      <c r="AR97" s="25">
        <v>30.647600000000001</v>
      </c>
      <c r="AS97" s="26"/>
      <c r="AT97" s="27"/>
      <c r="AU97" s="27"/>
      <c r="AW97" s="28">
        <f t="shared" si="21"/>
        <v>6.3304253122828946E-2</v>
      </c>
      <c r="AX97" s="28"/>
      <c r="AZ97" s="29"/>
      <c r="BA97" s="29"/>
      <c r="BB97" s="29"/>
      <c r="BC97" s="29"/>
      <c r="BD97" s="29"/>
      <c r="BE97" s="30"/>
      <c r="BG97" s="29"/>
      <c r="BH97" s="29"/>
      <c r="BI97" s="29"/>
      <c r="BJ97" s="29"/>
      <c r="BK97" s="29"/>
      <c r="BL97" s="30"/>
    </row>
    <row r="98" spans="1:64" outlineLevel="1" x14ac:dyDescent="0.15">
      <c r="A98" s="31"/>
      <c r="B98" s="31" t="s">
        <v>275</v>
      </c>
      <c r="C98" s="32" t="s">
        <v>228</v>
      </c>
      <c r="D98" s="31">
        <v>2770567</v>
      </c>
      <c r="E98" s="33">
        <v>12</v>
      </c>
      <c r="F98" s="32">
        <v>1</v>
      </c>
      <c r="G98" s="32"/>
      <c r="I98" s="34" t="str">
        <f t="shared" si="11"/>
        <v>·</v>
      </c>
      <c r="J98" s="35">
        <f t="shared" si="12"/>
        <v>0.44818262832120648</v>
      </c>
      <c r="K98" s="35">
        <f t="shared" si="13"/>
        <v>0.33367899061816586</v>
      </c>
      <c r="L98" s="35">
        <f t="shared" si="14"/>
        <v>0.11432172548074095</v>
      </c>
      <c r="M98" s="36"/>
      <c r="N98" s="35">
        <f t="shared" si="15"/>
        <v>1.4798571294070537</v>
      </c>
      <c r="O98" s="37">
        <v>839081</v>
      </c>
      <c r="P98" s="38">
        <v>1241720</v>
      </c>
      <c r="Q98" s="38">
        <v>924480</v>
      </c>
      <c r="R98" s="38">
        <v>316736</v>
      </c>
      <c r="S98" s="39"/>
      <c r="T98" s="40">
        <v>70.478300000000004</v>
      </c>
      <c r="U98" s="40">
        <v>74.328699999999998</v>
      </c>
      <c r="V98" s="40">
        <v>36.822200000000002</v>
      </c>
      <c r="W98" s="40">
        <v>42.810299999999998</v>
      </c>
      <c r="X98" s="40">
        <v>38.242800000000003</v>
      </c>
      <c r="Y98" s="41"/>
      <c r="Z98" s="42"/>
      <c r="AA98" s="42"/>
      <c r="AC98" s="34" t="str">
        <f t="shared" si="16"/>
        <v>·</v>
      </c>
      <c r="AD98" s="35">
        <f t="shared" si="17"/>
        <v>0.40938912504191383</v>
      </c>
      <c r="AE98" s="35">
        <f t="shared" si="18"/>
        <v>0.33367899061816586</v>
      </c>
      <c r="AF98" s="35">
        <f t="shared" si="19"/>
        <v>7.5531109697040355E-2</v>
      </c>
      <c r="AG98" s="36"/>
      <c r="AH98" s="35">
        <f t="shared" si="20"/>
        <v>1.3517646091378543</v>
      </c>
      <c r="AI98" s="37">
        <v>839081</v>
      </c>
      <c r="AJ98" s="38">
        <v>1134240</v>
      </c>
      <c r="AK98" s="38">
        <v>924480</v>
      </c>
      <c r="AL98" s="38">
        <v>209264</v>
      </c>
      <c r="AM98" s="39"/>
      <c r="AN98" s="40">
        <v>70.478300000000004</v>
      </c>
      <c r="AO98" s="40">
        <v>74.328699999999998</v>
      </c>
      <c r="AP98" s="40">
        <v>35.467300000000002</v>
      </c>
      <c r="AQ98" s="40">
        <v>41.440399999999997</v>
      </c>
      <c r="AR98" s="40">
        <v>36.733699999999999</v>
      </c>
      <c r="AS98" s="41"/>
      <c r="AT98" s="42"/>
      <c r="AU98" s="42"/>
      <c r="AW98" s="43">
        <f t="shared" si="21"/>
        <v>7.0549922773087026E-2</v>
      </c>
      <c r="AX98" s="43"/>
      <c r="AZ98" s="44"/>
      <c r="BA98" s="44"/>
      <c r="BB98" s="44"/>
      <c r="BC98" s="44"/>
      <c r="BD98" s="44"/>
      <c r="BE98" s="45"/>
      <c r="BG98" s="44"/>
      <c r="BH98" s="44"/>
      <c r="BI98" s="44"/>
      <c r="BJ98" s="44"/>
      <c r="BK98" s="44"/>
      <c r="BL98" s="45"/>
    </row>
    <row r="99" spans="1:64" outlineLevel="1" x14ac:dyDescent="0.15">
      <c r="A99" s="16"/>
      <c r="B99" s="16" t="s">
        <v>275</v>
      </c>
      <c r="C99" s="17" t="s">
        <v>229</v>
      </c>
      <c r="D99" s="16">
        <v>2770567</v>
      </c>
      <c r="E99" s="18">
        <v>12</v>
      </c>
      <c r="F99" s="17">
        <v>1</v>
      </c>
      <c r="G99" s="17"/>
      <c r="I99" s="19" t="str">
        <f t="shared" si="11"/>
        <v>·</v>
      </c>
      <c r="J99" s="20">
        <f t="shared" si="12"/>
        <v>1.6047920876845787</v>
      </c>
      <c r="K99" s="20">
        <f t="shared" si="13"/>
        <v>1.1401218595327238</v>
      </c>
      <c r="L99" s="20">
        <f t="shared" si="14"/>
        <v>0.46439880356620145</v>
      </c>
      <c r="M99" s="21"/>
      <c r="N99" s="20">
        <f t="shared" si="15"/>
        <v>1.7801070262072478</v>
      </c>
      <c r="O99" s="22">
        <v>2497706</v>
      </c>
      <c r="P99" s="23">
        <v>4446184</v>
      </c>
      <c r="Q99" s="23">
        <v>3158784</v>
      </c>
      <c r="R99" s="23">
        <v>1286648</v>
      </c>
      <c r="S99" s="24"/>
      <c r="T99" s="25">
        <v>75.255099999999999</v>
      </c>
      <c r="U99" s="25">
        <v>80.208500000000001</v>
      </c>
      <c r="V99" s="25">
        <v>41.470399999999998</v>
      </c>
      <c r="W99" s="25">
        <v>46.219200000000001</v>
      </c>
      <c r="X99" s="25">
        <v>43.5837</v>
      </c>
      <c r="Y99" s="26"/>
      <c r="Z99" s="27"/>
      <c r="AA99" s="27"/>
      <c r="AC99" s="19" t="str">
        <f t="shared" si="16"/>
        <v>·</v>
      </c>
      <c r="AD99" s="20">
        <f t="shared" si="17"/>
        <v>1.4493812999288593</v>
      </c>
      <c r="AE99" s="20">
        <f t="shared" si="18"/>
        <v>1.1401218595327238</v>
      </c>
      <c r="AF99" s="20">
        <f t="shared" si="19"/>
        <v>0.30899090330607415</v>
      </c>
      <c r="AG99" s="21"/>
      <c r="AH99" s="20">
        <f t="shared" si="20"/>
        <v>1.6077184424427855</v>
      </c>
      <c r="AI99" s="22">
        <v>2497706</v>
      </c>
      <c r="AJ99" s="23">
        <v>4015608</v>
      </c>
      <c r="AK99" s="23">
        <v>3158784</v>
      </c>
      <c r="AL99" s="23">
        <v>856080</v>
      </c>
      <c r="AM99" s="24"/>
      <c r="AN99" s="25">
        <v>75.255099999999999</v>
      </c>
      <c r="AO99" s="25">
        <v>80.208500000000001</v>
      </c>
      <c r="AP99" s="25">
        <v>40.252099999999999</v>
      </c>
      <c r="AQ99" s="25">
        <v>44.622700000000002</v>
      </c>
      <c r="AR99" s="25">
        <v>42.196199999999997</v>
      </c>
      <c r="AS99" s="26"/>
      <c r="AT99" s="27"/>
      <c r="AU99" s="27"/>
      <c r="AW99" s="28">
        <f t="shared" si="21"/>
        <v>7.617825254941657E-2</v>
      </c>
      <c r="AX99" s="28"/>
      <c r="AZ99" s="29"/>
      <c r="BA99" s="29"/>
      <c r="BB99" s="29"/>
      <c r="BC99" s="29"/>
      <c r="BD99" s="29"/>
      <c r="BE99" s="30"/>
      <c r="BG99" s="29"/>
      <c r="BH99" s="29"/>
      <c r="BI99" s="29"/>
      <c r="BJ99" s="29"/>
      <c r="BK99" s="29"/>
      <c r="BL99" s="30"/>
    </row>
    <row r="100" spans="1:64" outlineLevel="1" x14ac:dyDescent="0.15">
      <c r="A100" s="31"/>
      <c r="B100" s="46" t="s">
        <v>275</v>
      </c>
      <c r="C100" s="47" t="s">
        <v>230</v>
      </c>
      <c r="D100" s="46">
        <v>2770567</v>
      </c>
      <c r="E100" s="48">
        <v>12</v>
      </c>
      <c r="F100" s="47">
        <v>1</v>
      </c>
      <c r="G100" s="47"/>
      <c r="I100" s="49" t="str">
        <f t="shared" si="11"/>
        <v>·</v>
      </c>
      <c r="J100" s="50">
        <f t="shared" si="12"/>
        <v>4.2960910167485569</v>
      </c>
      <c r="K100" s="50">
        <f t="shared" si="13"/>
        <v>3.2316619666660289</v>
      </c>
      <c r="L100" s="50">
        <f t="shared" si="14"/>
        <v>1.0641576254968748</v>
      </c>
      <c r="M100" s="51"/>
      <c r="N100" s="50">
        <f t="shared" si="15"/>
        <v>4.4751727451763319</v>
      </c>
      <c r="O100" s="52">
        <v>2659698</v>
      </c>
      <c r="P100" s="53">
        <v>11902608</v>
      </c>
      <c r="Q100" s="53">
        <v>8953536</v>
      </c>
      <c r="R100" s="53">
        <v>2948320</v>
      </c>
      <c r="S100" s="54"/>
      <c r="T100" s="55">
        <v>80.020799999999994</v>
      </c>
      <c r="U100" s="55">
        <v>84.848200000000006</v>
      </c>
      <c r="V100" s="55">
        <v>44.336199999999998</v>
      </c>
      <c r="W100" s="55">
        <v>48.169600000000003</v>
      </c>
      <c r="X100" s="55">
        <v>46.114400000000003</v>
      </c>
      <c r="Y100" s="56"/>
      <c r="Z100" s="57"/>
      <c r="AA100" s="57"/>
      <c r="AC100" s="49" t="str">
        <f t="shared" si="16"/>
        <v>·</v>
      </c>
      <c r="AD100" s="50">
        <f t="shared" si="17"/>
        <v>3.916396896375363</v>
      </c>
      <c r="AE100" s="50">
        <f t="shared" si="18"/>
        <v>3.2316619666660289</v>
      </c>
      <c r="AF100" s="50">
        <f t="shared" si="19"/>
        <v>0.68446639261927256</v>
      </c>
      <c r="AG100" s="51"/>
      <c r="AH100" s="50">
        <f t="shared" si="20"/>
        <v>4.0796511483634612</v>
      </c>
      <c r="AI100" s="52">
        <v>2659698</v>
      </c>
      <c r="AJ100" s="53">
        <v>10850640</v>
      </c>
      <c r="AK100" s="53">
        <v>8953536</v>
      </c>
      <c r="AL100" s="53">
        <v>1896360</v>
      </c>
      <c r="AM100" s="54"/>
      <c r="AN100" s="55">
        <v>80.020799999999994</v>
      </c>
      <c r="AO100" s="55">
        <v>84.848200000000006</v>
      </c>
      <c r="AP100" s="55">
        <v>43.032400000000003</v>
      </c>
      <c r="AQ100" s="55">
        <v>46.622599999999998</v>
      </c>
      <c r="AR100" s="55">
        <v>45.004600000000003</v>
      </c>
      <c r="AS100" s="56"/>
      <c r="AT100" s="57"/>
      <c r="AU100" s="57"/>
      <c r="AW100" s="58">
        <f t="shared" si="21"/>
        <v>7.2928894058276628E-2</v>
      </c>
      <c r="AX100" s="58"/>
      <c r="AZ100" s="59"/>
      <c r="BA100" s="59"/>
      <c r="BB100" s="59"/>
      <c r="BC100" s="59"/>
      <c r="BD100" s="59"/>
      <c r="BE100" s="60"/>
      <c r="BG100" s="59"/>
      <c r="BH100" s="59"/>
      <c r="BI100" s="59"/>
      <c r="BJ100" s="59"/>
      <c r="BK100" s="59"/>
      <c r="BL100" s="60"/>
    </row>
    <row r="101" spans="1:64" collapsed="1" x14ac:dyDescent="0.15">
      <c r="A101" s="16"/>
      <c r="B101" s="16" t="s">
        <v>278</v>
      </c>
      <c r="C101" s="17" t="s">
        <v>225</v>
      </c>
      <c r="D101" s="16">
        <v>757691</v>
      </c>
      <c r="E101" s="18">
        <v>10</v>
      </c>
      <c r="F101" s="17">
        <v>1</v>
      </c>
      <c r="G101" s="17"/>
      <c r="I101" s="19" t="str">
        <f t="shared" si="11"/>
        <v>·</v>
      </c>
      <c r="J101" s="20">
        <f t="shared" si="12"/>
        <v>2.8222586780099011E-2</v>
      </c>
      <c r="K101" s="20">
        <f t="shared" si="13"/>
        <v>2.5635780285103032E-2</v>
      </c>
      <c r="L101" s="20">
        <f t="shared" si="14"/>
        <v>1.9110692881398881E-3</v>
      </c>
      <c r="M101" s="21"/>
      <c r="N101" s="20">
        <f t="shared" si="15"/>
        <v>1.5420783154251099</v>
      </c>
      <c r="O101" s="22">
        <v>13867</v>
      </c>
      <c r="P101" s="23">
        <v>21384</v>
      </c>
      <c r="Q101" s="23">
        <v>19424</v>
      </c>
      <c r="R101" s="23">
        <v>1448</v>
      </c>
      <c r="S101" s="24"/>
      <c r="T101" s="25">
        <v>52.798299999999998</v>
      </c>
      <c r="U101" s="25">
        <v>55.674199999999999</v>
      </c>
      <c r="V101" s="25">
        <v>24.496600000000001</v>
      </c>
      <c r="W101" s="25">
        <v>32.9223</v>
      </c>
      <c r="X101" s="25">
        <v>24.1496</v>
      </c>
      <c r="Y101" s="26"/>
      <c r="Z101" s="27"/>
      <c r="AA101" s="27"/>
      <c r="AC101" s="19" t="str">
        <f t="shared" si="16"/>
        <v>·</v>
      </c>
      <c r="AD101" s="20">
        <f t="shared" si="17"/>
        <v>2.7314564908386137E-2</v>
      </c>
      <c r="AE101" s="20">
        <f t="shared" si="18"/>
        <v>2.5635780285103032E-2</v>
      </c>
      <c r="AF101" s="20">
        <f t="shared" si="19"/>
        <v>1.0136058102841396E-3</v>
      </c>
      <c r="AG101" s="21"/>
      <c r="AH101" s="20">
        <f t="shared" si="20"/>
        <v>1.4924641234585707</v>
      </c>
      <c r="AI101" s="22">
        <v>13867</v>
      </c>
      <c r="AJ101" s="23">
        <v>20696</v>
      </c>
      <c r="AK101" s="23">
        <v>19424</v>
      </c>
      <c r="AL101" s="23">
        <v>768</v>
      </c>
      <c r="AM101" s="24"/>
      <c r="AN101" s="25">
        <v>52.798299999999998</v>
      </c>
      <c r="AO101" s="25">
        <v>55.674199999999999</v>
      </c>
      <c r="AP101" s="25">
        <v>23.1282</v>
      </c>
      <c r="AQ101" s="25">
        <v>31.866900000000001</v>
      </c>
      <c r="AR101" s="25">
        <v>23.206900000000001</v>
      </c>
      <c r="AS101" s="26"/>
      <c r="AT101" s="27"/>
      <c r="AU101" s="27"/>
      <c r="AW101" s="28">
        <f t="shared" si="21"/>
        <v>3.0196161966122959E-2</v>
      </c>
      <c r="AX101" s="28">
        <f t="array" ref="AX101">AVERAGE(AK101:AK106/AJ101:AJ106) - AVERAGE(Q101:Q106/P101:P106)</f>
        <v>6.1862494709258753E-2</v>
      </c>
      <c r="AZ101" s="29">
        <f>IF( OR(ISBLANK(Q101:Q106),ISBLANK(AK101:AK106), ISBLANK(T101:T106),ISBLANK(AN101:AN106)), "·", bdRateExtend( Q101:Q106,T101:T106, AK101:AK106,AN101:AN106))</f>
        <v>0</v>
      </c>
      <c r="BA101" s="29">
        <f>IF( OR(ISBLANK(Q101:Q106),ISBLANK(AK101:AK106), ISBLANK(U101:U106),ISBLANK(AO101:AO106)), "·", bdRateExtend( Q101:Q106,U101:U106, AK101:AK106,AO101:AO106))</f>
        <v>0</v>
      </c>
      <c r="BB101" s="29">
        <f>IF( OR(ISBLANK(R101:R106),ISBLANK(AL101:AL106), ISBLANK(V101:V106),ISBLANK(AP101:AP106)), "·", bdRateExtend( R101:R106,V101:V106, AL101:AL106,AP101:AP106))</f>
        <v>2.9448655738831375E-2</v>
      </c>
      <c r="BC101" s="29">
        <f>IF( OR(ISBLANK(R101:R106),ISBLANK(AL101:AL106), ISBLANK(W101:W106),ISBLANK(AQ101:AQ106)), "·", bdRateExtend( R101:R106,W101:W106, AL101:AL106,AQ101:AQ106))</f>
        <v>0.30580588894548044</v>
      </c>
      <c r="BD101" s="29">
        <f>IF( OR(ISBLANK(R101:R106),ISBLANK(AL101:AL106), ISBLANK(X101:X106),ISBLANK(AR101:AR106)), "·", bdRateExtend( R101:R106,X101:X106, AL101:AL106,AR101:AR106))</f>
        <v>-1.5505123597614578E-2</v>
      </c>
      <c r="BE101" s="30"/>
      <c r="BG101" s="29">
        <f>IF( OR(ISBLANK(P101:P106),ISBLANK(AJ101:AJ106), ISBLANK(T101:T106),ISBLANK(AN101:AN106)), "·", bdRateExtend( P101:P106,T101:T106, AJ101:AJ106,AN101:AN106))</f>
        <v>-7.1891473235508707E-2</v>
      </c>
      <c r="BH101" s="29">
        <f>IF( OR(ISBLANK(P101:P106),ISBLANK(AJ101:AJ106), ISBLANK(U101:U106),ISBLANK(AO101:AO106)), "·", bdRateExtend( P101:P106,U101:U106, AJ101:AJ106,AO101:AO106))</f>
        <v>-6.9462228170679929E-2</v>
      </c>
      <c r="BI101" s="29">
        <f>IF( OR(ISBLANK(P101:P106),ISBLANK(AJ101:AJ106), ISBLANK(V101:V106),ISBLANK(AP101:AP106)), "·", bdRateExtend( P101:P106,V101:V106, AJ101:AJ106,AP101:AP106))</f>
        <v>0.2692343576449201</v>
      </c>
      <c r="BJ101" s="29">
        <f>IF( OR(ISBLANK(P101:P106),ISBLANK(AJ101:AJ106), ISBLANK(W101:W106),ISBLANK(AQ101:AQ106)), "·", bdRateExtend( P101:P106,W101:W106, AJ101:AJ106,AQ101:AQ106))</f>
        <v>0.51608660804368744</v>
      </c>
      <c r="BK101" s="29">
        <f>IF( OR(ISBLANK(P101:P106),ISBLANK(AJ101:AJ106), ISBLANK(X101:X106),ISBLANK(AR101:AR106)), "·", bdRateExtend( P101:P106,X101:X106, AJ101:AJ106,AR101:AR106))</f>
        <v>0.21909582875851985</v>
      </c>
      <c r="BL101" s="30"/>
    </row>
    <row r="102" spans="1:64" outlineLevel="1" x14ac:dyDescent="0.15">
      <c r="A102" s="31"/>
      <c r="B102" s="31" t="s">
        <v>278</v>
      </c>
      <c r="C102" s="32" t="s">
        <v>226</v>
      </c>
      <c r="D102" s="31">
        <v>757691</v>
      </c>
      <c r="E102" s="33">
        <v>10</v>
      </c>
      <c r="F102" s="32">
        <v>1</v>
      </c>
      <c r="G102" s="32"/>
      <c r="I102" s="34" t="str">
        <f t="shared" si="11"/>
        <v>·</v>
      </c>
      <c r="J102" s="35">
        <f t="shared" si="12"/>
        <v>0.10084321972941476</v>
      </c>
      <c r="K102" s="35">
        <f t="shared" si="13"/>
        <v>8.7053957352007619E-2</v>
      </c>
      <c r="L102" s="35">
        <f t="shared" si="14"/>
        <v>1.3102966776693929E-2</v>
      </c>
      <c r="M102" s="36"/>
      <c r="N102" s="35">
        <f t="shared" si="15"/>
        <v>1.3915133855399746</v>
      </c>
      <c r="O102" s="37">
        <v>54910</v>
      </c>
      <c r="P102" s="38">
        <v>76408</v>
      </c>
      <c r="Q102" s="38">
        <v>65960</v>
      </c>
      <c r="R102" s="38">
        <v>9928</v>
      </c>
      <c r="S102" s="39"/>
      <c r="T102" s="40">
        <v>58.435299999999998</v>
      </c>
      <c r="U102" s="40">
        <v>62.277999999999999</v>
      </c>
      <c r="V102" s="40">
        <v>28.409700000000001</v>
      </c>
      <c r="W102" s="40">
        <v>36.6496</v>
      </c>
      <c r="X102" s="40">
        <v>27.180099999999999</v>
      </c>
      <c r="Y102" s="41"/>
      <c r="Z102" s="42"/>
      <c r="AA102" s="42"/>
      <c r="AC102" s="34" t="str">
        <f t="shared" si="16"/>
        <v>·</v>
      </c>
      <c r="AD102" s="35">
        <f t="shared" si="17"/>
        <v>9.4455391445853257E-2</v>
      </c>
      <c r="AE102" s="35">
        <f t="shared" si="18"/>
        <v>8.7053957352007619E-2</v>
      </c>
      <c r="AF102" s="35">
        <f t="shared" si="19"/>
        <v>6.725696886989551E-3</v>
      </c>
      <c r="AG102" s="36"/>
      <c r="AH102" s="35">
        <f t="shared" si="20"/>
        <v>1.303369149517392</v>
      </c>
      <c r="AI102" s="37">
        <v>54910</v>
      </c>
      <c r="AJ102" s="38">
        <v>71568</v>
      </c>
      <c r="AK102" s="38">
        <v>65960</v>
      </c>
      <c r="AL102" s="38">
        <v>5096</v>
      </c>
      <c r="AM102" s="39"/>
      <c r="AN102" s="40">
        <v>58.435299999999998</v>
      </c>
      <c r="AO102" s="40">
        <v>62.277999999999999</v>
      </c>
      <c r="AP102" s="40">
        <v>26.911799999999999</v>
      </c>
      <c r="AQ102" s="40">
        <v>35.042999999999999</v>
      </c>
      <c r="AR102" s="40">
        <v>25.835799999999999</v>
      </c>
      <c r="AS102" s="41"/>
      <c r="AT102" s="42"/>
      <c r="AU102" s="42"/>
      <c r="AW102" s="43">
        <f t="shared" si="21"/>
        <v>5.8380565270191198E-2</v>
      </c>
      <c r="AX102" s="43"/>
      <c r="AZ102" s="44"/>
      <c r="BA102" s="44"/>
      <c r="BB102" s="44"/>
      <c r="BC102" s="44"/>
      <c r="BD102" s="44"/>
      <c r="BE102" s="45"/>
      <c r="BG102" s="44"/>
      <c r="BH102" s="44"/>
      <c r="BI102" s="44"/>
      <c r="BJ102" s="44"/>
      <c r="BK102" s="44"/>
      <c r="BL102" s="45"/>
    </row>
    <row r="103" spans="1:64" outlineLevel="1" x14ac:dyDescent="0.15">
      <c r="A103" s="16"/>
      <c r="B103" s="16" t="s">
        <v>278</v>
      </c>
      <c r="C103" s="17" t="s">
        <v>227</v>
      </c>
      <c r="D103" s="16">
        <v>757691</v>
      </c>
      <c r="E103" s="18">
        <v>10</v>
      </c>
      <c r="F103" s="17">
        <v>1</v>
      </c>
      <c r="G103" s="17"/>
      <c r="I103" s="19" t="str">
        <f t="shared" si="11"/>
        <v>·</v>
      </c>
      <c r="J103" s="20">
        <f t="shared" si="12"/>
        <v>0.38161202917812143</v>
      </c>
      <c r="K103" s="20">
        <f t="shared" si="13"/>
        <v>0.30275138545924396</v>
      </c>
      <c r="L103" s="20">
        <f t="shared" si="14"/>
        <v>7.8174348118164261E-2</v>
      </c>
      <c r="M103" s="21"/>
      <c r="N103" s="20">
        <f t="shared" si="15"/>
        <v>1.3690659949431339</v>
      </c>
      <c r="O103" s="22">
        <v>211198</v>
      </c>
      <c r="P103" s="23">
        <v>289144</v>
      </c>
      <c r="Q103" s="23">
        <v>229392</v>
      </c>
      <c r="R103" s="23">
        <v>59232</v>
      </c>
      <c r="S103" s="24"/>
      <c r="T103" s="25">
        <v>63.212000000000003</v>
      </c>
      <c r="U103" s="25">
        <v>68.535799999999995</v>
      </c>
      <c r="V103" s="25">
        <v>32.476199999999999</v>
      </c>
      <c r="W103" s="25">
        <v>40.039099999999998</v>
      </c>
      <c r="X103" s="25">
        <v>32.1526</v>
      </c>
      <c r="Y103" s="26"/>
      <c r="Z103" s="27"/>
      <c r="AA103" s="27"/>
      <c r="AC103" s="19" t="str">
        <f t="shared" si="16"/>
        <v>·</v>
      </c>
      <c r="AD103" s="20">
        <f t="shared" si="17"/>
        <v>0.35318883291473702</v>
      </c>
      <c r="AE103" s="20">
        <f t="shared" si="18"/>
        <v>0.30275138545924396</v>
      </c>
      <c r="AF103" s="20">
        <f t="shared" si="19"/>
        <v>4.976171024863698E-2</v>
      </c>
      <c r="AG103" s="21"/>
      <c r="AH103" s="20">
        <f t="shared" si="20"/>
        <v>1.2670953323421623</v>
      </c>
      <c r="AI103" s="22">
        <v>211198</v>
      </c>
      <c r="AJ103" s="23">
        <v>267608</v>
      </c>
      <c r="AK103" s="23">
        <v>229392</v>
      </c>
      <c r="AL103" s="23">
        <v>37704</v>
      </c>
      <c r="AM103" s="24"/>
      <c r="AN103" s="25">
        <v>63.212000000000003</v>
      </c>
      <c r="AO103" s="25">
        <v>68.535799999999995</v>
      </c>
      <c r="AP103" s="25">
        <v>31.144500000000001</v>
      </c>
      <c r="AQ103" s="25">
        <v>38.518300000000004</v>
      </c>
      <c r="AR103" s="25">
        <v>30.557099999999998</v>
      </c>
      <c r="AS103" s="26"/>
      <c r="AT103" s="27"/>
      <c r="AU103" s="27"/>
      <c r="AW103" s="28">
        <f t="shared" si="21"/>
        <v>6.3845461919281088E-2</v>
      </c>
      <c r="AX103" s="28"/>
      <c r="AZ103" s="29"/>
      <c r="BA103" s="29"/>
      <c r="BB103" s="29"/>
      <c r="BC103" s="29"/>
      <c r="BD103" s="29"/>
      <c r="BE103" s="30"/>
      <c r="BG103" s="29"/>
      <c r="BH103" s="29"/>
      <c r="BI103" s="29"/>
      <c r="BJ103" s="29"/>
      <c r="BK103" s="29"/>
      <c r="BL103" s="30"/>
    </row>
    <row r="104" spans="1:64" outlineLevel="1" x14ac:dyDescent="0.15">
      <c r="A104" s="31"/>
      <c r="B104" s="31" t="s">
        <v>278</v>
      </c>
      <c r="C104" s="32" t="s">
        <v>228</v>
      </c>
      <c r="D104" s="31">
        <v>757691</v>
      </c>
      <c r="E104" s="33">
        <v>10</v>
      </c>
      <c r="F104" s="32">
        <v>1</v>
      </c>
      <c r="G104" s="32"/>
      <c r="I104" s="34" t="str">
        <f t="shared" si="11"/>
        <v>·</v>
      </c>
      <c r="J104" s="35">
        <f t="shared" si="12"/>
        <v>0.95829038486665408</v>
      </c>
      <c r="K104" s="35">
        <f t="shared" si="13"/>
        <v>0.6800872651252291</v>
      </c>
      <c r="L104" s="35">
        <f t="shared" si="14"/>
        <v>0.27750626574685461</v>
      </c>
      <c r="M104" s="36"/>
      <c r="N104" s="35">
        <f t="shared" si="15"/>
        <v>1.6123071183836248</v>
      </c>
      <c r="O104" s="37">
        <v>450341</v>
      </c>
      <c r="P104" s="38">
        <v>726088</v>
      </c>
      <c r="Q104" s="38">
        <v>515296</v>
      </c>
      <c r="R104" s="38">
        <v>210264</v>
      </c>
      <c r="S104" s="39"/>
      <c r="T104" s="40">
        <v>67.977699999999999</v>
      </c>
      <c r="U104" s="40">
        <v>73.352099999999993</v>
      </c>
      <c r="V104" s="40">
        <v>35.698300000000003</v>
      </c>
      <c r="W104" s="40">
        <v>42.383099999999999</v>
      </c>
      <c r="X104" s="40">
        <v>36.284999999999997</v>
      </c>
      <c r="Y104" s="41"/>
      <c r="Z104" s="42"/>
      <c r="AA104" s="42"/>
      <c r="AC104" s="34" t="str">
        <f t="shared" si="16"/>
        <v>·</v>
      </c>
      <c r="AD104" s="35">
        <f t="shared" si="17"/>
        <v>0.87045510636921908</v>
      </c>
      <c r="AE104" s="35">
        <f t="shared" si="18"/>
        <v>0.6800872651252291</v>
      </c>
      <c r="AF104" s="35">
        <f t="shared" si="19"/>
        <v>0.18968154564327674</v>
      </c>
      <c r="AG104" s="36"/>
      <c r="AH104" s="35">
        <f t="shared" si="20"/>
        <v>1.4645257704717092</v>
      </c>
      <c r="AI104" s="37">
        <v>450341</v>
      </c>
      <c r="AJ104" s="38">
        <v>659536</v>
      </c>
      <c r="AK104" s="38">
        <v>515296</v>
      </c>
      <c r="AL104" s="38">
        <v>143720</v>
      </c>
      <c r="AM104" s="39"/>
      <c r="AN104" s="40">
        <v>67.977699999999999</v>
      </c>
      <c r="AO104" s="40">
        <v>73.352099999999993</v>
      </c>
      <c r="AP104" s="40">
        <v>34.494399999999999</v>
      </c>
      <c r="AQ104" s="40">
        <v>40.968499999999999</v>
      </c>
      <c r="AR104" s="40">
        <v>35.084299999999999</v>
      </c>
      <c r="AS104" s="41"/>
      <c r="AT104" s="42"/>
      <c r="AU104" s="42"/>
      <c r="AW104" s="43">
        <f t="shared" si="21"/>
        <v>7.1612711399584805E-2</v>
      </c>
      <c r="AX104" s="43"/>
      <c r="AZ104" s="44"/>
      <c r="BA104" s="44"/>
      <c r="BB104" s="44"/>
      <c r="BC104" s="44"/>
      <c r="BD104" s="44"/>
      <c r="BE104" s="45"/>
      <c r="BG104" s="44"/>
      <c r="BH104" s="44"/>
      <c r="BI104" s="44"/>
      <c r="BJ104" s="44"/>
      <c r="BK104" s="44"/>
      <c r="BL104" s="45"/>
    </row>
    <row r="105" spans="1:64" outlineLevel="1" x14ac:dyDescent="0.15">
      <c r="A105" s="16"/>
      <c r="B105" s="16" t="s">
        <v>278</v>
      </c>
      <c r="C105" s="17" t="s">
        <v>229</v>
      </c>
      <c r="D105" s="16">
        <v>757691</v>
      </c>
      <c r="E105" s="18">
        <v>10</v>
      </c>
      <c r="F105" s="17">
        <v>1</v>
      </c>
      <c r="G105" s="17"/>
      <c r="I105" s="19" t="str">
        <f t="shared" si="11"/>
        <v>·</v>
      </c>
      <c r="J105" s="20">
        <f t="shared" si="12"/>
        <v>1.5809505458029725</v>
      </c>
      <c r="K105" s="20">
        <f t="shared" si="13"/>
        <v>0.88901676277004738</v>
      </c>
      <c r="L105" s="20">
        <f t="shared" si="14"/>
        <v>0.69123692903835465</v>
      </c>
      <c r="M105" s="21"/>
      <c r="N105" s="20">
        <f t="shared" si="15"/>
        <v>2.007393628609254</v>
      </c>
      <c r="O105" s="22">
        <v>596730</v>
      </c>
      <c r="P105" s="23">
        <v>1197872</v>
      </c>
      <c r="Q105" s="23">
        <v>673600</v>
      </c>
      <c r="R105" s="23">
        <v>523744</v>
      </c>
      <c r="S105" s="24"/>
      <c r="T105" s="25">
        <v>69.700299999999999</v>
      </c>
      <c r="U105" s="25">
        <v>74.815700000000007</v>
      </c>
      <c r="V105" s="25">
        <v>38.6205</v>
      </c>
      <c r="W105" s="25">
        <v>44.324599999999997</v>
      </c>
      <c r="X105" s="25">
        <v>39.715899999999998</v>
      </c>
      <c r="Y105" s="26"/>
      <c r="Z105" s="27"/>
      <c r="AA105" s="27"/>
      <c r="AC105" s="19" t="str">
        <f t="shared" si="16"/>
        <v>·</v>
      </c>
      <c r="AD105" s="20">
        <f t="shared" si="17"/>
        <v>1.3984592663763988</v>
      </c>
      <c r="AE105" s="20">
        <f t="shared" si="18"/>
        <v>0.88901676277004738</v>
      </c>
      <c r="AF105" s="20">
        <f t="shared" si="19"/>
        <v>0.50875620800563814</v>
      </c>
      <c r="AG105" s="21"/>
      <c r="AH105" s="20">
        <f t="shared" si="20"/>
        <v>1.7756774420592227</v>
      </c>
      <c r="AI105" s="22">
        <v>596730</v>
      </c>
      <c r="AJ105" s="23">
        <v>1059600</v>
      </c>
      <c r="AK105" s="23">
        <v>673600</v>
      </c>
      <c r="AL105" s="23">
        <v>385480</v>
      </c>
      <c r="AM105" s="24"/>
      <c r="AN105" s="25">
        <v>69.700299999999999</v>
      </c>
      <c r="AO105" s="25">
        <v>74.815700000000007</v>
      </c>
      <c r="AP105" s="25">
        <v>37.788800000000002</v>
      </c>
      <c r="AQ105" s="25">
        <v>43.037199999999999</v>
      </c>
      <c r="AR105" s="25">
        <v>39.013300000000001</v>
      </c>
      <c r="AS105" s="26"/>
      <c r="AT105" s="27"/>
      <c r="AU105" s="27"/>
      <c r="AW105" s="28">
        <f t="shared" si="21"/>
        <v>7.3381056467454076E-2</v>
      </c>
      <c r="AX105" s="28"/>
      <c r="AZ105" s="29"/>
      <c r="BA105" s="29"/>
      <c r="BB105" s="29"/>
      <c r="BC105" s="29"/>
      <c r="BD105" s="29"/>
      <c r="BE105" s="30"/>
      <c r="BG105" s="29"/>
      <c r="BH105" s="29"/>
      <c r="BI105" s="29"/>
      <c r="BJ105" s="29"/>
      <c r="BK105" s="29"/>
      <c r="BL105" s="30"/>
    </row>
    <row r="106" spans="1:64" outlineLevel="1" x14ac:dyDescent="0.15">
      <c r="A106" s="31"/>
      <c r="B106" s="46" t="s">
        <v>278</v>
      </c>
      <c r="C106" s="47" t="s">
        <v>230</v>
      </c>
      <c r="D106" s="46">
        <v>757691</v>
      </c>
      <c r="E106" s="48">
        <v>10</v>
      </c>
      <c r="F106" s="47">
        <v>1</v>
      </c>
      <c r="G106" s="47"/>
      <c r="I106" s="49" t="str">
        <f t="shared" si="11"/>
        <v>·</v>
      </c>
      <c r="J106" s="50">
        <f t="shared" si="12"/>
        <v>2.4529788528569032</v>
      </c>
      <c r="K106" s="50">
        <f t="shared" si="13"/>
        <v>0.9929535918996002</v>
      </c>
      <c r="L106" s="50">
        <f t="shared" si="14"/>
        <v>1.4593284069627328</v>
      </c>
      <c r="M106" s="51"/>
      <c r="N106" s="50">
        <f t="shared" si="15"/>
        <v>2.7515329884911131</v>
      </c>
      <c r="O106" s="52">
        <v>675478</v>
      </c>
      <c r="P106" s="53">
        <v>1858600</v>
      </c>
      <c r="Q106" s="53">
        <v>752352</v>
      </c>
      <c r="R106" s="53">
        <v>1105720</v>
      </c>
      <c r="S106" s="54"/>
      <c r="T106" s="55">
        <v>70.385999999999996</v>
      </c>
      <c r="U106" s="55">
        <v>75.293199999999999</v>
      </c>
      <c r="V106" s="55">
        <v>41.682000000000002</v>
      </c>
      <c r="W106" s="55">
        <v>46.071300000000001</v>
      </c>
      <c r="X106" s="55">
        <v>43.021999999999998</v>
      </c>
      <c r="Y106" s="56"/>
      <c r="Z106" s="57"/>
      <c r="AA106" s="57"/>
      <c r="AC106" s="49" t="str">
        <f t="shared" si="16"/>
        <v>·</v>
      </c>
      <c r="AD106" s="50">
        <f t="shared" si="17"/>
        <v>2.0749038856209192</v>
      </c>
      <c r="AE106" s="50">
        <f t="shared" si="18"/>
        <v>0.9929535918996002</v>
      </c>
      <c r="AF106" s="50">
        <f t="shared" si="19"/>
        <v>1.0812639981206058</v>
      </c>
      <c r="AG106" s="51"/>
      <c r="AH106" s="50">
        <f t="shared" si="20"/>
        <v>2.3274421964890046</v>
      </c>
      <c r="AI106" s="52">
        <v>675478</v>
      </c>
      <c r="AJ106" s="53">
        <v>1572136</v>
      </c>
      <c r="AK106" s="53">
        <v>752352</v>
      </c>
      <c r="AL106" s="53">
        <v>819264</v>
      </c>
      <c r="AM106" s="54"/>
      <c r="AN106" s="55">
        <v>70.385999999999996</v>
      </c>
      <c r="AO106" s="55">
        <v>75.293199999999999</v>
      </c>
      <c r="AP106" s="55">
        <v>40.860199999999999</v>
      </c>
      <c r="AQ106" s="55">
        <v>44.925400000000003</v>
      </c>
      <c r="AR106" s="55">
        <v>42.2254</v>
      </c>
      <c r="AS106" s="56"/>
      <c r="AT106" s="57"/>
      <c r="AU106" s="57"/>
      <c r="AW106" s="58">
        <f t="shared" si="21"/>
        <v>7.3759011232918725E-2</v>
      </c>
      <c r="AX106" s="58"/>
      <c r="AZ106" s="59"/>
      <c r="BA106" s="59"/>
      <c r="BB106" s="59"/>
      <c r="BC106" s="59"/>
      <c r="BD106" s="59"/>
      <c r="BE106" s="60"/>
      <c r="BG106" s="59"/>
      <c r="BH106" s="59"/>
      <c r="BI106" s="59"/>
      <c r="BJ106" s="59"/>
      <c r="BK106" s="59"/>
      <c r="BL106" s="60"/>
    </row>
    <row r="107" spans="1:64" collapsed="1" x14ac:dyDescent="0.15">
      <c r="A107" s="16"/>
      <c r="B107" s="16" t="s">
        <v>281</v>
      </c>
      <c r="C107" s="17" t="s">
        <v>225</v>
      </c>
      <c r="D107" s="16">
        <v>1009132</v>
      </c>
      <c r="E107" s="18">
        <v>12</v>
      </c>
      <c r="F107" s="17">
        <v>1</v>
      </c>
      <c r="G107" s="17"/>
      <c r="I107" s="19" t="str">
        <f t="shared" si="11"/>
        <v>·</v>
      </c>
      <c r="J107" s="20">
        <f t="shared" si="12"/>
        <v>4.5694715854813842E-2</v>
      </c>
      <c r="K107" s="20">
        <f t="shared" si="13"/>
        <v>3.9970984965296906E-2</v>
      </c>
      <c r="L107" s="20">
        <f t="shared" si="14"/>
        <v>5.232219372688608E-3</v>
      </c>
      <c r="M107" s="21"/>
      <c r="N107" s="20">
        <f t="shared" si="15"/>
        <v>1.5347645198868365</v>
      </c>
      <c r="O107" s="22">
        <v>30045</v>
      </c>
      <c r="P107" s="23">
        <v>46112</v>
      </c>
      <c r="Q107" s="23">
        <v>40336</v>
      </c>
      <c r="R107" s="23">
        <v>5280</v>
      </c>
      <c r="S107" s="24"/>
      <c r="T107" s="25">
        <v>52.933199999999999</v>
      </c>
      <c r="U107" s="25">
        <v>57.1145</v>
      </c>
      <c r="V107" s="25">
        <v>16.932099999999998</v>
      </c>
      <c r="W107" s="25">
        <v>28.304500000000001</v>
      </c>
      <c r="X107" s="25">
        <v>30.779699999999998</v>
      </c>
      <c r="Y107" s="26"/>
      <c r="Z107" s="27"/>
      <c r="AA107" s="27"/>
      <c r="AC107" s="19" t="str">
        <f t="shared" si="16"/>
        <v>·</v>
      </c>
      <c r="AD107" s="20">
        <f t="shared" si="17"/>
        <v>4.2531601415870271E-2</v>
      </c>
      <c r="AE107" s="20">
        <f t="shared" si="18"/>
        <v>3.9970984965296906E-2</v>
      </c>
      <c r="AF107" s="20">
        <f t="shared" si="19"/>
        <v>2.0770325388551744E-3</v>
      </c>
      <c r="AG107" s="21"/>
      <c r="AH107" s="20">
        <f t="shared" si="20"/>
        <v>1.4285238808453986</v>
      </c>
      <c r="AI107" s="22">
        <v>30045</v>
      </c>
      <c r="AJ107" s="23">
        <v>42920</v>
      </c>
      <c r="AK107" s="23">
        <v>40336</v>
      </c>
      <c r="AL107" s="23">
        <v>2096</v>
      </c>
      <c r="AM107" s="24"/>
      <c r="AN107" s="25">
        <v>52.933199999999999</v>
      </c>
      <c r="AO107" s="25">
        <v>57.1145</v>
      </c>
      <c r="AP107" s="25">
        <v>16.509899999999998</v>
      </c>
      <c r="AQ107" s="25">
        <v>27.930499999999999</v>
      </c>
      <c r="AR107" s="25">
        <v>30.440999999999999</v>
      </c>
      <c r="AS107" s="26"/>
      <c r="AT107" s="27"/>
      <c r="AU107" s="27"/>
      <c r="AW107" s="28">
        <f t="shared" si="21"/>
        <v>6.5055203328433175E-2</v>
      </c>
      <c r="AX107" s="28">
        <f t="array" ref="AX107">AVERAGE(AK107:AK112/AJ107:AJ112) - AVERAGE(Q107:Q112/P107:P112)</f>
        <v>6.1475721085348822E-2</v>
      </c>
      <c r="AZ107" s="29">
        <f>IF( OR(ISBLANK(Q107:Q112),ISBLANK(AK107:AK112), ISBLANK(T107:T112),ISBLANK(AN107:AN112)), "·", bdRateExtend( Q107:Q112,T107:T112, AK107:AK112,AN107:AN112))</f>
        <v>0</v>
      </c>
      <c r="BA107" s="29">
        <f>IF( OR(ISBLANK(Q107:Q112),ISBLANK(AK107:AK112), ISBLANK(U107:U112),ISBLANK(AO107:AO112)), "·", bdRateExtend( Q107:Q112,U107:U112, AK107:AK112,AO107:AO112))</f>
        <v>0</v>
      </c>
      <c r="BB107" s="29">
        <f>IF( OR(ISBLANK(R107:R112),ISBLANK(AL107:AL112), ISBLANK(V107:V112),ISBLANK(AP107:AP112)), "·", bdRateExtend( R107:R112,V107:V112, AL107:AL112,AP107:AP112))</f>
        <v>-0.16846081298122118</v>
      </c>
      <c r="BC107" s="29">
        <f>IF( OR(ISBLANK(R107:R112),ISBLANK(AL107:AL112), ISBLANK(W107:W112),ISBLANK(AQ107:AQ112)), "·", bdRateExtend( R107:R112,W107:W112, AL107:AL112,AQ107:AQ112))</f>
        <v>0.20368171229073151</v>
      </c>
      <c r="BD107" s="29">
        <f>IF( OR(ISBLANK(R107:R112),ISBLANK(AL107:AL112), ISBLANK(X107:X112),ISBLANK(AR107:AR112)), "·", bdRateExtend( R107:R112,X107:X112, AL107:AL112,AR107:AR112))</f>
        <v>0.2543442790016448</v>
      </c>
      <c r="BE107" s="30"/>
      <c r="BG107" s="29">
        <f>IF( OR(ISBLANK(P107:P112),ISBLANK(AJ107:AJ112), ISBLANK(T107:T112),ISBLANK(AN107:AN112)), "·", bdRateExtend( P107:P112,T107:T112, AJ107:AJ112,AN107:AN112))</f>
        <v>-8.0699577970273051E-2</v>
      </c>
      <c r="BH107" s="29">
        <f>IF( OR(ISBLANK(P107:P112),ISBLANK(AJ107:AJ112), ISBLANK(U107:U112),ISBLANK(AO107:AO112)), "·", bdRateExtend( P107:P112,U107:U112, AJ107:AJ112,AO107:AO112))</f>
        <v>-8.0593576608805395E-2</v>
      </c>
      <c r="BI107" s="29">
        <f>IF( OR(ISBLANK(P107:P112),ISBLANK(AJ107:AJ112), ISBLANK(V107:V112),ISBLANK(AP107:AP112)), "·", bdRateExtend( P107:P112,V107:V112, AJ107:AJ112,AP107:AP112))</f>
        <v>5.7300526405280605E-2</v>
      </c>
      <c r="BJ107" s="29">
        <f>IF( OR(ISBLANK(P107:P112),ISBLANK(AJ107:AJ112), ISBLANK(W107:W112),ISBLANK(AQ107:AQ112)), "·", bdRateExtend( P107:P112,W107:W112, AJ107:AJ112,AQ107:AQ112))</f>
        <v>0.48795295263644167</v>
      </c>
      <c r="BK107" s="29">
        <f>IF( OR(ISBLANK(P107:P112),ISBLANK(AJ107:AJ112), ISBLANK(X107:X112),ISBLANK(AR107:AR112)), "·", bdRateExtend( P107:P112,X107:X112, AJ107:AJ112,AR107:AR112))</f>
        <v>0.55364633610193503</v>
      </c>
      <c r="BL107" s="30"/>
    </row>
    <row r="108" spans="1:64" outlineLevel="1" x14ac:dyDescent="0.15">
      <c r="A108" s="31"/>
      <c r="B108" s="31" t="s">
        <v>281</v>
      </c>
      <c r="C108" s="32" t="s">
        <v>226</v>
      </c>
      <c r="D108" s="31">
        <v>1009132</v>
      </c>
      <c r="E108" s="33">
        <v>12</v>
      </c>
      <c r="F108" s="32">
        <v>1</v>
      </c>
      <c r="G108" s="32"/>
      <c r="I108" s="34" t="str">
        <f t="shared" si="11"/>
        <v>·</v>
      </c>
      <c r="J108" s="35">
        <f t="shared" si="12"/>
        <v>0.22282912443565361</v>
      </c>
      <c r="K108" s="35">
        <f t="shared" si="13"/>
        <v>0.18047985793731644</v>
      </c>
      <c r="L108" s="35">
        <f t="shared" si="14"/>
        <v>4.1849827376398724E-2</v>
      </c>
      <c r="M108" s="36"/>
      <c r="N108" s="35">
        <f t="shared" si="15"/>
        <v>1.8433741853506578</v>
      </c>
      <c r="O108" s="37">
        <v>121985</v>
      </c>
      <c r="P108" s="38">
        <v>224864</v>
      </c>
      <c r="Q108" s="38">
        <v>182128</v>
      </c>
      <c r="R108" s="38">
        <v>42232</v>
      </c>
      <c r="S108" s="39"/>
      <c r="T108" s="40">
        <v>58.9221</v>
      </c>
      <c r="U108" s="40">
        <v>63.379800000000003</v>
      </c>
      <c r="V108" s="40">
        <v>19.0139</v>
      </c>
      <c r="W108" s="40">
        <v>30.581900000000001</v>
      </c>
      <c r="X108" s="40">
        <v>32.8583</v>
      </c>
      <c r="Y108" s="41"/>
      <c r="Z108" s="42"/>
      <c r="AA108" s="42"/>
      <c r="AC108" s="34" t="str">
        <f t="shared" si="16"/>
        <v>·</v>
      </c>
      <c r="AD108" s="35">
        <f t="shared" si="17"/>
        <v>0.20320830178807134</v>
      </c>
      <c r="AE108" s="35">
        <f t="shared" si="18"/>
        <v>0.18047985793731644</v>
      </c>
      <c r="AF108" s="35">
        <f t="shared" si="19"/>
        <v>2.2236932333926582E-2</v>
      </c>
      <c r="AG108" s="36"/>
      <c r="AH108" s="35">
        <f t="shared" si="20"/>
        <v>1.6810591466163873</v>
      </c>
      <c r="AI108" s="37">
        <v>121985</v>
      </c>
      <c r="AJ108" s="38">
        <v>205064</v>
      </c>
      <c r="AK108" s="38">
        <v>182128</v>
      </c>
      <c r="AL108" s="38">
        <v>22440</v>
      </c>
      <c r="AM108" s="39"/>
      <c r="AN108" s="40">
        <v>58.9221</v>
      </c>
      <c r="AO108" s="40">
        <v>63.379800000000003</v>
      </c>
      <c r="AP108" s="40">
        <v>18.5441</v>
      </c>
      <c r="AQ108" s="40">
        <v>29.683</v>
      </c>
      <c r="AR108" s="40">
        <v>32.067999999999998</v>
      </c>
      <c r="AS108" s="41"/>
      <c r="AT108" s="42"/>
      <c r="AU108" s="42"/>
      <c r="AW108" s="43">
        <f t="shared" si="21"/>
        <v>7.8204645622031888E-2</v>
      </c>
      <c r="AX108" s="43"/>
      <c r="AZ108" s="44"/>
      <c r="BA108" s="44"/>
      <c r="BB108" s="44"/>
      <c r="BC108" s="44"/>
      <c r="BD108" s="44"/>
      <c r="BE108" s="45"/>
      <c r="BG108" s="44"/>
      <c r="BH108" s="44"/>
      <c r="BI108" s="44"/>
      <c r="BJ108" s="44"/>
      <c r="BK108" s="44"/>
      <c r="BL108" s="45"/>
    </row>
    <row r="109" spans="1:64" outlineLevel="1" x14ac:dyDescent="0.15">
      <c r="A109" s="16"/>
      <c r="B109" s="16" t="s">
        <v>281</v>
      </c>
      <c r="C109" s="17" t="s">
        <v>227</v>
      </c>
      <c r="D109" s="16">
        <v>1009132</v>
      </c>
      <c r="E109" s="18">
        <v>12</v>
      </c>
      <c r="F109" s="17">
        <v>1</v>
      </c>
      <c r="G109" s="17"/>
      <c r="I109" s="19" t="str">
        <f t="shared" si="11"/>
        <v>·</v>
      </c>
      <c r="J109" s="20">
        <f t="shared" si="12"/>
        <v>1.1857636067432209</v>
      </c>
      <c r="K109" s="20">
        <f t="shared" si="13"/>
        <v>0.86144528168762857</v>
      </c>
      <c r="L109" s="20">
        <f t="shared" si="14"/>
        <v>0.32381888593365388</v>
      </c>
      <c r="M109" s="21"/>
      <c r="N109" s="20">
        <f t="shared" si="15"/>
        <v>2.8565030878417574</v>
      </c>
      <c r="O109" s="22">
        <v>418901</v>
      </c>
      <c r="P109" s="23">
        <v>1196592</v>
      </c>
      <c r="Q109" s="23">
        <v>869312</v>
      </c>
      <c r="R109" s="23">
        <v>326776</v>
      </c>
      <c r="S109" s="24"/>
      <c r="T109" s="25">
        <v>64.835800000000006</v>
      </c>
      <c r="U109" s="25">
        <v>69.527799999999999</v>
      </c>
      <c r="V109" s="25">
        <v>22.141500000000001</v>
      </c>
      <c r="W109" s="25">
        <v>33.242100000000001</v>
      </c>
      <c r="X109" s="25">
        <v>35.239199999999997</v>
      </c>
      <c r="Y109" s="26"/>
      <c r="Z109" s="27"/>
      <c r="AA109" s="27"/>
      <c r="AC109" s="19" t="str">
        <f t="shared" si="16"/>
        <v>·</v>
      </c>
      <c r="AD109" s="20">
        <f t="shared" si="17"/>
        <v>1.0736672704859225</v>
      </c>
      <c r="AE109" s="20">
        <f t="shared" si="18"/>
        <v>0.86144528168762857</v>
      </c>
      <c r="AF109" s="20">
        <f t="shared" si="19"/>
        <v>0.21173047728146566</v>
      </c>
      <c r="AG109" s="21"/>
      <c r="AH109" s="20">
        <f t="shared" si="20"/>
        <v>2.5864631500044162</v>
      </c>
      <c r="AI109" s="22">
        <v>418901</v>
      </c>
      <c r="AJ109" s="23">
        <v>1083472</v>
      </c>
      <c r="AK109" s="23">
        <v>869312</v>
      </c>
      <c r="AL109" s="23">
        <v>213664</v>
      </c>
      <c r="AM109" s="24"/>
      <c r="AN109" s="25">
        <v>64.835800000000006</v>
      </c>
      <c r="AO109" s="25">
        <v>69.527799999999999</v>
      </c>
      <c r="AP109" s="25">
        <v>21.7196</v>
      </c>
      <c r="AQ109" s="25">
        <v>32.112000000000002</v>
      </c>
      <c r="AR109" s="25">
        <v>34.166499999999999</v>
      </c>
      <c r="AS109" s="26"/>
      <c r="AT109" s="27"/>
      <c r="AU109" s="27"/>
      <c r="AW109" s="28">
        <f t="shared" si="21"/>
        <v>7.5849248766141963E-2</v>
      </c>
      <c r="AX109" s="28"/>
      <c r="AZ109" s="29"/>
      <c r="BA109" s="29"/>
      <c r="BB109" s="29"/>
      <c r="BC109" s="29"/>
      <c r="BD109" s="29"/>
      <c r="BE109" s="30"/>
      <c r="BG109" s="29"/>
      <c r="BH109" s="29"/>
      <c r="BI109" s="29"/>
      <c r="BJ109" s="29"/>
      <c r="BK109" s="29"/>
      <c r="BL109" s="30"/>
    </row>
    <row r="110" spans="1:64" outlineLevel="1" x14ac:dyDescent="0.15">
      <c r="A110" s="31"/>
      <c r="B110" s="31" t="s">
        <v>281</v>
      </c>
      <c r="C110" s="32" t="s">
        <v>228</v>
      </c>
      <c r="D110" s="31">
        <v>1009132</v>
      </c>
      <c r="E110" s="33">
        <v>12</v>
      </c>
      <c r="F110" s="32">
        <v>1</v>
      </c>
      <c r="G110" s="32"/>
      <c r="I110" s="34" t="str">
        <f t="shared" si="11"/>
        <v>·</v>
      </c>
      <c r="J110" s="35">
        <f t="shared" si="12"/>
        <v>4.7303861140068895</v>
      </c>
      <c r="K110" s="35">
        <f t="shared" si="13"/>
        <v>3.2690668812405117</v>
      </c>
      <c r="L110" s="35">
        <f t="shared" si="14"/>
        <v>1.4608197936444389</v>
      </c>
      <c r="M110" s="36"/>
      <c r="N110" s="35">
        <f t="shared" si="15"/>
        <v>5.300083716199862</v>
      </c>
      <c r="O110" s="37">
        <v>900662</v>
      </c>
      <c r="P110" s="38">
        <v>4773584</v>
      </c>
      <c r="Q110" s="38">
        <v>3298920</v>
      </c>
      <c r="R110" s="38">
        <v>1474160</v>
      </c>
      <c r="S110" s="39"/>
      <c r="T110" s="40">
        <v>70.477099999999993</v>
      </c>
      <c r="U110" s="40">
        <v>75.210899999999995</v>
      </c>
      <c r="V110" s="40">
        <v>26.571100000000001</v>
      </c>
      <c r="W110" s="40">
        <v>36.110100000000003</v>
      </c>
      <c r="X110" s="40">
        <v>37.754899999999999</v>
      </c>
      <c r="Y110" s="41"/>
      <c r="Z110" s="42"/>
      <c r="AA110" s="42"/>
      <c r="AC110" s="34" t="str">
        <f t="shared" si="16"/>
        <v>·</v>
      </c>
      <c r="AD110" s="35">
        <f t="shared" si="17"/>
        <v>4.306703186500874</v>
      </c>
      <c r="AE110" s="35">
        <f t="shared" si="18"/>
        <v>3.2690668812405117</v>
      </c>
      <c r="AF110" s="35">
        <f t="shared" si="19"/>
        <v>1.0371447937435341</v>
      </c>
      <c r="AG110" s="36"/>
      <c r="AH110" s="35">
        <f t="shared" si="20"/>
        <v>4.8253751129724582</v>
      </c>
      <c r="AI110" s="37">
        <v>900662</v>
      </c>
      <c r="AJ110" s="38">
        <v>4346032</v>
      </c>
      <c r="AK110" s="38">
        <v>3298920</v>
      </c>
      <c r="AL110" s="38">
        <v>1046616</v>
      </c>
      <c r="AM110" s="39"/>
      <c r="AN110" s="40">
        <v>70.477099999999993</v>
      </c>
      <c r="AO110" s="40">
        <v>75.210899999999995</v>
      </c>
      <c r="AP110" s="40">
        <v>25.936</v>
      </c>
      <c r="AQ110" s="40">
        <v>34.679400000000001</v>
      </c>
      <c r="AR110" s="40">
        <v>36.441699999999997</v>
      </c>
      <c r="AS110" s="41"/>
      <c r="AT110" s="42"/>
      <c r="AU110" s="42"/>
      <c r="AW110" s="43">
        <f t="shared" si="21"/>
        <v>6.7986586627078793E-2</v>
      </c>
      <c r="AX110" s="43"/>
      <c r="AZ110" s="44"/>
      <c r="BA110" s="44"/>
      <c r="BB110" s="44"/>
      <c r="BC110" s="44"/>
      <c r="BD110" s="44"/>
      <c r="BE110" s="45"/>
      <c r="BG110" s="44"/>
      <c r="BH110" s="44"/>
      <c r="BI110" s="44"/>
      <c r="BJ110" s="44"/>
      <c r="BK110" s="44"/>
      <c r="BL110" s="45"/>
    </row>
    <row r="111" spans="1:64" outlineLevel="1" x14ac:dyDescent="0.15">
      <c r="A111" s="16"/>
      <c r="B111" s="16" t="s">
        <v>281</v>
      </c>
      <c r="C111" s="17" t="s">
        <v>229</v>
      </c>
      <c r="D111" s="16">
        <v>1009132</v>
      </c>
      <c r="E111" s="18">
        <v>12</v>
      </c>
      <c r="F111" s="17">
        <v>1</v>
      </c>
      <c r="G111" s="17"/>
      <c r="I111" s="19" t="str">
        <f t="shared" si="11"/>
        <v>·</v>
      </c>
      <c r="J111" s="20">
        <f t="shared" si="12"/>
        <v>9.6133469159634224</v>
      </c>
      <c r="K111" s="20">
        <f t="shared" si="13"/>
        <v>6.5916054589488793</v>
      </c>
      <c r="L111" s="20">
        <f t="shared" si="14"/>
        <v>3.0212340902874946</v>
      </c>
      <c r="M111" s="21"/>
      <c r="N111" s="20">
        <f t="shared" si="15"/>
        <v>9.7021062106210625</v>
      </c>
      <c r="O111" s="22">
        <v>999900</v>
      </c>
      <c r="P111" s="23">
        <v>9701136</v>
      </c>
      <c r="Q111" s="23">
        <v>6651800</v>
      </c>
      <c r="R111" s="23">
        <v>3048824</v>
      </c>
      <c r="S111" s="24"/>
      <c r="T111" s="25">
        <v>75.260199999999998</v>
      </c>
      <c r="U111" s="25">
        <v>79.535899999999998</v>
      </c>
      <c r="V111" s="25">
        <v>31.672799999999999</v>
      </c>
      <c r="W111" s="25">
        <v>38.606200000000001</v>
      </c>
      <c r="X111" s="25">
        <v>39.853400000000001</v>
      </c>
      <c r="Y111" s="26"/>
      <c r="Z111" s="27"/>
      <c r="AA111" s="27"/>
      <c r="AC111" s="19" t="str">
        <f t="shared" si="16"/>
        <v>·</v>
      </c>
      <c r="AD111" s="20">
        <f t="shared" si="17"/>
        <v>9.0219872127729577</v>
      </c>
      <c r="AE111" s="20">
        <f t="shared" si="18"/>
        <v>6.5916054589488793</v>
      </c>
      <c r="AF111" s="20">
        <f t="shared" si="19"/>
        <v>2.42988231470214</v>
      </c>
      <c r="AG111" s="21"/>
      <c r="AH111" s="20">
        <f t="shared" si="20"/>
        <v>9.105286528652865</v>
      </c>
      <c r="AI111" s="22">
        <v>999900</v>
      </c>
      <c r="AJ111" s="23">
        <v>9104376</v>
      </c>
      <c r="AK111" s="23">
        <v>6651800</v>
      </c>
      <c r="AL111" s="23">
        <v>2452072</v>
      </c>
      <c r="AM111" s="24"/>
      <c r="AN111" s="25">
        <v>75.260199999999998</v>
      </c>
      <c r="AO111" s="25">
        <v>79.535899999999998</v>
      </c>
      <c r="AP111" s="25">
        <v>31.120899999999999</v>
      </c>
      <c r="AQ111" s="25">
        <v>37.340800000000002</v>
      </c>
      <c r="AR111" s="25">
        <v>38.581400000000002</v>
      </c>
      <c r="AS111" s="26"/>
      <c r="AT111" s="27"/>
      <c r="AU111" s="27"/>
      <c r="AW111" s="28">
        <f t="shared" si="21"/>
        <v>4.4943419227199799E-2</v>
      </c>
      <c r="AX111" s="28"/>
      <c r="AZ111" s="29"/>
      <c r="BA111" s="29"/>
      <c r="BB111" s="29"/>
      <c r="BC111" s="29"/>
      <c r="BD111" s="29"/>
      <c r="BE111" s="30"/>
      <c r="BG111" s="29"/>
      <c r="BH111" s="29"/>
      <c r="BI111" s="29"/>
      <c r="BJ111" s="29"/>
      <c r="BK111" s="29"/>
      <c r="BL111" s="30"/>
    </row>
    <row r="112" spans="1:64" outlineLevel="1" x14ac:dyDescent="0.15">
      <c r="A112" s="31"/>
      <c r="B112" s="46" t="s">
        <v>281</v>
      </c>
      <c r="C112" s="47" t="s">
        <v>230</v>
      </c>
      <c r="D112" s="46">
        <v>1009132</v>
      </c>
      <c r="E112" s="48">
        <v>12</v>
      </c>
      <c r="F112" s="47">
        <v>1</v>
      </c>
      <c r="G112" s="47"/>
      <c r="I112" s="49" t="str">
        <f t="shared" si="11"/>
        <v>·</v>
      </c>
      <c r="J112" s="50">
        <f t="shared" si="12"/>
        <v>13.259989773389409</v>
      </c>
      <c r="K112" s="50">
        <f t="shared" si="13"/>
        <v>8.3901412302850371</v>
      </c>
      <c r="L112" s="50">
        <f t="shared" si="14"/>
        <v>4.869341176377322</v>
      </c>
      <c r="M112" s="51"/>
      <c r="N112" s="50">
        <f t="shared" si="15"/>
        <v>13.301880602890391</v>
      </c>
      <c r="O112" s="52">
        <v>1005954</v>
      </c>
      <c r="P112" s="53">
        <v>13381080</v>
      </c>
      <c r="Q112" s="53">
        <v>8466760</v>
      </c>
      <c r="R112" s="53">
        <v>4913808</v>
      </c>
      <c r="S112" s="54"/>
      <c r="T112" s="55">
        <v>80.019499999999994</v>
      </c>
      <c r="U112" s="55">
        <v>84.614999999999995</v>
      </c>
      <c r="V112" s="55">
        <v>37.5124</v>
      </c>
      <c r="W112" s="55">
        <v>41.324199999999998</v>
      </c>
      <c r="X112" s="55">
        <v>41.978299999999997</v>
      </c>
      <c r="Y112" s="56"/>
      <c r="Z112" s="57"/>
      <c r="AA112" s="57"/>
      <c r="AC112" s="49" t="str">
        <f t="shared" si="16"/>
        <v>·</v>
      </c>
      <c r="AD112" s="50">
        <f t="shared" si="17"/>
        <v>12.530895859015471</v>
      </c>
      <c r="AE112" s="50">
        <f t="shared" si="18"/>
        <v>8.3901412302850371</v>
      </c>
      <c r="AF112" s="50">
        <f t="shared" si="19"/>
        <v>4.1402551896084949</v>
      </c>
      <c r="AG112" s="51"/>
      <c r="AH112" s="50">
        <f t="shared" si="20"/>
        <v>12.570483342180657</v>
      </c>
      <c r="AI112" s="52">
        <v>1005954</v>
      </c>
      <c r="AJ112" s="53">
        <v>12645328</v>
      </c>
      <c r="AK112" s="53">
        <v>8466760</v>
      </c>
      <c r="AL112" s="53">
        <v>4178064</v>
      </c>
      <c r="AM112" s="54"/>
      <c r="AN112" s="55">
        <v>80.019499999999994</v>
      </c>
      <c r="AO112" s="55">
        <v>84.614999999999995</v>
      </c>
      <c r="AP112" s="55">
        <v>36.792299999999997</v>
      </c>
      <c r="AQ112" s="55">
        <v>40.372700000000002</v>
      </c>
      <c r="AR112" s="55">
        <v>41.009</v>
      </c>
      <c r="AS112" s="56"/>
      <c r="AT112" s="57"/>
      <c r="AU112" s="57"/>
      <c r="AW112" s="58">
        <f t="shared" si="21"/>
        <v>3.6815222941206094E-2</v>
      </c>
      <c r="AX112" s="58"/>
      <c r="AZ112" s="59"/>
      <c r="BA112" s="59"/>
      <c r="BB112" s="59"/>
      <c r="BC112" s="59"/>
      <c r="BD112" s="59"/>
      <c r="BE112" s="60"/>
      <c r="BG112" s="59"/>
      <c r="BH112" s="59"/>
      <c r="BI112" s="59"/>
      <c r="BJ112" s="59"/>
      <c r="BK112" s="59"/>
      <c r="BL112" s="60"/>
    </row>
    <row r="113" spans="1:64" collapsed="1" x14ac:dyDescent="0.15">
      <c r="A113" s="16"/>
      <c r="B113" s="16" t="s">
        <v>284</v>
      </c>
      <c r="C113" s="17" t="s">
        <v>225</v>
      </c>
      <c r="D113" s="16">
        <v>4001754</v>
      </c>
      <c r="E113" s="18">
        <v>12</v>
      </c>
      <c r="F113" s="17">
        <v>1</v>
      </c>
      <c r="G113" s="17"/>
      <c r="I113" s="19" t="str">
        <f t="shared" si="11"/>
        <v>·</v>
      </c>
      <c r="J113" s="20">
        <f t="shared" si="12"/>
        <v>7.8665505175980338E-3</v>
      </c>
      <c r="K113" s="20">
        <f t="shared" si="13"/>
        <v>7.412749509340154E-3</v>
      </c>
      <c r="L113" s="20">
        <f t="shared" si="14"/>
        <v>3.2985535842533048E-4</v>
      </c>
      <c r="M113" s="21"/>
      <c r="N113" s="20">
        <f t="shared" si="15"/>
        <v>1.4152767162702873</v>
      </c>
      <c r="O113" s="22">
        <v>22243</v>
      </c>
      <c r="P113" s="23">
        <v>31480</v>
      </c>
      <c r="Q113" s="23">
        <v>29664</v>
      </c>
      <c r="R113" s="23">
        <v>1320</v>
      </c>
      <c r="S113" s="24"/>
      <c r="T113" s="25">
        <v>52.925899999999999</v>
      </c>
      <c r="U113" s="25">
        <v>54.843000000000004</v>
      </c>
      <c r="V113" s="25">
        <v>22.885000000000002</v>
      </c>
      <c r="W113" s="25">
        <v>37.583500000000001</v>
      </c>
      <c r="X113" s="25">
        <v>39.755800000000001</v>
      </c>
      <c r="Y113" s="26"/>
      <c r="Z113" s="27"/>
      <c r="AA113" s="27"/>
      <c r="AC113" s="19" t="str">
        <f t="shared" si="16"/>
        <v>·</v>
      </c>
      <c r="AD113" s="20">
        <f t="shared" si="17"/>
        <v>7.694625906539982E-3</v>
      </c>
      <c r="AE113" s="20">
        <f t="shared" si="18"/>
        <v>7.412749509340154E-3</v>
      </c>
      <c r="AF113" s="20">
        <f t="shared" si="19"/>
        <v>1.5992987075167539E-4</v>
      </c>
      <c r="AG113" s="21"/>
      <c r="AH113" s="20">
        <f t="shared" si="20"/>
        <v>1.3843456368295644</v>
      </c>
      <c r="AI113" s="22">
        <v>22243</v>
      </c>
      <c r="AJ113" s="23">
        <v>30792</v>
      </c>
      <c r="AK113" s="23">
        <v>29664</v>
      </c>
      <c r="AL113" s="23">
        <v>640</v>
      </c>
      <c r="AM113" s="24"/>
      <c r="AN113" s="25">
        <v>52.925899999999999</v>
      </c>
      <c r="AO113" s="25">
        <v>54.843000000000004</v>
      </c>
      <c r="AP113" s="25">
        <v>21.831299999999999</v>
      </c>
      <c r="AQ113" s="25">
        <v>40.088700000000003</v>
      </c>
      <c r="AR113" s="25">
        <v>39.845399999999998</v>
      </c>
      <c r="AS113" s="26"/>
      <c r="AT113" s="27"/>
      <c r="AU113" s="27"/>
      <c r="AW113" s="28">
        <f t="shared" si="21"/>
        <v>2.1054528924326577E-2</v>
      </c>
      <c r="AX113" s="28">
        <f t="array" ref="AX113">AVERAGE(AK113:AK118/AJ113:AJ118) - AVERAGE(Q113:Q118/P113:P118)</f>
        <v>5.1265699361671579E-2</v>
      </c>
      <c r="AZ113" s="29">
        <f>IF( OR(ISBLANK(Q113:Q118),ISBLANK(AK113:AK118), ISBLANK(T113:T118),ISBLANK(AN113:AN118)), "·", bdRateExtend( Q113:Q118,T113:T118, AK113:AK118,AN113:AN118))</f>
        <v>0</v>
      </c>
      <c r="BA113" s="29">
        <f>IF( OR(ISBLANK(Q113:Q118),ISBLANK(AK113:AK118), ISBLANK(U113:U118),ISBLANK(AO113:AO118)), "·", bdRateExtend( Q113:Q118,U113:U118, AK113:AK118,AO113:AO118))</f>
        <v>0</v>
      </c>
      <c r="BB113" s="29">
        <f>IF( OR(ISBLANK(R113:R118),ISBLANK(AL113:AL118), ISBLANK(V113:V118),ISBLANK(AP113:AP118)), "·", bdRateExtend( R113:R118,V113:V118, AL113:AL118,AP113:AP118))</f>
        <v>1.7590159357282031E-2</v>
      </c>
      <c r="BC113" s="29">
        <f>IF( OR(ISBLANK(R113:R118),ISBLANK(AL113:AL118), ISBLANK(W113:W118),ISBLANK(AQ113:AQ118)), "·", bdRateExtend( R113:R118,W113:W118, AL113:AL118,AQ113:AQ118))</f>
        <v>0.64317885004013609</v>
      </c>
      <c r="BD113" s="29">
        <f>IF( OR(ISBLANK(R113:R118),ISBLANK(AL113:AL118), ISBLANK(X113:X118),ISBLANK(AR113:AR118)), "·", bdRateExtend( R113:R118,X113:X118, AL113:AL118,AR113:AR118))</f>
        <v>0.70315745201171387</v>
      </c>
      <c r="BE113" s="30"/>
      <c r="BG113" s="29">
        <f>IF( OR(ISBLANK(P113:P118),ISBLANK(AJ113:AJ118), ISBLANK(T113:T118),ISBLANK(AN113:AN118)), "·", bdRateExtend( P113:P118,T113:T118, AJ113:AJ118,AN113:AN118))</f>
        <v>-6.1906471344747249E-2</v>
      </c>
      <c r="BH113" s="29">
        <f>IF( OR(ISBLANK(P113:P118),ISBLANK(AJ113:AJ118), ISBLANK(U113:U118),ISBLANK(AO113:AO118)), "·", bdRateExtend( P113:P118,U113:U118, AJ113:AJ118,AO113:AO118))</f>
        <v>-6.2435495967762877E-2</v>
      </c>
      <c r="BI113" s="29">
        <f>IF( OR(ISBLANK(P113:P118),ISBLANK(AJ113:AJ118), ISBLANK(V113:V118),ISBLANK(AP113:AP118)), "·", bdRateExtend( P113:P118,V113:V118, AJ113:AJ118,AP113:AP118))</f>
        <v>0.38023238398569204</v>
      </c>
      <c r="BJ113" s="29">
        <f>IF( OR(ISBLANK(P113:P118),ISBLANK(AJ113:AJ118), ISBLANK(W113:W118),ISBLANK(AQ113:AQ118)), "·", bdRateExtend( P113:P118,W113:W118, AJ113:AJ118,AQ113:AQ118))</f>
        <v>1.0043700664207491</v>
      </c>
      <c r="BK113" s="29">
        <f>IF( OR(ISBLANK(P113:P118),ISBLANK(AJ113:AJ118), ISBLANK(X113:X118),ISBLANK(AR113:AR118)), "·", bdRateExtend( P113:P118,X113:X118, AJ113:AJ118,AR113:AR118))</f>
        <v>1.0590558172112705</v>
      </c>
      <c r="BL113" s="30"/>
    </row>
    <row r="114" spans="1:64" outlineLevel="1" x14ac:dyDescent="0.15">
      <c r="A114" s="31"/>
      <c r="B114" s="31" t="s">
        <v>284</v>
      </c>
      <c r="C114" s="32" t="s">
        <v>226</v>
      </c>
      <c r="D114" s="31">
        <v>4001754</v>
      </c>
      <c r="E114" s="33">
        <v>12</v>
      </c>
      <c r="F114" s="32">
        <v>1</v>
      </c>
      <c r="G114" s="32"/>
      <c r="I114" s="34" t="str">
        <f t="shared" si="11"/>
        <v>·</v>
      </c>
      <c r="J114" s="35">
        <f t="shared" si="12"/>
        <v>2.786578085509504E-2</v>
      </c>
      <c r="K114" s="35">
        <f t="shared" si="13"/>
        <v>2.530490379968384E-2</v>
      </c>
      <c r="L114" s="35">
        <f t="shared" si="14"/>
        <v>2.4349322821942579E-3</v>
      </c>
      <c r="M114" s="36"/>
      <c r="N114" s="35">
        <f t="shared" si="15"/>
        <v>1.2731569753502232</v>
      </c>
      <c r="O114" s="37">
        <v>87587</v>
      </c>
      <c r="P114" s="38">
        <v>111512</v>
      </c>
      <c r="Q114" s="38">
        <v>101264</v>
      </c>
      <c r="R114" s="38">
        <v>9744</v>
      </c>
      <c r="S114" s="39"/>
      <c r="T114" s="40">
        <v>58.917299999999997</v>
      </c>
      <c r="U114" s="40">
        <v>61.130699999999997</v>
      </c>
      <c r="V114" s="40">
        <v>25.6432</v>
      </c>
      <c r="W114" s="40">
        <v>42.100700000000003</v>
      </c>
      <c r="X114" s="40">
        <v>42.357599999999998</v>
      </c>
      <c r="Y114" s="41"/>
      <c r="Z114" s="42"/>
      <c r="AA114" s="42"/>
      <c r="AC114" s="34" t="str">
        <f t="shared" si="16"/>
        <v>·</v>
      </c>
      <c r="AD114" s="35">
        <f t="shared" si="17"/>
        <v>2.6538362927856135E-2</v>
      </c>
      <c r="AE114" s="35">
        <f t="shared" si="18"/>
        <v>2.530490379968384E-2</v>
      </c>
      <c r="AF114" s="35">
        <f t="shared" si="19"/>
        <v>1.1095134783397479E-3</v>
      </c>
      <c r="AG114" s="36"/>
      <c r="AH114" s="35">
        <f t="shared" si="20"/>
        <v>1.2125087056298309</v>
      </c>
      <c r="AI114" s="37">
        <v>87587</v>
      </c>
      <c r="AJ114" s="38">
        <v>106200</v>
      </c>
      <c r="AK114" s="38">
        <v>101264</v>
      </c>
      <c r="AL114" s="38">
        <v>4440</v>
      </c>
      <c r="AM114" s="39"/>
      <c r="AN114" s="40">
        <v>58.917299999999997</v>
      </c>
      <c r="AO114" s="40">
        <v>61.130699999999997</v>
      </c>
      <c r="AP114" s="40">
        <v>24.398199999999999</v>
      </c>
      <c r="AQ114" s="40">
        <v>40.456000000000003</v>
      </c>
      <c r="AR114" s="40">
        <v>40.478900000000003</v>
      </c>
      <c r="AS114" s="41"/>
      <c r="AT114" s="42"/>
      <c r="AU114" s="42"/>
      <c r="AW114" s="43">
        <f t="shared" si="21"/>
        <v>4.5422080523302433E-2</v>
      </c>
      <c r="AX114" s="43"/>
      <c r="AZ114" s="44"/>
      <c r="BA114" s="44"/>
      <c r="BB114" s="44"/>
      <c r="BC114" s="44"/>
      <c r="BD114" s="44"/>
      <c r="BE114" s="45"/>
      <c r="BG114" s="44"/>
      <c r="BH114" s="44"/>
      <c r="BI114" s="44"/>
      <c r="BJ114" s="44"/>
      <c r="BK114" s="44"/>
      <c r="BL114" s="45"/>
    </row>
    <row r="115" spans="1:64" outlineLevel="1" x14ac:dyDescent="0.15">
      <c r="A115" s="16"/>
      <c r="B115" s="16" t="s">
        <v>284</v>
      </c>
      <c r="C115" s="17" t="s">
        <v>227</v>
      </c>
      <c r="D115" s="16">
        <v>4001754</v>
      </c>
      <c r="E115" s="18">
        <v>12</v>
      </c>
      <c r="F115" s="17">
        <v>1</v>
      </c>
      <c r="G115" s="17"/>
      <c r="I115" s="19" t="str">
        <f t="shared" si="11"/>
        <v>·</v>
      </c>
      <c r="J115" s="20">
        <f t="shared" si="12"/>
        <v>0.10448218456206954</v>
      </c>
      <c r="K115" s="20">
        <f t="shared" si="13"/>
        <v>8.6384120563133063E-2</v>
      </c>
      <c r="L115" s="20">
        <f t="shared" si="14"/>
        <v>1.7972119225719521E-2</v>
      </c>
      <c r="M115" s="21"/>
      <c r="N115" s="20">
        <f t="shared" si="15"/>
        <v>1.2517648749468591</v>
      </c>
      <c r="O115" s="22">
        <v>334018</v>
      </c>
      <c r="P115" s="23">
        <v>418112</v>
      </c>
      <c r="Q115" s="23">
        <v>345688</v>
      </c>
      <c r="R115" s="23">
        <v>71920</v>
      </c>
      <c r="S115" s="24"/>
      <c r="T115" s="25">
        <v>64.843400000000003</v>
      </c>
      <c r="U115" s="25">
        <v>67.643199999999993</v>
      </c>
      <c r="V115" s="25">
        <v>29.632100000000001</v>
      </c>
      <c r="W115" s="25">
        <v>44.813499999999998</v>
      </c>
      <c r="X115" s="25">
        <v>45.491</v>
      </c>
      <c r="Y115" s="26"/>
      <c r="Z115" s="27"/>
      <c r="AA115" s="27"/>
      <c r="AC115" s="19" t="str">
        <f t="shared" si="16"/>
        <v>·</v>
      </c>
      <c r="AD115" s="20">
        <f t="shared" si="17"/>
        <v>9.7121412260723669E-2</v>
      </c>
      <c r="AE115" s="20">
        <f t="shared" si="18"/>
        <v>8.6384120563133063E-2</v>
      </c>
      <c r="AF115" s="20">
        <f t="shared" si="19"/>
        <v>1.0613346047758059E-2</v>
      </c>
      <c r="AG115" s="21"/>
      <c r="AH115" s="20">
        <f t="shared" si="20"/>
        <v>1.1635780107658868</v>
      </c>
      <c r="AI115" s="22">
        <v>334018</v>
      </c>
      <c r="AJ115" s="23">
        <v>388656</v>
      </c>
      <c r="AK115" s="23">
        <v>345688</v>
      </c>
      <c r="AL115" s="23">
        <v>42472</v>
      </c>
      <c r="AM115" s="24"/>
      <c r="AN115" s="25">
        <v>64.843400000000003</v>
      </c>
      <c r="AO115" s="25">
        <v>67.643199999999993</v>
      </c>
      <c r="AP115" s="25">
        <v>28.311499999999999</v>
      </c>
      <c r="AQ115" s="25">
        <v>43.224600000000002</v>
      </c>
      <c r="AR115" s="25">
        <v>43.7727</v>
      </c>
      <c r="AS115" s="26"/>
      <c r="AT115" s="27"/>
      <c r="AU115" s="27"/>
      <c r="AW115" s="28">
        <f t="shared" si="21"/>
        <v>6.266139603433174E-2</v>
      </c>
      <c r="AX115" s="28"/>
      <c r="AZ115" s="29"/>
      <c r="BA115" s="29"/>
      <c r="BB115" s="29"/>
      <c r="BC115" s="29"/>
      <c r="BD115" s="29"/>
      <c r="BE115" s="30"/>
      <c r="BG115" s="29"/>
      <c r="BH115" s="29"/>
      <c r="BI115" s="29"/>
      <c r="BJ115" s="29"/>
      <c r="BK115" s="29"/>
      <c r="BL115" s="30"/>
    </row>
    <row r="116" spans="1:64" outlineLevel="1" x14ac:dyDescent="0.15">
      <c r="A116" s="31"/>
      <c r="B116" s="31" t="s">
        <v>284</v>
      </c>
      <c r="C116" s="32" t="s">
        <v>228</v>
      </c>
      <c r="D116" s="31">
        <v>4001754</v>
      </c>
      <c r="E116" s="33">
        <v>12</v>
      </c>
      <c r="F116" s="32">
        <v>1</v>
      </c>
      <c r="G116" s="32"/>
      <c r="I116" s="34" t="str">
        <f t="shared" si="11"/>
        <v>·</v>
      </c>
      <c r="J116" s="35">
        <f t="shared" si="12"/>
        <v>0.40295930234592131</v>
      </c>
      <c r="K116" s="35">
        <f t="shared" si="13"/>
        <v>0.30811888986679342</v>
      </c>
      <c r="L116" s="35">
        <f t="shared" si="14"/>
        <v>9.4694476472066996E-2</v>
      </c>
      <c r="M116" s="36"/>
      <c r="N116" s="35">
        <f t="shared" si="15"/>
        <v>1.3511221339187338</v>
      </c>
      <c r="O116" s="37">
        <v>1193485</v>
      </c>
      <c r="P116" s="38">
        <v>1612544</v>
      </c>
      <c r="Q116" s="38">
        <v>1233016</v>
      </c>
      <c r="R116" s="38">
        <v>378944</v>
      </c>
      <c r="S116" s="39"/>
      <c r="T116" s="40">
        <v>70.486599999999996</v>
      </c>
      <c r="U116" s="40">
        <v>74.285899999999998</v>
      </c>
      <c r="V116" s="40">
        <v>34.897500000000001</v>
      </c>
      <c r="W116" s="40">
        <v>47.695500000000003</v>
      </c>
      <c r="X116" s="40">
        <v>48.71</v>
      </c>
      <c r="Y116" s="41"/>
      <c r="Z116" s="42"/>
      <c r="AA116" s="42"/>
      <c r="AC116" s="34" t="str">
        <f t="shared" si="16"/>
        <v>·</v>
      </c>
      <c r="AD116" s="35">
        <f t="shared" si="17"/>
        <v>0.37386605973280718</v>
      </c>
      <c r="AE116" s="35">
        <f t="shared" si="18"/>
        <v>0.30811888986679342</v>
      </c>
      <c r="AF116" s="35">
        <f t="shared" si="19"/>
        <v>6.5603232982337251E-2</v>
      </c>
      <c r="AG116" s="36"/>
      <c r="AH116" s="35">
        <f t="shared" si="20"/>
        <v>1.2535725208109025</v>
      </c>
      <c r="AI116" s="37">
        <v>1193485</v>
      </c>
      <c r="AJ116" s="38">
        <v>1496120</v>
      </c>
      <c r="AK116" s="38">
        <v>1233016</v>
      </c>
      <c r="AL116" s="38">
        <v>262528</v>
      </c>
      <c r="AM116" s="39"/>
      <c r="AN116" s="40">
        <v>70.486599999999996</v>
      </c>
      <c r="AO116" s="40">
        <v>74.285899999999998</v>
      </c>
      <c r="AP116" s="40">
        <v>33.531300000000002</v>
      </c>
      <c r="AQ116" s="40">
        <v>46.100099999999998</v>
      </c>
      <c r="AR116" s="40">
        <v>46.933799999999998</v>
      </c>
      <c r="AS116" s="41"/>
      <c r="AT116" s="42"/>
      <c r="AU116" s="42"/>
      <c r="AW116" s="43">
        <f t="shared" si="21"/>
        <v>5.9502227796752849E-2</v>
      </c>
      <c r="AX116" s="43"/>
      <c r="AZ116" s="44"/>
      <c r="BA116" s="44"/>
      <c r="BB116" s="44"/>
      <c r="BC116" s="44"/>
      <c r="BD116" s="44"/>
      <c r="BE116" s="45"/>
      <c r="BG116" s="44"/>
      <c r="BH116" s="44"/>
      <c r="BI116" s="44"/>
      <c r="BJ116" s="44"/>
      <c r="BK116" s="44"/>
      <c r="BL116" s="45"/>
    </row>
    <row r="117" spans="1:64" outlineLevel="1" x14ac:dyDescent="0.15">
      <c r="A117" s="16"/>
      <c r="B117" s="16" t="s">
        <v>284</v>
      </c>
      <c r="C117" s="17" t="s">
        <v>229</v>
      </c>
      <c r="D117" s="16">
        <v>4001754</v>
      </c>
      <c r="E117" s="18">
        <v>12</v>
      </c>
      <c r="F117" s="17">
        <v>1</v>
      </c>
      <c r="G117" s="17"/>
      <c r="I117" s="19" t="str">
        <f t="shared" si="11"/>
        <v>·</v>
      </c>
      <c r="J117" s="20">
        <f t="shared" si="12"/>
        <v>1.4386851365676152</v>
      </c>
      <c r="K117" s="20">
        <f t="shared" si="13"/>
        <v>1.0671280643437853</v>
      </c>
      <c r="L117" s="20">
        <f t="shared" si="14"/>
        <v>0.3713291721580087</v>
      </c>
      <c r="M117" s="21"/>
      <c r="N117" s="20">
        <f t="shared" si="15"/>
        <v>1.6053931150559839</v>
      </c>
      <c r="O117" s="22">
        <v>3586202</v>
      </c>
      <c r="P117" s="23">
        <v>5757264</v>
      </c>
      <c r="Q117" s="23">
        <v>4270384</v>
      </c>
      <c r="R117" s="23">
        <v>1485968</v>
      </c>
      <c r="S117" s="24"/>
      <c r="T117" s="25">
        <v>75.252700000000004</v>
      </c>
      <c r="U117" s="25">
        <v>80.206299999999999</v>
      </c>
      <c r="V117" s="25">
        <v>40.440800000000003</v>
      </c>
      <c r="W117" s="25">
        <v>50.853200000000001</v>
      </c>
      <c r="X117" s="25">
        <v>51.879399999999997</v>
      </c>
      <c r="Y117" s="26"/>
      <c r="Z117" s="27"/>
      <c r="AA117" s="27"/>
      <c r="AC117" s="19" t="str">
        <f t="shared" si="16"/>
        <v>·</v>
      </c>
      <c r="AD117" s="20">
        <f t="shared" si="17"/>
        <v>1.3298108779300277</v>
      </c>
      <c r="AE117" s="20">
        <f t="shared" si="18"/>
        <v>1.0671280643437853</v>
      </c>
      <c r="AF117" s="20">
        <f t="shared" si="19"/>
        <v>0.26245691264380572</v>
      </c>
      <c r="AG117" s="21"/>
      <c r="AH117" s="20">
        <f t="shared" si="20"/>
        <v>1.4839030260983626</v>
      </c>
      <c r="AI117" s="22">
        <v>3586202</v>
      </c>
      <c r="AJ117" s="23">
        <v>5321576</v>
      </c>
      <c r="AK117" s="23">
        <v>4270384</v>
      </c>
      <c r="AL117" s="23">
        <v>1050288</v>
      </c>
      <c r="AM117" s="24"/>
      <c r="AN117" s="25">
        <v>75.252700000000004</v>
      </c>
      <c r="AO117" s="25">
        <v>80.206299999999999</v>
      </c>
      <c r="AP117" s="25">
        <v>39.040399999999998</v>
      </c>
      <c r="AQ117" s="25">
        <v>49.084400000000002</v>
      </c>
      <c r="AR117" s="25">
        <v>49.9876</v>
      </c>
      <c r="AS117" s="26"/>
      <c r="AT117" s="27"/>
      <c r="AU117" s="27"/>
      <c r="AW117" s="28">
        <f t="shared" si="21"/>
        <v>6.0727599508569763E-2</v>
      </c>
      <c r="AX117" s="28"/>
      <c r="AZ117" s="29"/>
      <c r="BA117" s="29"/>
      <c r="BB117" s="29"/>
      <c r="BC117" s="29"/>
      <c r="BD117" s="29"/>
      <c r="BE117" s="30"/>
      <c r="BG117" s="29"/>
      <c r="BH117" s="29"/>
      <c r="BI117" s="29"/>
      <c r="BJ117" s="29"/>
      <c r="BK117" s="29"/>
      <c r="BL117" s="30"/>
    </row>
    <row r="118" spans="1:64" outlineLevel="1" x14ac:dyDescent="0.15">
      <c r="A118" s="31"/>
      <c r="B118" s="46" t="s">
        <v>284</v>
      </c>
      <c r="C118" s="47" t="s">
        <v>230</v>
      </c>
      <c r="D118" s="46">
        <v>4001754</v>
      </c>
      <c r="E118" s="48">
        <v>12</v>
      </c>
      <c r="F118" s="47">
        <v>1</v>
      </c>
      <c r="G118" s="47"/>
      <c r="I118" s="49" t="str">
        <f t="shared" si="11"/>
        <v>·</v>
      </c>
      <c r="J118" s="50">
        <f t="shared" si="12"/>
        <v>3.9995242086345137</v>
      </c>
      <c r="K118" s="50">
        <f t="shared" si="13"/>
        <v>3.1785162206372504</v>
      </c>
      <c r="L118" s="50">
        <f t="shared" si="14"/>
        <v>0.82078008793144208</v>
      </c>
      <c r="M118" s="51"/>
      <c r="N118" s="50">
        <f t="shared" si="15"/>
        <v>4.1743039419706696</v>
      </c>
      <c r="O118" s="52">
        <v>3834199</v>
      </c>
      <c r="P118" s="53">
        <v>16005112</v>
      </c>
      <c r="Q118" s="53">
        <v>12719640</v>
      </c>
      <c r="R118" s="53">
        <v>3284560</v>
      </c>
      <c r="S118" s="54"/>
      <c r="T118" s="55">
        <v>80.028999999999996</v>
      </c>
      <c r="U118" s="55">
        <v>84.875900000000001</v>
      </c>
      <c r="V118" s="55">
        <v>43.180599999999998</v>
      </c>
      <c r="W118" s="55">
        <v>52.365099999999998</v>
      </c>
      <c r="X118" s="55">
        <v>53.215299999999999</v>
      </c>
      <c r="Y118" s="56"/>
      <c r="Z118" s="57"/>
      <c r="AA118" s="57"/>
      <c r="AC118" s="49" t="str">
        <f t="shared" si="16"/>
        <v>·</v>
      </c>
      <c r="AD118" s="50">
        <f t="shared" si="17"/>
        <v>3.7264979306574069</v>
      </c>
      <c r="AE118" s="50">
        <f t="shared" si="18"/>
        <v>3.1785162206372504</v>
      </c>
      <c r="AF118" s="50">
        <f t="shared" si="19"/>
        <v>0.54775580907771937</v>
      </c>
      <c r="AG118" s="51"/>
      <c r="AH118" s="50">
        <f t="shared" si="20"/>
        <v>3.8893463797784102</v>
      </c>
      <c r="AI118" s="52">
        <v>3834199</v>
      </c>
      <c r="AJ118" s="53">
        <v>14912528</v>
      </c>
      <c r="AK118" s="53">
        <v>12719640</v>
      </c>
      <c r="AL118" s="53">
        <v>2191984</v>
      </c>
      <c r="AM118" s="54"/>
      <c r="AN118" s="55">
        <v>80.028999999999996</v>
      </c>
      <c r="AO118" s="55">
        <v>84.875900000000001</v>
      </c>
      <c r="AP118" s="55">
        <v>41.997399999999999</v>
      </c>
      <c r="AQ118" s="55">
        <v>50.811799999999998</v>
      </c>
      <c r="AR118" s="55">
        <v>51.617600000000003</v>
      </c>
      <c r="AS118" s="56"/>
      <c r="AT118" s="57"/>
      <c r="AU118" s="57"/>
      <c r="AW118" s="58">
        <f t="shared" si="21"/>
        <v>5.822636338274545E-2</v>
      </c>
      <c r="AX118" s="58"/>
      <c r="AZ118" s="59"/>
      <c r="BA118" s="59"/>
      <c r="BB118" s="59"/>
      <c r="BC118" s="59"/>
      <c r="BD118" s="59"/>
      <c r="BE118" s="60"/>
      <c r="BG118" s="59"/>
      <c r="BH118" s="59"/>
      <c r="BI118" s="59"/>
      <c r="BJ118" s="59"/>
      <c r="BK118" s="59"/>
      <c r="BL118" s="60"/>
    </row>
    <row r="119" spans="1:64" collapsed="1" x14ac:dyDescent="0.15">
      <c r="A119" s="16"/>
      <c r="B119" s="16" t="s">
        <v>287</v>
      </c>
      <c r="C119" s="17" t="s">
        <v>225</v>
      </c>
      <c r="D119" s="16">
        <v>1089091</v>
      </c>
      <c r="E119" s="18">
        <v>10</v>
      </c>
      <c r="F119" s="17">
        <v>1</v>
      </c>
      <c r="G119" s="17"/>
      <c r="I119" s="19" t="str">
        <f t="shared" si="11"/>
        <v>·</v>
      </c>
      <c r="J119" s="20">
        <f t="shared" si="12"/>
        <v>2.6304505316819257E-2</v>
      </c>
      <c r="K119" s="20">
        <f t="shared" si="13"/>
        <v>2.4703169891221212E-2</v>
      </c>
      <c r="L119" s="20">
        <f t="shared" si="14"/>
        <v>1.1385641787509033E-3</v>
      </c>
      <c r="M119" s="21"/>
      <c r="N119" s="20">
        <f t="shared" si="15"/>
        <v>1.4329015155304357</v>
      </c>
      <c r="O119" s="22">
        <v>19993</v>
      </c>
      <c r="P119" s="23">
        <v>28648</v>
      </c>
      <c r="Q119" s="23">
        <v>26904</v>
      </c>
      <c r="R119" s="23">
        <v>1240</v>
      </c>
      <c r="S119" s="24"/>
      <c r="T119" s="25">
        <v>52.799300000000002</v>
      </c>
      <c r="U119" s="25">
        <v>55.572400000000002</v>
      </c>
      <c r="V119" s="25">
        <v>22.708400000000001</v>
      </c>
      <c r="W119" s="25">
        <v>37.832900000000002</v>
      </c>
      <c r="X119" s="25">
        <v>39.767099999999999</v>
      </c>
      <c r="Y119" s="26"/>
      <c r="Z119" s="27"/>
      <c r="AA119" s="27"/>
      <c r="AC119" s="19" t="str">
        <f t="shared" si="16"/>
        <v>·</v>
      </c>
      <c r="AD119" s="20">
        <f t="shared" si="17"/>
        <v>2.5768278316504314E-2</v>
      </c>
      <c r="AE119" s="20">
        <f t="shared" si="18"/>
        <v>2.4703169891221212E-2</v>
      </c>
      <c r="AF119" s="20">
        <f t="shared" si="19"/>
        <v>6.096827537827418E-4</v>
      </c>
      <c r="AG119" s="21"/>
      <c r="AH119" s="20">
        <f t="shared" si="20"/>
        <v>1.4036912919521833</v>
      </c>
      <c r="AI119" s="22">
        <v>19993</v>
      </c>
      <c r="AJ119" s="23">
        <v>28064</v>
      </c>
      <c r="AK119" s="23">
        <v>26904</v>
      </c>
      <c r="AL119" s="23">
        <v>664</v>
      </c>
      <c r="AM119" s="24"/>
      <c r="AN119" s="25">
        <v>52.799300000000002</v>
      </c>
      <c r="AO119" s="25">
        <v>55.572400000000002</v>
      </c>
      <c r="AP119" s="25">
        <v>21.956099999999999</v>
      </c>
      <c r="AQ119" s="25">
        <v>39.962600000000002</v>
      </c>
      <c r="AR119" s="25">
        <v>39.525100000000002</v>
      </c>
      <c r="AS119" s="26"/>
      <c r="AT119" s="27"/>
      <c r="AU119" s="27"/>
      <c r="AW119" s="28">
        <f t="shared" si="21"/>
        <v>1.9542756541317541E-2</v>
      </c>
      <c r="AX119" s="28">
        <f t="array" ref="AX119">AVERAGE(AK119:AK124/AJ119:AJ124) - AVERAGE(Q119:Q124/P119:P124)</f>
        <v>5.0332291686130071E-2</v>
      </c>
      <c r="AZ119" s="29">
        <f>IF( OR(ISBLANK(Q119:Q124),ISBLANK(AK119:AK124), ISBLANK(T119:T124),ISBLANK(AN119:AN124)), "·", bdRateExtend( Q119:Q124,T119:T124, AK119:AK124,AN119:AN124))</f>
        <v>0</v>
      </c>
      <c r="BA119" s="29">
        <f>IF( OR(ISBLANK(Q119:Q124),ISBLANK(AK119:AK124), ISBLANK(U119:U124),ISBLANK(AO119:AO124)), "·", bdRateExtend( Q119:Q124,U119:U124, AK119:AK124,AO119:AO124))</f>
        <v>0</v>
      </c>
      <c r="BB119" s="29">
        <f>IF( OR(ISBLANK(R119:R124),ISBLANK(AL119:AL124), ISBLANK(V119:V124),ISBLANK(AP119:AP124)), "·", bdRateExtend( R119:R124,V119:V124, AL119:AL124,AP119:AP124))</f>
        <v>-6.9957362388560762E-3</v>
      </c>
      <c r="BC119" s="29">
        <f>IF( OR(ISBLANK(R119:R124),ISBLANK(AL119:AL124), ISBLANK(W119:W124),ISBLANK(AQ119:AQ124)), "·", bdRateExtend( R119:R124,W119:W124, AL119:AL124,AQ119:AQ124))</f>
        <v>0.47866804742306557</v>
      </c>
      <c r="BD119" s="29">
        <f>IF( OR(ISBLANK(R119:R124),ISBLANK(AL119:AL124), ISBLANK(X119:X124),ISBLANK(AR119:AR124)), "·", bdRateExtend( R119:R124,X119:X124, AL119:AL124,AR119:AR124))</f>
        <v>0.51005627926710972</v>
      </c>
      <c r="BE119" s="30"/>
      <c r="BG119" s="29">
        <f>IF( OR(ISBLANK(P119:P124),ISBLANK(AJ119:AJ124), ISBLANK(T119:T124),ISBLANK(AN119:AN124)), "·", bdRateExtend( P119:P124,T119:T124, AJ119:AJ124,AN119:AN124))</f>
        <v>-5.6843796221821008E-2</v>
      </c>
      <c r="BH119" s="29">
        <f>IF( OR(ISBLANK(P119:P124),ISBLANK(AJ119:AJ124), ISBLANK(U119:U124),ISBLANK(AO119:AO124)), "·", bdRateExtend( P119:P124,U119:U124, AJ119:AJ124,AO119:AO124))</f>
        <v>-5.5134877901911961E-2</v>
      </c>
      <c r="BI119" s="29">
        <f>IF( OR(ISBLANK(P119:P124),ISBLANK(AJ119:AJ124), ISBLANK(V119:V124),ISBLANK(AP119:AP124)), "·", bdRateExtend( P119:P124,V119:V124, AJ119:AJ124,AP119:AP124))</f>
        <v>0.22080808061495349</v>
      </c>
      <c r="BJ119" s="29">
        <f>IF( OR(ISBLANK(P119:P124),ISBLANK(AJ119:AJ124), ISBLANK(W119:W124),ISBLANK(AQ119:AQ124)), "·", bdRateExtend( P119:P124,W119:W124, AJ119:AJ124,AQ119:AQ124))</f>
        <v>0.55732975752228198</v>
      </c>
      <c r="BK119" s="29">
        <f>IF( OR(ISBLANK(P119:P124),ISBLANK(AJ119:AJ124), ISBLANK(X119:X124),ISBLANK(AR119:AR124)), "·", bdRateExtend( P119:P124,X119:X124, AJ119:AJ124,AR119:AR124))</f>
        <v>0.6009167769154462</v>
      </c>
      <c r="BL119" s="30"/>
    </row>
    <row r="120" spans="1:64" outlineLevel="1" x14ac:dyDescent="0.15">
      <c r="A120" s="31"/>
      <c r="B120" s="31" t="s">
        <v>287</v>
      </c>
      <c r="C120" s="32" t="s">
        <v>226</v>
      </c>
      <c r="D120" s="31">
        <v>1089091</v>
      </c>
      <c r="E120" s="33">
        <v>10</v>
      </c>
      <c r="F120" s="32">
        <v>1</v>
      </c>
      <c r="G120" s="32"/>
      <c r="I120" s="34" t="str">
        <f t="shared" si="11"/>
        <v>·</v>
      </c>
      <c r="J120" s="35">
        <f t="shared" si="12"/>
        <v>9.4118856918292415E-2</v>
      </c>
      <c r="K120" s="35">
        <f t="shared" si="13"/>
        <v>8.5502497036519451E-2</v>
      </c>
      <c r="L120" s="35">
        <f t="shared" si="14"/>
        <v>8.146243059579044E-3</v>
      </c>
      <c r="M120" s="36"/>
      <c r="N120" s="35">
        <f t="shared" si="15"/>
        <v>1.2929690456368728</v>
      </c>
      <c r="O120" s="37">
        <v>79278</v>
      </c>
      <c r="P120" s="38">
        <v>102504</v>
      </c>
      <c r="Q120" s="38">
        <v>93120</v>
      </c>
      <c r="R120" s="38">
        <v>8872</v>
      </c>
      <c r="S120" s="39"/>
      <c r="T120" s="40">
        <v>58.431199999999997</v>
      </c>
      <c r="U120" s="40">
        <v>62.177199999999999</v>
      </c>
      <c r="V120" s="40">
        <v>25.6435</v>
      </c>
      <c r="W120" s="40">
        <v>41.902000000000001</v>
      </c>
      <c r="X120" s="40">
        <v>42.127699999999997</v>
      </c>
      <c r="Y120" s="41"/>
      <c r="Z120" s="42"/>
      <c r="AA120" s="42"/>
      <c r="AC120" s="34" t="str">
        <f t="shared" si="16"/>
        <v>·</v>
      </c>
      <c r="AD120" s="35">
        <f t="shared" si="17"/>
        <v>8.9917187819934241E-2</v>
      </c>
      <c r="AE120" s="35">
        <f t="shared" si="18"/>
        <v>8.5502497036519451E-2</v>
      </c>
      <c r="AF120" s="35">
        <f t="shared" si="19"/>
        <v>3.9519195365676513E-3</v>
      </c>
      <c r="AG120" s="36"/>
      <c r="AH120" s="35">
        <f t="shared" si="20"/>
        <v>1.2352481142309342</v>
      </c>
      <c r="AI120" s="37">
        <v>79278</v>
      </c>
      <c r="AJ120" s="38">
        <v>97928</v>
      </c>
      <c r="AK120" s="38">
        <v>93120</v>
      </c>
      <c r="AL120" s="38">
        <v>4304</v>
      </c>
      <c r="AM120" s="39"/>
      <c r="AN120" s="40">
        <v>58.431199999999997</v>
      </c>
      <c r="AO120" s="40">
        <v>62.177199999999999</v>
      </c>
      <c r="AP120" s="40">
        <v>24.477</v>
      </c>
      <c r="AQ120" s="40">
        <v>40.686</v>
      </c>
      <c r="AR120" s="40">
        <v>40.936500000000002</v>
      </c>
      <c r="AS120" s="41"/>
      <c r="AT120" s="42"/>
      <c r="AU120" s="42"/>
      <c r="AW120" s="43">
        <f t="shared" si="21"/>
        <v>4.2450350948544435E-2</v>
      </c>
      <c r="AX120" s="43"/>
      <c r="AZ120" s="44"/>
      <c r="BA120" s="44"/>
      <c r="BB120" s="44"/>
      <c r="BC120" s="44"/>
      <c r="BD120" s="44"/>
      <c r="BE120" s="45"/>
      <c r="BG120" s="44"/>
      <c r="BH120" s="44"/>
      <c r="BI120" s="44"/>
      <c r="BJ120" s="44"/>
      <c r="BK120" s="44"/>
      <c r="BL120" s="45"/>
    </row>
    <row r="121" spans="1:64" outlineLevel="1" x14ac:dyDescent="0.15">
      <c r="A121" s="16"/>
      <c r="B121" s="16" t="s">
        <v>287</v>
      </c>
      <c r="C121" s="17" t="s">
        <v>227</v>
      </c>
      <c r="D121" s="16">
        <v>1089091</v>
      </c>
      <c r="E121" s="18">
        <v>10</v>
      </c>
      <c r="F121" s="17">
        <v>1</v>
      </c>
      <c r="G121" s="17"/>
      <c r="I121" s="19" t="str">
        <f t="shared" si="11"/>
        <v>·</v>
      </c>
      <c r="J121" s="20">
        <f t="shared" si="12"/>
        <v>0.35030314271259244</v>
      </c>
      <c r="K121" s="20">
        <f t="shared" si="13"/>
        <v>0.28961399919749592</v>
      </c>
      <c r="L121" s="20">
        <f t="shared" si="14"/>
        <v>6.0211681117555836E-2</v>
      </c>
      <c r="M121" s="21"/>
      <c r="N121" s="20">
        <f t="shared" si="15"/>
        <v>1.2594023061357207</v>
      </c>
      <c r="O121" s="22">
        <v>302931</v>
      </c>
      <c r="P121" s="23">
        <v>381512</v>
      </c>
      <c r="Q121" s="23">
        <v>315416</v>
      </c>
      <c r="R121" s="23">
        <v>65576</v>
      </c>
      <c r="S121" s="24"/>
      <c r="T121" s="25">
        <v>63.209299999999999</v>
      </c>
      <c r="U121" s="25">
        <v>68.517200000000003</v>
      </c>
      <c r="V121" s="25">
        <v>29.878599999999999</v>
      </c>
      <c r="W121" s="25">
        <v>44.944699999999997</v>
      </c>
      <c r="X121" s="25">
        <v>45.561900000000001</v>
      </c>
      <c r="Y121" s="26"/>
      <c r="Z121" s="27"/>
      <c r="AA121" s="27"/>
      <c r="AC121" s="19" t="str">
        <f t="shared" si="16"/>
        <v>·</v>
      </c>
      <c r="AD121" s="20">
        <f t="shared" si="17"/>
        <v>0.32625372902723465</v>
      </c>
      <c r="AE121" s="20">
        <f t="shared" si="18"/>
        <v>0.28961399919749592</v>
      </c>
      <c r="AF121" s="20">
        <f t="shared" si="19"/>
        <v>3.6169613007544822E-2</v>
      </c>
      <c r="AG121" s="21"/>
      <c r="AH121" s="20">
        <f t="shared" si="20"/>
        <v>1.172940372560088</v>
      </c>
      <c r="AI121" s="22">
        <v>302931</v>
      </c>
      <c r="AJ121" s="23">
        <v>355320</v>
      </c>
      <c r="AK121" s="23">
        <v>315416</v>
      </c>
      <c r="AL121" s="23">
        <v>39392</v>
      </c>
      <c r="AM121" s="24"/>
      <c r="AN121" s="25">
        <v>63.209299999999999</v>
      </c>
      <c r="AO121" s="25">
        <v>68.517200000000003</v>
      </c>
      <c r="AP121" s="25">
        <v>28.498000000000001</v>
      </c>
      <c r="AQ121" s="25">
        <v>43.357100000000003</v>
      </c>
      <c r="AR121" s="25">
        <v>43.751600000000003</v>
      </c>
      <c r="AS121" s="26"/>
      <c r="AT121" s="27"/>
      <c r="AU121" s="27"/>
      <c r="AW121" s="28">
        <f t="shared" si="21"/>
        <v>6.094309775724327E-2</v>
      </c>
      <c r="AX121" s="28"/>
      <c r="AZ121" s="29"/>
      <c r="BA121" s="29"/>
      <c r="BB121" s="29"/>
      <c r="BC121" s="29"/>
      <c r="BD121" s="29"/>
      <c r="BE121" s="30"/>
      <c r="BG121" s="29"/>
      <c r="BH121" s="29"/>
      <c r="BI121" s="29"/>
      <c r="BJ121" s="29"/>
      <c r="BK121" s="29"/>
      <c r="BL121" s="30"/>
    </row>
    <row r="122" spans="1:64" outlineLevel="1" x14ac:dyDescent="0.15">
      <c r="A122" s="31"/>
      <c r="B122" s="31" t="s">
        <v>287</v>
      </c>
      <c r="C122" s="32" t="s">
        <v>228</v>
      </c>
      <c r="D122" s="31">
        <v>1089091</v>
      </c>
      <c r="E122" s="33">
        <v>10</v>
      </c>
      <c r="F122" s="32">
        <v>1</v>
      </c>
      <c r="G122" s="32"/>
      <c r="I122" s="34" t="str">
        <f t="shared" si="11"/>
        <v>·</v>
      </c>
      <c r="J122" s="35">
        <f t="shared" si="12"/>
        <v>0.86919458520913317</v>
      </c>
      <c r="K122" s="35">
        <f t="shared" si="13"/>
        <v>0.64720395265409414</v>
      </c>
      <c r="L122" s="35">
        <f t="shared" si="14"/>
        <v>0.22151317015749833</v>
      </c>
      <c r="M122" s="36"/>
      <c r="N122" s="35">
        <f t="shared" si="15"/>
        <v>1.4633132893292731</v>
      </c>
      <c r="O122" s="37">
        <v>646910</v>
      </c>
      <c r="P122" s="38">
        <v>946632</v>
      </c>
      <c r="Q122" s="38">
        <v>704864</v>
      </c>
      <c r="R122" s="38">
        <v>241248</v>
      </c>
      <c r="S122" s="39"/>
      <c r="T122" s="40">
        <v>67.973600000000005</v>
      </c>
      <c r="U122" s="40">
        <v>73.363299999999995</v>
      </c>
      <c r="V122" s="40">
        <v>33.673900000000003</v>
      </c>
      <c r="W122" s="40">
        <v>47.544600000000003</v>
      </c>
      <c r="X122" s="40">
        <v>48.318800000000003</v>
      </c>
      <c r="Y122" s="41"/>
      <c r="Z122" s="42"/>
      <c r="AA122" s="42"/>
      <c r="AC122" s="34" t="str">
        <f t="shared" si="16"/>
        <v>·</v>
      </c>
      <c r="AD122" s="35">
        <f t="shared" si="17"/>
        <v>0.80536153544561473</v>
      </c>
      <c r="AE122" s="35">
        <f t="shared" si="18"/>
        <v>0.64720395265409414</v>
      </c>
      <c r="AF122" s="35">
        <f t="shared" si="19"/>
        <v>0.1576874659693267</v>
      </c>
      <c r="AG122" s="36"/>
      <c r="AH122" s="35">
        <f t="shared" si="20"/>
        <v>1.3558485724443894</v>
      </c>
      <c r="AI122" s="37">
        <v>646910</v>
      </c>
      <c r="AJ122" s="38">
        <v>877112</v>
      </c>
      <c r="AK122" s="38">
        <v>704864</v>
      </c>
      <c r="AL122" s="38">
        <v>171736</v>
      </c>
      <c r="AM122" s="39"/>
      <c r="AN122" s="40">
        <v>67.973600000000005</v>
      </c>
      <c r="AO122" s="40">
        <v>73.363299999999995</v>
      </c>
      <c r="AP122" s="40">
        <v>32.4696</v>
      </c>
      <c r="AQ122" s="40">
        <v>45.809399999999997</v>
      </c>
      <c r="AR122" s="40">
        <v>46.475700000000003</v>
      </c>
      <c r="AS122" s="41"/>
      <c r="AT122" s="42"/>
      <c r="AU122" s="42"/>
      <c r="AW122" s="43">
        <f t="shared" si="21"/>
        <v>5.9017235120234934E-2</v>
      </c>
      <c r="AX122" s="43"/>
      <c r="AZ122" s="44"/>
      <c r="BA122" s="44"/>
      <c r="BB122" s="44"/>
      <c r="BC122" s="44"/>
      <c r="BD122" s="44"/>
      <c r="BE122" s="45"/>
      <c r="BG122" s="44"/>
      <c r="BH122" s="44"/>
      <c r="BI122" s="44"/>
      <c r="BJ122" s="44"/>
      <c r="BK122" s="44"/>
      <c r="BL122" s="45"/>
    </row>
    <row r="123" spans="1:64" outlineLevel="1" x14ac:dyDescent="0.15">
      <c r="A123" s="16"/>
      <c r="B123" s="16" t="s">
        <v>287</v>
      </c>
      <c r="C123" s="17" t="s">
        <v>229</v>
      </c>
      <c r="D123" s="16">
        <v>1089091</v>
      </c>
      <c r="E123" s="18">
        <v>10</v>
      </c>
      <c r="F123" s="17">
        <v>1</v>
      </c>
      <c r="G123" s="17"/>
      <c r="I123" s="19" t="str">
        <f t="shared" si="11"/>
        <v>·</v>
      </c>
      <c r="J123" s="20">
        <f t="shared" si="12"/>
        <v>1.3792052271114168</v>
      </c>
      <c r="K123" s="20">
        <f t="shared" si="13"/>
        <v>0.83916587319149638</v>
      </c>
      <c r="L123" s="20">
        <f t="shared" si="14"/>
        <v>0.53955454594703289</v>
      </c>
      <c r="M123" s="21"/>
      <c r="N123" s="20">
        <f t="shared" si="15"/>
        <v>1.7522260367854547</v>
      </c>
      <c r="O123" s="22">
        <v>857241</v>
      </c>
      <c r="P123" s="23">
        <v>1502080</v>
      </c>
      <c r="Q123" s="23">
        <v>913928</v>
      </c>
      <c r="R123" s="23">
        <v>587624</v>
      </c>
      <c r="S123" s="24"/>
      <c r="T123" s="25">
        <v>69.701300000000003</v>
      </c>
      <c r="U123" s="25">
        <v>74.813800000000001</v>
      </c>
      <c r="V123" s="25">
        <v>36.891199999999998</v>
      </c>
      <c r="W123" s="25">
        <v>49.700299999999999</v>
      </c>
      <c r="X123" s="25">
        <v>50.531799999999997</v>
      </c>
      <c r="Y123" s="26"/>
      <c r="Z123" s="27"/>
      <c r="AA123" s="27"/>
      <c r="AC123" s="19" t="str">
        <f t="shared" si="16"/>
        <v>·</v>
      </c>
      <c r="AD123" s="20">
        <f t="shared" si="17"/>
        <v>1.2624913804264291</v>
      </c>
      <c r="AE123" s="20">
        <f t="shared" si="18"/>
        <v>0.83916587319149638</v>
      </c>
      <c r="AF123" s="20">
        <f t="shared" si="19"/>
        <v>0.42284804483739191</v>
      </c>
      <c r="AG123" s="21"/>
      <c r="AH123" s="20">
        <f t="shared" si="20"/>
        <v>1.6039456815527955</v>
      </c>
      <c r="AI123" s="22">
        <v>857241</v>
      </c>
      <c r="AJ123" s="23">
        <v>1374968</v>
      </c>
      <c r="AK123" s="23">
        <v>913928</v>
      </c>
      <c r="AL123" s="23">
        <v>460520</v>
      </c>
      <c r="AM123" s="24"/>
      <c r="AN123" s="25">
        <v>69.701300000000003</v>
      </c>
      <c r="AO123" s="25">
        <v>74.813800000000001</v>
      </c>
      <c r="AP123" s="25">
        <v>36.2378</v>
      </c>
      <c r="AQ123" s="25">
        <v>47.891399999999997</v>
      </c>
      <c r="AR123" s="25">
        <v>48.6389</v>
      </c>
      <c r="AS123" s="26"/>
      <c r="AT123" s="27"/>
      <c r="AU123" s="27"/>
      <c r="AW123" s="28">
        <f t="shared" si="21"/>
        <v>5.6248750639088296E-2</v>
      </c>
      <c r="AX123" s="28"/>
      <c r="AZ123" s="29"/>
      <c r="BA123" s="29"/>
      <c r="BB123" s="29"/>
      <c r="BC123" s="29"/>
      <c r="BD123" s="29"/>
      <c r="BE123" s="30"/>
      <c r="BG123" s="29"/>
      <c r="BH123" s="29"/>
      <c r="BI123" s="29"/>
      <c r="BJ123" s="29"/>
      <c r="BK123" s="29"/>
      <c r="BL123" s="30"/>
    </row>
    <row r="124" spans="1:64" outlineLevel="1" x14ac:dyDescent="0.15">
      <c r="A124" s="31"/>
      <c r="B124" s="46" t="s">
        <v>287</v>
      </c>
      <c r="C124" s="47" t="s">
        <v>230</v>
      </c>
      <c r="D124" s="46">
        <v>1089091</v>
      </c>
      <c r="E124" s="48">
        <v>10</v>
      </c>
      <c r="F124" s="47">
        <v>1</v>
      </c>
      <c r="G124" s="47"/>
      <c r="I124" s="49" t="str">
        <f t="shared" si="11"/>
        <v>·</v>
      </c>
      <c r="J124" s="50">
        <f t="shared" si="12"/>
        <v>2.0556519152210422</v>
      </c>
      <c r="K124" s="50">
        <f t="shared" si="13"/>
        <v>0.93528272660411294</v>
      </c>
      <c r="L124" s="50">
        <f t="shared" si="14"/>
        <v>1.1198843806440417</v>
      </c>
      <c r="M124" s="51"/>
      <c r="N124" s="50">
        <f t="shared" si="15"/>
        <v>2.3054138494205554</v>
      </c>
      <c r="O124" s="52">
        <v>971102</v>
      </c>
      <c r="P124" s="53">
        <v>2238792</v>
      </c>
      <c r="Q124" s="53">
        <v>1018608</v>
      </c>
      <c r="R124" s="53">
        <v>1219656</v>
      </c>
      <c r="S124" s="54"/>
      <c r="T124" s="55">
        <v>70.424899999999994</v>
      </c>
      <c r="U124" s="55">
        <v>75.375500000000002</v>
      </c>
      <c r="V124" s="55">
        <v>40.261499999999998</v>
      </c>
      <c r="W124" s="55">
        <v>51.451599999999999</v>
      </c>
      <c r="X124" s="55">
        <v>52.277099999999997</v>
      </c>
      <c r="Y124" s="56"/>
      <c r="Z124" s="57"/>
      <c r="AA124" s="57"/>
      <c r="AC124" s="49" t="str">
        <f t="shared" si="16"/>
        <v>·</v>
      </c>
      <c r="AD124" s="50">
        <f t="shared" si="17"/>
        <v>1.8028759763876481</v>
      </c>
      <c r="AE124" s="50">
        <f t="shared" si="18"/>
        <v>0.93528272660411294</v>
      </c>
      <c r="AF124" s="50">
        <f t="shared" si="19"/>
        <v>0.86711578738599437</v>
      </c>
      <c r="AG124" s="51"/>
      <c r="AH124" s="50">
        <f t="shared" si="20"/>
        <v>2.0219256061670143</v>
      </c>
      <c r="AI124" s="52">
        <v>971102</v>
      </c>
      <c r="AJ124" s="53">
        <v>1963496</v>
      </c>
      <c r="AK124" s="53">
        <v>1018608</v>
      </c>
      <c r="AL124" s="53">
        <v>944368</v>
      </c>
      <c r="AM124" s="54"/>
      <c r="AN124" s="55">
        <v>70.424899999999994</v>
      </c>
      <c r="AO124" s="55">
        <v>75.375500000000002</v>
      </c>
      <c r="AP124" s="55">
        <v>39.613100000000003</v>
      </c>
      <c r="AQ124" s="55">
        <v>49.780900000000003</v>
      </c>
      <c r="AR124" s="55">
        <v>50.489899999999999</v>
      </c>
      <c r="AS124" s="56"/>
      <c r="AT124" s="57"/>
      <c r="AU124" s="57"/>
      <c r="AW124" s="58">
        <f t="shared" si="21"/>
        <v>6.3791559110352114E-2</v>
      </c>
      <c r="AX124" s="58"/>
      <c r="AZ124" s="59"/>
      <c r="BA124" s="59"/>
      <c r="BB124" s="59"/>
      <c r="BC124" s="59"/>
      <c r="BD124" s="59"/>
      <c r="BE124" s="60"/>
      <c r="BG124" s="59"/>
      <c r="BH124" s="59"/>
      <c r="BI124" s="59"/>
      <c r="BJ124" s="59"/>
      <c r="BK124" s="59"/>
      <c r="BL124" s="60"/>
    </row>
    <row r="125" spans="1:64" collapsed="1" x14ac:dyDescent="0.15">
      <c r="A125" s="16"/>
      <c r="B125" s="16" t="s">
        <v>290</v>
      </c>
      <c r="C125" s="17" t="s">
        <v>225</v>
      </c>
      <c r="D125" s="16">
        <v>3130215</v>
      </c>
      <c r="E125" s="18">
        <v>12</v>
      </c>
      <c r="F125" s="17">
        <v>1</v>
      </c>
      <c r="G125" s="17"/>
      <c r="I125" s="19" t="str">
        <f t="shared" si="11"/>
        <v>·</v>
      </c>
      <c r="J125" s="20">
        <f t="shared" si="12"/>
        <v>2.6068496892385985E-3</v>
      </c>
      <c r="K125" s="20">
        <f t="shared" si="13"/>
        <v>2.2643812006523513E-3</v>
      </c>
      <c r="L125" s="20">
        <f t="shared" si="14"/>
        <v>1.7890144926147245E-4</v>
      </c>
      <c r="M125" s="21"/>
      <c r="N125" s="20">
        <f t="shared" si="15"/>
        <v>1.7985452942472999</v>
      </c>
      <c r="O125" s="22">
        <v>4537</v>
      </c>
      <c r="P125" s="23">
        <v>8160</v>
      </c>
      <c r="Q125" s="23">
        <v>7088</v>
      </c>
      <c r="R125" s="23">
        <v>560</v>
      </c>
      <c r="S125" s="24"/>
      <c r="T125" s="25">
        <v>52.946800000000003</v>
      </c>
      <c r="U125" s="25">
        <v>55.089199999999998</v>
      </c>
      <c r="V125" s="25">
        <v>21.516999999999999</v>
      </c>
      <c r="W125" s="25">
        <v>26.88</v>
      </c>
      <c r="X125" s="25">
        <v>26.934000000000001</v>
      </c>
      <c r="Y125" s="26"/>
      <c r="Z125" s="27"/>
      <c r="AA125" s="27"/>
      <c r="AC125" s="19" t="str">
        <f t="shared" si="16"/>
        <v>·</v>
      </c>
      <c r="AD125" s="20">
        <f t="shared" si="17"/>
        <v>2.5097317596395135E-3</v>
      </c>
      <c r="AE125" s="20">
        <f t="shared" si="18"/>
        <v>2.2643812006523513E-3</v>
      </c>
      <c r="AF125" s="20">
        <f t="shared" si="19"/>
        <v>8.4339254651837018E-5</v>
      </c>
      <c r="AG125" s="21"/>
      <c r="AH125" s="20">
        <f t="shared" si="20"/>
        <v>1.731540665638087</v>
      </c>
      <c r="AI125" s="22">
        <v>4537</v>
      </c>
      <c r="AJ125" s="23">
        <v>7856</v>
      </c>
      <c r="AK125" s="23">
        <v>7088</v>
      </c>
      <c r="AL125" s="23">
        <v>264</v>
      </c>
      <c r="AM125" s="24"/>
      <c r="AN125" s="25">
        <v>52.946800000000003</v>
      </c>
      <c r="AO125" s="25">
        <v>55.089199999999998</v>
      </c>
      <c r="AP125" s="25">
        <v>20.610499999999998</v>
      </c>
      <c r="AQ125" s="25">
        <v>26.096800000000002</v>
      </c>
      <c r="AR125" s="25">
        <v>25.7652</v>
      </c>
      <c r="AS125" s="26"/>
      <c r="AT125" s="27"/>
      <c r="AU125" s="27"/>
      <c r="AW125" s="28">
        <f t="shared" si="21"/>
        <v>3.3612874885188271E-2</v>
      </c>
      <c r="AX125" s="28">
        <f t="array" ref="AX125">AVERAGE(AK125:AK130/AJ125:AJ130) - AVERAGE(Q125:Q130/P125:P130)</f>
        <v>6.0190367870051276E-2</v>
      </c>
      <c r="AZ125" s="29">
        <f>IF( OR(ISBLANK(Q125:Q130),ISBLANK(AK125:AK130), ISBLANK(T125:T130),ISBLANK(AN125:AN130)), "·", bdRateExtend( Q125:Q130,T125:T130, AK125:AK130,AN125:AN130))</f>
        <v>0</v>
      </c>
      <c r="BA125" s="29">
        <f>IF( OR(ISBLANK(Q125:Q130),ISBLANK(AK125:AK130), ISBLANK(U125:U130),ISBLANK(AO125:AO130)), "·", bdRateExtend( Q125:Q130,U125:U130, AK125:AK130,AO125:AO130))</f>
        <v>0</v>
      </c>
      <c r="BB125" s="29">
        <f>IF( OR(ISBLANK(R125:R130),ISBLANK(AL125:AL130), ISBLANK(V125:V130),ISBLANK(AP125:AP130)), "·", bdRateExtend( R125:R130,V125:V130, AL125:AL130,AP125:AP130))</f>
        <v>-0.11592055080847696</v>
      </c>
      <c r="BC125" s="29">
        <f>IF( OR(ISBLANK(R125:R130),ISBLANK(AL125:AL130), ISBLANK(W125:W130),ISBLANK(AQ125:AQ130)), "·", bdRateExtend( R125:R130,W125:W130, AL125:AL130,AQ125:AQ130))</f>
        <v>0.10546857423860501</v>
      </c>
      <c r="BD125" s="29">
        <f>IF( OR(ISBLANK(R125:R130),ISBLANK(AL125:AL130), ISBLANK(X125:X130),ISBLANK(AR125:AR130)), "·", bdRateExtend( R125:R130,X125:X130, AL125:AL130,AR125:AR130))</f>
        <v>0.25830202375454347</v>
      </c>
      <c r="BE125" s="30"/>
      <c r="BG125" s="29">
        <f>IF( OR(ISBLANK(P125:P130),ISBLANK(AJ125:AJ130), ISBLANK(T125:T130),ISBLANK(AN125:AN130)), "·", bdRateExtend( P125:P130,T125:T130, AJ125:AJ130,AN125:AN130))</f>
        <v>-8.9532554152344734E-2</v>
      </c>
      <c r="BH125" s="29">
        <f>IF( OR(ISBLANK(P125:P130),ISBLANK(AJ125:AJ130), ISBLANK(U125:U130),ISBLANK(AO125:AO130)), "·", bdRateExtend( P125:P130,U125:U130, AJ125:AJ130,AO125:AO130))</f>
        <v>-9.0760557622220794E-2</v>
      </c>
      <c r="BI125" s="29">
        <f>IF( OR(ISBLANK(P125:P130),ISBLANK(AJ125:AJ130), ISBLANK(V125:V130),ISBLANK(AP125:AP130)), "·", bdRateExtend( P125:P130,V125:V130, AJ125:AJ130,AP125:AP130))</f>
        <v>6.4630342774556704E-2</v>
      </c>
      <c r="BJ125" s="29">
        <f>IF( OR(ISBLANK(P125:P130),ISBLANK(AJ125:AJ130), ISBLANK(W125:W130),ISBLANK(AQ125:AQ130)), "·", bdRateExtend( P125:P130,W125:W130, AJ125:AJ130,AQ125:AQ130))</f>
        <v>0.31091248595479848</v>
      </c>
      <c r="BK125" s="29">
        <f>IF( OR(ISBLANK(P125:P130),ISBLANK(AJ125:AJ130), ISBLANK(X125:X130),ISBLANK(AR125:AR130)), "·", bdRateExtend( P125:P130,X125:X130, AJ125:AJ130,AR125:AR130))</f>
        <v>0.44986704183325621</v>
      </c>
      <c r="BL125" s="30"/>
    </row>
    <row r="126" spans="1:64" outlineLevel="1" x14ac:dyDescent="0.15">
      <c r="A126" s="31"/>
      <c r="B126" s="31" t="s">
        <v>290</v>
      </c>
      <c r="C126" s="32" t="s">
        <v>226</v>
      </c>
      <c r="D126" s="31">
        <v>3130215</v>
      </c>
      <c r="E126" s="33">
        <v>12</v>
      </c>
      <c r="F126" s="32">
        <v>1</v>
      </c>
      <c r="G126" s="32"/>
      <c r="I126" s="34" t="str">
        <f t="shared" si="11"/>
        <v>·</v>
      </c>
      <c r="J126" s="35">
        <f t="shared" si="12"/>
        <v>8.6971661690970117E-3</v>
      </c>
      <c r="K126" s="35">
        <f t="shared" si="13"/>
        <v>7.5343067488974399E-3</v>
      </c>
      <c r="L126" s="35">
        <f t="shared" si="14"/>
        <v>9.9673664588534653E-4</v>
      </c>
      <c r="M126" s="36"/>
      <c r="N126" s="35">
        <f t="shared" si="15"/>
        <v>1.4847294938917976</v>
      </c>
      <c r="O126" s="37">
        <v>18336</v>
      </c>
      <c r="P126" s="38">
        <v>27224</v>
      </c>
      <c r="Q126" s="38">
        <v>23584</v>
      </c>
      <c r="R126" s="38">
        <v>3120</v>
      </c>
      <c r="S126" s="39"/>
      <c r="T126" s="40">
        <v>58.908099999999997</v>
      </c>
      <c r="U126" s="40">
        <v>61.201700000000002</v>
      </c>
      <c r="V126" s="40">
        <v>23.260300000000001</v>
      </c>
      <c r="W126" s="40">
        <v>29.995999999999999</v>
      </c>
      <c r="X126" s="40">
        <v>30.112500000000001</v>
      </c>
      <c r="Y126" s="41"/>
      <c r="Z126" s="42"/>
      <c r="AA126" s="42"/>
      <c r="AC126" s="34" t="str">
        <f t="shared" si="16"/>
        <v>·</v>
      </c>
      <c r="AD126" s="35">
        <f t="shared" si="17"/>
        <v>8.2243551960488343E-3</v>
      </c>
      <c r="AE126" s="35">
        <f t="shared" si="18"/>
        <v>7.5343067488974399E-3</v>
      </c>
      <c r="AF126" s="35">
        <f t="shared" si="19"/>
        <v>5.2648140782661891E-4</v>
      </c>
      <c r="AG126" s="36"/>
      <c r="AH126" s="35">
        <f t="shared" si="20"/>
        <v>1.4040139616055847</v>
      </c>
      <c r="AI126" s="37">
        <v>18336</v>
      </c>
      <c r="AJ126" s="38">
        <v>25744</v>
      </c>
      <c r="AK126" s="38">
        <v>23584</v>
      </c>
      <c r="AL126" s="38">
        <v>1648</v>
      </c>
      <c r="AM126" s="39"/>
      <c r="AN126" s="40">
        <v>58.908099999999997</v>
      </c>
      <c r="AO126" s="40">
        <v>61.201700000000002</v>
      </c>
      <c r="AP126" s="40">
        <v>22.7622</v>
      </c>
      <c r="AQ126" s="40">
        <v>29.2074</v>
      </c>
      <c r="AR126" s="40">
        <v>29.065799999999999</v>
      </c>
      <c r="AS126" s="41"/>
      <c r="AT126" s="42"/>
      <c r="AU126" s="42"/>
      <c r="AW126" s="43">
        <f t="shared" si="21"/>
        <v>4.980250855321422E-2</v>
      </c>
      <c r="AX126" s="43"/>
      <c r="AZ126" s="44"/>
      <c r="BA126" s="44"/>
      <c r="BB126" s="44"/>
      <c r="BC126" s="44"/>
      <c r="BD126" s="44"/>
      <c r="BE126" s="45"/>
      <c r="BG126" s="44"/>
      <c r="BH126" s="44"/>
      <c r="BI126" s="44"/>
      <c r="BJ126" s="44"/>
      <c r="BK126" s="44"/>
      <c r="BL126" s="45"/>
    </row>
    <row r="127" spans="1:64" outlineLevel="1" x14ac:dyDescent="0.15">
      <c r="A127" s="16"/>
      <c r="B127" s="16" t="s">
        <v>290</v>
      </c>
      <c r="C127" s="17" t="s">
        <v>227</v>
      </c>
      <c r="D127" s="16">
        <v>3130215</v>
      </c>
      <c r="E127" s="18">
        <v>12</v>
      </c>
      <c r="F127" s="17">
        <v>1</v>
      </c>
      <c r="G127" s="17"/>
      <c r="I127" s="19" t="str">
        <f t="shared" si="11"/>
        <v>·</v>
      </c>
      <c r="J127" s="20">
        <f t="shared" si="12"/>
        <v>3.4469197802706845E-2</v>
      </c>
      <c r="K127" s="20">
        <f t="shared" si="13"/>
        <v>2.5580351509401113E-2</v>
      </c>
      <c r="L127" s="20">
        <f t="shared" si="14"/>
        <v>8.7201677840020569E-3</v>
      </c>
      <c r="M127" s="21"/>
      <c r="N127" s="20">
        <f t="shared" si="15"/>
        <v>1.4833512056971596</v>
      </c>
      <c r="O127" s="22">
        <v>72738</v>
      </c>
      <c r="P127" s="23">
        <v>107896</v>
      </c>
      <c r="Q127" s="23">
        <v>80072</v>
      </c>
      <c r="R127" s="23">
        <v>27296</v>
      </c>
      <c r="S127" s="24"/>
      <c r="T127" s="25">
        <v>64.837800000000001</v>
      </c>
      <c r="U127" s="25">
        <v>67.600099999999998</v>
      </c>
      <c r="V127" s="25">
        <v>25.158899999999999</v>
      </c>
      <c r="W127" s="25">
        <v>32.933100000000003</v>
      </c>
      <c r="X127" s="25">
        <v>33.350900000000003</v>
      </c>
      <c r="Y127" s="26"/>
      <c r="Z127" s="27"/>
      <c r="AA127" s="27"/>
      <c r="AC127" s="19" t="str">
        <f t="shared" si="16"/>
        <v>·</v>
      </c>
      <c r="AD127" s="20">
        <f t="shared" si="17"/>
        <v>3.0727601778152619E-2</v>
      </c>
      <c r="AE127" s="20">
        <f t="shared" si="18"/>
        <v>2.5580351509401113E-2</v>
      </c>
      <c r="AF127" s="20">
        <f t="shared" si="19"/>
        <v>4.9811274944372829E-3</v>
      </c>
      <c r="AG127" s="21"/>
      <c r="AH127" s="20">
        <f t="shared" si="20"/>
        <v>1.3223349555940498</v>
      </c>
      <c r="AI127" s="22">
        <v>72738</v>
      </c>
      <c r="AJ127" s="23">
        <v>96184</v>
      </c>
      <c r="AK127" s="23">
        <v>80072</v>
      </c>
      <c r="AL127" s="23">
        <v>15592</v>
      </c>
      <c r="AM127" s="24"/>
      <c r="AN127" s="25">
        <v>64.837800000000001</v>
      </c>
      <c r="AO127" s="25">
        <v>67.600099999999998</v>
      </c>
      <c r="AP127" s="25">
        <v>24.7075</v>
      </c>
      <c r="AQ127" s="25">
        <v>31.947700000000001</v>
      </c>
      <c r="AR127" s="25">
        <v>32.140099999999997</v>
      </c>
      <c r="AS127" s="26"/>
      <c r="AT127" s="27"/>
      <c r="AU127" s="27"/>
      <c r="AW127" s="28">
        <f t="shared" si="21"/>
        <v>9.0365688398045374E-2</v>
      </c>
      <c r="AX127" s="28"/>
      <c r="AZ127" s="29"/>
      <c r="BA127" s="29"/>
      <c r="BB127" s="29"/>
      <c r="BC127" s="29"/>
      <c r="BD127" s="29"/>
      <c r="BE127" s="30"/>
      <c r="BG127" s="29"/>
      <c r="BH127" s="29"/>
      <c r="BI127" s="29"/>
      <c r="BJ127" s="29"/>
      <c r="BK127" s="29"/>
      <c r="BL127" s="30"/>
    </row>
    <row r="128" spans="1:64" outlineLevel="1" x14ac:dyDescent="0.15">
      <c r="A128" s="31"/>
      <c r="B128" s="31" t="s">
        <v>290</v>
      </c>
      <c r="C128" s="32" t="s">
        <v>228</v>
      </c>
      <c r="D128" s="31">
        <v>3130215</v>
      </c>
      <c r="E128" s="33">
        <v>12</v>
      </c>
      <c r="F128" s="32">
        <v>1</v>
      </c>
      <c r="G128" s="32"/>
      <c r="I128" s="34" t="str">
        <f t="shared" si="11"/>
        <v>·</v>
      </c>
      <c r="J128" s="35">
        <f t="shared" si="12"/>
        <v>0.15910217029820636</v>
      </c>
      <c r="K128" s="35">
        <f t="shared" si="13"/>
        <v>8.8446320779882528E-2</v>
      </c>
      <c r="L128" s="35">
        <f t="shared" si="14"/>
        <v>7.0484615274030701E-2</v>
      </c>
      <c r="M128" s="36"/>
      <c r="N128" s="35">
        <f t="shared" si="15"/>
        <v>1.7869985970225302</v>
      </c>
      <c r="O128" s="37">
        <v>278693</v>
      </c>
      <c r="P128" s="38">
        <v>498024</v>
      </c>
      <c r="Q128" s="38">
        <v>276856</v>
      </c>
      <c r="R128" s="38">
        <v>220632</v>
      </c>
      <c r="S128" s="39"/>
      <c r="T128" s="40">
        <v>70.486900000000006</v>
      </c>
      <c r="U128" s="40">
        <v>74.149500000000003</v>
      </c>
      <c r="V128" s="40">
        <v>29.178599999999999</v>
      </c>
      <c r="W128" s="40">
        <v>37.177100000000003</v>
      </c>
      <c r="X128" s="40">
        <v>37.752400000000002</v>
      </c>
      <c r="Y128" s="41"/>
      <c r="Z128" s="42"/>
      <c r="AA128" s="42"/>
      <c r="AC128" s="34" t="str">
        <f t="shared" si="16"/>
        <v>·</v>
      </c>
      <c r="AD128" s="35">
        <f t="shared" si="17"/>
        <v>0.1412120253720591</v>
      </c>
      <c r="AE128" s="35">
        <f t="shared" si="18"/>
        <v>8.8446320779882528E-2</v>
      </c>
      <c r="AF128" s="35">
        <f t="shared" si="19"/>
        <v>5.2597026082872901E-2</v>
      </c>
      <c r="AG128" s="36"/>
      <c r="AH128" s="35">
        <f t="shared" si="20"/>
        <v>1.5860606473790155</v>
      </c>
      <c r="AI128" s="37">
        <v>278693</v>
      </c>
      <c r="AJ128" s="38">
        <v>442024</v>
      </c>
      <c r="AK128" s="38">
        <v>276856</v>
      </c>
      <c r="AL128" s="38">
        <v>164640</v>
      </c>
      <c r="AM128" s="39"/>
      <c r="AN128" s="40">
        <v>70.486900000000006</v>
      </c>
      <c r="AO128" s="40">
        <v>74.149500000000003</v>
      </c>
      <c r="AP128" s="40">
        <v>28.713200000000001</v>
      </c>
      <c r="AQ128" s="40">
        <v>35.841099999999997</v>
      </c>
      <c r="AR128" s="40">
        <v>36.018999999999998</v>
      </c>
      <c r="AS128" s="41"/>
      <c r="AT128" s="42"/>
      <c r="AU128" s="42"/>
      <c r="AW128" s="43">
        <f t="shared" si="21"/>
        <v>7.0428079294392654E-2</v>
      </c>
      <c r="AX128" s="43"/>
      <c r="AZ128" s="44"/>
      <c r="BA128" s="44"/>
      <c r="BB128" s="44"/>
      <c r="BC128" s="44"/>
      <c r="BD128" s="44"/>
      <c r="BE128" s="45"/>
      <c r="BG128" s="44"/>
      <c r="BH128" s="44"/>
      <c r="BI128" s="44"/>
      <c r="BJ128" s="44"/>
      <c r="BK128" s="44"/>
      <c r="BL128" s="45"/>
    </row>
    <row r="129" spans="1:64" outlineLevel="1" x14ac:dyDescent="0.15">
      <c r="A129" s="16"/>
      <c r="B129" s="16" t="s">
        <v>290</v>
      </c>
      <c r="C129" s="17" t="s">
        <v>229</v>
      </c>
      <c r="D129" s="16">
        <v>3130215</v>
      </c>
      <c r="E129" s="18">
        <v>12</v>
      </c>
      <c r="F129" s="17">
        <v>1</v>
      </c>
      <c r="G129" s="17"/>
      <c r="I129" s="19" t="str">
        <f t="shared" si="11"/>
        <v>·</v>
      </c>
      <c r="J129" s="20">
        <f t="shared" si="12"/>
        <v>0.66709794694613633</v>
      </c>
      <c r="K129" s="20">
        <f t="shared" si="13"/>
        <v>0.31598085115559155</v>
      </c>
      <c r="L129" s="20">
        <f t="shared" si="14"/>
        <v>0.35094586154625163</v>
      </c>
      <c r="M129" s="21"/>
      <c r="N129" s="20">
        <f t="shared" si="15"/>
        <v>2.0721608461072063</v>
      </c>
      <c r="O129" s="22">
        <v>1007721</v>
      </c>
      <c r="P129" s="23">
        <v>2088160</v>
      </c>
      <c r="Q129" s="23">
        <v>989088</v>
      </c>
      <c r="R129" s="23">
        <v>1098536</v>
      </c>
      <c r="S129" s="24"/>
      <c r="T129" s="25">
        <v>75.255300000000005</v>
      </c>
      <c r="U129" s="25">
        <v>80.040800000000004</v>
      </c>
      <c r="V129" s="25">
        <v>34.854199999999999</v>
      </c>
      <c r="W129" s="25">
        <v>43.248100000000001</v>
      </c>
      <c r="X129" s="25">
        <v>43.762799999999999</v>
      </c>
      <c r="Y129" s="26"/>
      <c r="Z129" s="27"/>
      <c r="AA129" s="27"/>
      <c r="AC129" s="19" t="str">
        <f t="shared" si="16"/>
        <v>·</v>
      </c>
      <c r="AD129" s="20">
        <f t="shared" si="17"/>
        <v>0.60056194223080528</v>
      </c>
      <c r="AE129" s="20">
        <f t="shared" si="18"/>
        <v>0.31598085115559155</v>
      </c>
      <c r="AF129" s="20">
        <f t="shared" si="19"/>
        <v>0.28441241256590999</v>
      </c>
      <c r="AG129" s="21"/>
      <c r="AH129" s="20">
        <f t="shared" si="20"/>
        <v>1.8654845934539421</v>
      </c>
      <c r="AI129" s="22">
        <v>1007721</v>
      </c>
      <c r="AJ129" s="23">
        <v>1879888</v>
      </c>
      <c r="AK129" s="23">
        <v>989088</v>
      </c>
      <c r="AL129" s="23">
        <v>890272</v>
      </c>
      <c r="AM129" s="24"/>
      <c r="AN129" s="25">
        <v>75.255300000000005</v>
      </c>
      <c r="AO129" s="25">
        <v>80.040800000000004</v>
      </c>
      <c r="AP129" s="25">
        <v>34.487699999999997</v>
      </c>
      <c r="AQ129" s="25">
        <v>41.755000000000003</v>
      </c>
      <c r="AR129" s="25">
        <v>41.822499999999998</v>
      </c>
      <c r="AS129" s="26"/>
      <c r="AT129" s="27"/>
      <c r="AU129" s="27"/>
      <c r="AW129" s="28">
        <f t="shared" si="21"/>
        <v>5.2477129658693666E-2</v>
      </c>
      <c r="AX129" s="28"/>
      <c r="AZ129" s="29"/>
      <c r="BA129" s="29"/>
      <c r="BB129" s="29"/>
      <c r="BC129" s="29"/>
      <c r="BD129" s="29"/>
      <c r="BE129" s="30"/>
      <c r="BG129" s="29"/>
      <c r="BH129" s="29"/>
      <c r="BI129" s="29"/>
      <c r="BJ129" s="29"/>
      <c r="BK129" s="29"/>
      <c r="BL129" s="30"/>
    </row>
    <row r="130" spans="1:64" outlineLevel="1" x14ac:dyDescent="0.15">
      <c r="A130" s="31"/>
      <c r="B130" s="46" t="s">
        <v>290</v>
      </c>
      <c r="C130" s="47" t="s">
        <v>230</v>
      </c>
      <c r="D130" s="46">
        <v>3130215</v>
      </c>
      <c r="E130" s="48">
        <v>12</v>
      </c>
      <c r="F130" s="47">
        <v>1</v>
      </c>
      <c r="G130" s="47"/>
      <c r="I130" s="49" t="str">
        <f t="shared" si="11"/>
        <v>·</v>
      </c>
      <c r="J130" s="50">
        <f t="shared" si="12"/>
        <v>1.7331282356004301</v>
      </c>
      <c r="K130" s="50">
        <f t="shared" si="13"/>
        <v>0.74687265890681631</v>
      </c>
      <c r="L130" s="50">
        <f t="shared" si="14"/>
        <v>0.9860562293644366</v>
      </c>
      <c r="M130" s="51"/>
      <c r="N130" s="50">
        <f t="shared" si="15"/>
        <v>2.6939799073679107</v>
      </c>
      <c r="O130" s="52">
        <v>2013773</v>
      </c>
      <c r="P130" s="53">
        <v>5425064</v>
      </c>
      <c r="Q130" s="53">
        <v>2337872</v>
      </c>
      <c r="R130" s="53">
        <v>3086568</v>
      </c>
      <c r="S130" s="54"/>
      <c r="T130" s="55">
        <v>80.029300000000006</v>
      </c>
      <c r="U130" s="55">
        <v>85.078800000000001</v>
      </c>
      <c r="V130" s="55">
        <v>38.747999999999998</v>
      </c>
      <c r="W130" s="55">
        <v>46.817999999999998</v>
      </c>
      <c r="X130" s="55">
        <v>47.148099999999999</v>
      </c>
      <c r="Y130" s="56"/>
      <c r="Z130" s="57"/>
      <c r="AA130" s="57"/>
      <c r="AC130" s="49" t="str">
        <f t="shared" si="16"/>
        <v>·</v>
      </c>
      <c r="AD130" s="50">
        <f t="shared" si="17"/>
        <v>1.5076306260113124</v>
      </c>
      <c r="AE130" s="50">
        <f t="shared" si="18"/>
        <v>0.74687265890681631</v>
      </c>
      <c r="AF130" s="50">
        <f t="shared" si="19"/>
        <v>0.76056117551030844</v>
      </c>
      <c r="AG130" s="51"/>
      <c r="AH130" s="50">
        <f t="shared" si="20"/>
        <v>2.3434657232965184</v>
      </c>
      <c r="AI130" s="52">
        <v>2013773</v>
      </c>
      <c r="AJ130" s="53">
        <v>4719208</v>
      </c>
      <c r="AK130" s="53">
        <v>2337872</v>
      </c>
      <c r="AL130" s="53">
        <v>2380720</v>
      </c>
      <c r="AM130" s="54"/>
      <c r="AN130" s="55">
        <v>80.029300000000006</v>
      </c>
      <c r="AO130" s="55">
        <v>85.078800000000001</v>
      </c>
      <c r="AP130" s="55">
        <v>38.342399999999998</v>
      </c>
      <c r="AQ130" s="55">
        <v>45.6205</v>
      </c>
      <c r="AR130" s="55">
        <v>45.716200000000001</v>
      </c>
      <c r="AS130" s="56"/>
      <c r="AT130" s="57"/>
      <c r="AU130" s="57"/>
      <c r="AW130" s="58">
        <f t="shared" si="21"/>
        <v>6.445592643077358E-2</v>
      </c>
      <c r="AX130" s="58"/>
      <c r="AZ130" s="59"/>
      <c r="BA130" s="59"/>
      <c r="BB130" s="59"/>
      <c r="BC130" s="59"/>
      <c r="BD130" s="59"/>
      <c r="BE130" s="60"/>
      <c r="BG130" s="59"/>
      <c r="BH130" s="59"/>
      <c r="BI130" s="59"/>
      <c r="BJ130" s="59"/>
      <c r="BK130" s="59"/>
      <c r="BL130" s="60"/>
    </row>
    <row r="131" spans="1:64" collapsed="1" x14ac:dyDescent="0.15">
      <c r="A131" s="16"/>
      <c r="B131" s="16" t="s">
        <v>293</v>
      </c>
      <c r="C131" s="17" t="s">
        <v>225</v>
      </c>
      <c r="D131" s="16">
        <v>1995189</v>
      </c>
      <c r="E131" s="18">
        <v>13</v>
      </c>
      <c r="F131" s="17">
        <v>1</v>
      </c>
      <c r="G131" s="17"/>
      <c r="I131" s="19" t="str">
        <f t="shared" si="11"/>
        <v>·</v>
      </c>
      <c r="J131" s="20">
        <f t="shared" si="12"/>
        <v>2.543718915852082E-2</v>
      </c>
      <c r="K131" s="20">
        <f t="shared" si="13"/>
        <v>1.9230258386548842E-2</v>
      </c>
      <c r="L131" s="20">
        <f t="shared" si="14"/>
        <v>5.9583327694769771E-3</v>
      </c>
      <c r="M131" s="21"/>
      <c r="N131" s="20">
        <f t="shared" si="15"/>
        <v>0.8494769436772952</v>
      </c>
      <c r="O131" s="22">
        <v>59745</v>
      </c>
      <c r="P131" s="23">
        <v>50752</v>
      </c>
      <c r="Q131" s="23">
        <v>38368</v>
      </c>
      <c r="R131" s="23">
        <v>11888</v>
      </c>
      <c r="S131" s="24"/>
      <c r="T131" s="25">
        <v>53.705800000000004</v>
      </c>
      <c r="U131" s="25">
        <v>58.3369</v>
      </c>
      <c r="V131" s="25">
        <v>18.613499999999998</v>
      </c>
      <c r="W131" s="25">
        <v>29.941400000000002</v>
      </c>
      <c r="X131" s="25">
        <v>28.945</v>
      </c>
      <c r="Y131" s="26"/>
      <c r="Z131" s="27"/>
      <c r="AA131" s="27"/>
      <c r="AC131" s="19" t="str">
        <f t="shared" si="16"/>
        <v>·</v>
      </c>
      <c r="AD131" s="20">
        <f t="shared" si="17"/>
        <v>2.2610389291440561E-2</v>
      </c>
      <c r="AE131" s="20">
        <f t="shared" si="18"/>
        <v>1.9230258386548842E-2</v>
      </c>
      <c r="AF131" s="20">
        <f t="shared" si="19"/>
        <v>3.1355425475982474E-3</v>
      </c>
      <c r="AG131" s="21"/>
      <c r="AH131" s="20">
        <f t="shared" si="20"/>
        <v>0.75507573855552768</v>
      </c>
      <c r="AI131" s="22">
        <v>59745</v>
      </c>
      <c r="AJ131" s="23">
        <v>45112</v>
      </c>
      <c r="AK131" s="23">
        <v>38368</v>
      </c>
      <c r="AL131" s="23">
        <v>6256</v>
      </c>
      <c r="AM131" s="24"/>
      <c r="AN131" s="25">
        <v>53.705800000000004</v>
      </c>
      <c r="AO131" s="25">
        <v>58.3369</v>
      </c>
      <c r="AP131" s="25">
        <v>17.770800000000001</v>
      </c>
      <c r="AQ131" s="25">
        <v>29.082899999999999</v>
      </c>
      <c r="AR131" s="25">
        <v>27.979900000000001</v>
      </c>
      <c r="AS131" s="26"/>
      <c r="AT131" s="27"/>
      <c r="AU131" s="27"/>
      <c r="AW131" s="28">
        <f t="shared" si="21"/>
        <v>9.4515497032801821E-2</v>
      </c>
      <c r="AX131" s="28">
        <f t="array" ref="AX131">AVERAGE(AK131:AK136/AJ131:AJ136) - AVERAGE(Q131:Q136/P131:P136)</f>
        <v>6.0208228026301436E-2</v>
      </c>
      <c r="AZ131" s="29">
        <f>IF( OR(ISBLANK(Q131:Q136),ISBLANK(AK131:AK136), ISBLANK(T131:T136),ISBLANK(AN131:AN136)), "·", bdRateExtend( Q131:Q136,T131:T136, AK131:AK136,AN131:AN136))</f>
        <v>0</v>
      </c>
      <c r="BA131" s="29">
        <f>IF( OR(ISBLANK(Q131:Q136),ISBLANK(AK131:AK136), ISBLANK(U131:U136),ISBLANK(AO131:AO136)), "·", bdRateExtend( Q131:Q136,U131:U136, AK131:AK136,AO131:AO136))</f>
        <v>0</v>
      </c>
      <c r="BB131" s="29">
        <f>IF( OR(ISBLANK(R131:R136),ISBLANK(AL131:AL136), ISBLANK(V131:V136),ISBLANK(AP131:AP136)), "·", bdRateExtend( R131:R136,V131:V136, AL131:AL136,AP131:AP136))</f>
        <v>-7.4861757559360087E-2</v>
      </c>
      <c r="BC131" s="29">
        <f>IF( OR(ISBLANK(R131:R136),ISBLANK(AL131:AL136), ISBLANK(W131:W136),ISBLANK(AQ131:AQ136)), "·", bdRateExtend( R131:R136,W131:W136, AL131:AL136,AQ131:AQ136))</f>
        <v>0.24090485090999958</v>
      </c>
      <c r="BD131" s="29">
        <f>IF( OR(ISBLANK(R131:R136),ISBLANK(AL131:AL136), ISBLANK(X131:X136),ISBLANK(AR131:AR136)), "·", bdRateExtend( R131:R136,X131:X136, AL131:AL136,AR131:AR136))</f>
        <v>0.19939084575466581</v>
      </c>
      <c r="BE131" s="30"/>
      <c r="BG131" s="29">
        <f>IF( OR(ISBLANK(P131:P136),ISBLANK(AJ131:AJ136), ISBLANK(T131:T136),ISBLANK(AN131:AN136)), "·", bdRateExtend( P131:P136,T131:T136, AJ131:AJ136,AN131:AN136))</f>
        <v>-7.9573893008392682E-2</v>
      </c>
      <c r="BH131" s="29">
        <f>IF( OR(ISBLANK(P131:P136),ISBLANK(AJ131:AJ136), ISBLANK(U131:U136),ISBLANK(AO131:AO136)), "·", bdRateExtend( P131:P136,U131:U136, AJ131:AJ136,AO131:AO136))</f>
        <v>-7.9413152386899832E-2</v>
      </c>
      <c r="BI131" s="29">
        <f>IF( OR(ISBLANK(P131:P136),ISBLANK(AJ131:AJ136), ISBLANK(V131:V136),ISBLANK(AP131:AP136)), "·", bdRateExtend( P131:P136,V131:V136, AJ131:AJ136,AP131:AP136))</f>
        <v>0.18717025228140849</v>
      </c>
      <c r="BJ131" s="29">
        <f>IF( OR(ISBLANK(P131:P136),ISBLANK(AJ131:AJ136), ISBLANK(W131:W136),ISBLANK(AQ131:AQ136)), "·", bdRateExtend( P131:P136,W131:W136, AJ131:AJ136,AQ131:AQ136))</f>
        <v>0.63760644138551537</v>
      </c>
      <c r="BK131" s="29">
        <f>IF( OR(ISBLANK(P131:P136),ISBLANK(AJ131:AJ136), ISBLANK(X131:X136),ISBLANK(AR131:AR136)), "·", bdRateExtend( P131:P136,X131:X136, AJ131:AJ136,AR131:AR136))</f>
        <v>0.57947781136370624</v>
      </c>
      <c r="BL131" s="30"/>
    </row>
    <row r="132" spans="1:64" outlineLevel="1" x14ac:dyDescent="0.15">
      <c r="A132" s="31"/>
      <c r="B132" s="31" t="s">
        <v>293</v>
      </c>
      <c r="C132" s="32" t="s">
        <v>226</v>
      </c>
      <c r="D132" s="31">
        <v>1995189</v>
      </c>
      <c r="E132" s="33">
        <v>13</v>
      </c>
      <c r="F132" s="32">
        <v>1</v>
      </c>
      <c r="G132" s="32"/>
      <c r="I132" s="34" t="str">
        <f t="shared" si="11"/>
        <v>·</v>
      </c>
      <c r="J132" s="35">
        <f t="shared" si="12"/>
        <v>0.11666463678378339</v>
      </c>
      <c r="K132" s="35">
        <f t="shared" si="13"/>
        <v>7.8488804819994498E-2</v>
      </c>
      <c r="L132" s="35">
        <f t="shared" si="14"/>
        <v>3.7923224316092359E-2</v>
      </c>
      <c r="M132" s="36"/>
      <c r="N132" s="35">
        <f t="shared" si="15"/>
        <v>0.973224290468784</v>
      </c>
      <c r="O132" s="37">
        <v>239172</v>
      </c>
      <c r="P132" s="38">
        <v>232768</v>
      </c>
      <c r="Q132" s="38">
        <v>156600</v>
      </c>
      <c r="R132" s="38">
        <v>75664</v>
      </c>
      <c r="S132" s="39"/>
      <c r="T132" s="40">
        <v>59.457299999999996</v>
      </c>
      <c r="U132" s="40">
        <v>63.8752</v>
      </c>
      <c r="V132" s="40">
        <v>22.070399999999999</v>
      </c>
      <c r="W132" s="40">
        <v>33.292299999999997</v>
      </c>
      <c r="X132" s="40">
        <v>31.935300000000002</v>
      </c>
      <c r="Y132" s="41"/>
      <c r="Z132" s="42"/>
      <c r="AA132" s="42"/>
      <c r="AC132" s="34" t="str">
        <f t="shared" si="16"/>
        <v>·</v>
      </c>
      <c r="AD132" s="35">
        <f t="shared" si="17"/>
        <v>0.10278324509607861</v>
      </c>
      <c r="AE132" s="35">
        <f t="shared" si="18"/>
        <v>7.8488804819994498E-2</v>
      </c>
      <c r="AF132" s="35">
        <f t="shared" si="19"/>
        <v>2.4045842273589118E-2</v>
      </c>
      <c r="AG132" s="36"/>
      <c r="AH132" s="35">
        <f t="shared" si="20"/>
        <v>0.8574247821651364</v>
      </c>
      <c r="AI132" s="37">
        <v>239172</v>
      </c>
      <c r="AJ132" s="38">
        <v>205072</v>
      </c>
      <c r="AK132" s="38">
        <v>156600</v>
      </c>
      <c r="AL132" s="38">
        <v>47976</v>
      </c>
      <c r="AM132" s="39"/>
      <c r="AN132" s="40">
        <v>59.457299999999996</v>
      </c>
      <c r="AO132" s="40">
        <v>63.8752</v>
      </c>
      <c r="AP132" s="40">
        <v>21.264600000000002</v>
      </c>
      <c r="AQ132" s="40">
        <v>31.831099999999999</v>
      </c>
      <c r="AR132" s="40">
        <v>30.711200000000002</v>
      </c>
      <c r="AS132" s="41"/>
      <c r="AT132" s="42"/>
      <c r="AU132" s="42"/>
      <c r="AW132" s="43">
        <f t="shared" si="21"/>
        <v>9.0861346036309132E-2</v>
      </c>
      <c r="AX132" s="43"/>
      <c r="AZ132" s="44"/>
      <c r="BA132" s="44"/>
      <c r="BB132" s="44"/>
      <c r="BC132" s="44"/>
      <c r="BD132" s="44"/>
      <c r="BE132" s="45"/>
      <c r="BG132" s="44"/>
      <c r="BH132" s="44"/>
      <c r="BI132" s="44"/>
      <c r="BJ132" s="44"/>
      <c r="BK132" s="44"/>
      <c r="BL132" s="45"/>
    </row>
    <row r="133" spans="1:64" outlineLevel="1" x14ac:dyDescent="0.15">
      <c r="A133" s="16"/>
      <c r="B133" s="16" t="s">
        <v>293</v>
      </c>
      <c r="C133" s="17" t="s">
        <v>227</v>
      </c>
      <c r="D133" s="16">
        <v>1995189</v>
      </c>
      <c r="E133" s="18">
        <v>13</v>
      </c>
      <c r="F133" s="17">
        <v>1</v>
      </c>
      <c r="G133" s="17"/>
      <c r="I133" s="19" t="str">
        <f t="shared" ref="I133:I196" si="22">IF(OR(ISBLANK(P133),ISBLANK(G133)),"·",P133*G133/F133/1000000)</f>
        <v>·</v>
      </c>
      <c r="J133" s="20">
        <f t="shared" ref="J133:J196" si="23">IF(ISBLANK(P133),"·",P133/D133)</f>
        <v>0.69506397639521866</v>
      </c>
      <c r="K133" s="20">
        <f t="shared" ref="K133:K196" si="24">IF(Q133="","·",Q133/D133)</f>
        <v>0.46642999735864621</v>
      </c>
      <c r="L133" s="20">
        <f t="shared" ref="L133:L196" si="25">IF(ISBLANK(R133),"·",R133/D133)</f>
        <v>0.22838137138887593</v>
      </c>
      <c r="M133" s="21"/>
      <c r="N133" s="20">
        <f t="shared" ref="N133:N196" si="26">IF(ISBLANK(P133),"·",P133/O133)</f>
        <v>1.6735037186048505</v>
      </c>
      <c r="O133" s="22">
        <v>828671</v>
      </c>
      <c r="P133" s="23">
        <v>1386784</v>
      </c>
      <c r="Q133" s="23">
        <v>930616</v>
      </c>
      <c r="R133" s="23">
        <v>455664</v>
      </c>
      <c r="S133" s="24"/>
      <c r="T133" s="25">
        <v>65.432100000000005</v>
      </c>
      <c r="U133" s="25">
        <v>70.6006</v>
      </c>
      <c r="V133" s="25">
        <v>26.541499999999999</v>
      </c>
      <c r="W133" s="25">
        <v>37.602899999999998</v>
      </c>
      <c r="X133" s="25">
        <v>36.412300000000002</v>
      </c>
      <c r="Y133" s="26"/>
      <c r="Z133" s="27"/>
      <c r="AA133" s="27"/>
      <c r="AC133" s="19" t="str">
        <f t="shared" ref="AC133:AC196" si="27">IF(OR(ISBLANK(AJ133),ISBLANK(G133)),"·",AJ133*G133/F133/1000000)</f>
        <v>·</v>
      </c>
      <c r="AD133" s="20">
        <f t="shared" ref="AD133:AD196" si="28">IF(ISBLANK(AJ133),"·",AJ133/D133)</f>
        <v>0.62551668037464125</v>
      </c>
      <c r="AE133" s="20">
        <f t="shared" ref="AE133:AE196" si="29">IF(AK133="","·",AK133/D133)</f>
        <v>0.46642999735864621</v>
      </c>
      <c r="AF133" s="20">
        <f t="shared" ref="AF133:AF196" si="30">IF(ISBLANK(AL133),"·",AL133/D133)</f>
        <v>0.15883808501349997</v>
      </c>
      <c r="AG133" s="21"/>
      <c r="AH133" s="20">
        <f t="shared" ref="AH133:AH196" si="31">IF(ISBLANK(AJ133),"·",AJ133/AI133)</f>
        <v>1.5060548758192334</v>
      </c>
      <c r="AI133" s="22">
        <v>828671</v>
      </c>
      <c r="AJ133" s="23">
        <v>1248024</v>
      </c>
      <c r="AK133" s="23">
        <v>930616</v>
      </c>
      <c r="AL133" s="23">
        <v>316912</v>
      </c>
      <c r="AM133" s="24"/>
      <c r="AN133" s="25">
        <v>65.432100000000005</v>
      </c>
      <c r="AO133" s="25">
        <v>70.6006</v>
      </c>
      <c r="AP133" s="25">
        <v>25.751000000000001</v>
      </c>
      <c r="AQ133" s="25">
        <v>35.909399999999998</v>
      </c>
      <c r="AR133" s="25">
        <v>34.752299999999998</v>
      </c>
      <c r="AS133" s="26"/>
      <c r="AT133" s="27"/>
      <c r="AU133" s="27"/>
      <c r="AW133" s="28">
        <f t="shared" ref="AW133:AW196" si="32">(AK133/AJ133) - (Q133/P133)</f>
        <v>7.4611031950421514E-2</v>
      </c>
      <c r="AX133" s="28"/>
      <c r="AZ133" s="29"/>
      <c r="BA133" s="29"/>
      <c r="BB133" s="29"/>
      <c r="BC133" s="29"/>
      <c r="BD133" s="29"/>
      <c r="BE133" s="30"/>
      <c r="BG133" s="29"/>
      <c r="BH133" s="29"/>
      <c r="BI133" s="29"/>
      <c r="BJ133" s="29"/>
      <c r="BK133" s="29"/>
      <c r="BL133" s="30"/>
    </row>
    <row r="134" spans="1:64" outlineLevel="1" x14ac:dyDescent="0.15">
      <c r="A134" s="31"/>
      <c r="B134" s="31" t="s">
        <v>293</v>
      </c>
      <c r="C134" s="32" t="s">
        <v>228</v>
      </c>
      <c r="D134" s="31">
        <v>1995189</v>
      </c>
      <c r="E134" s="33">
        <v>13</v>
      </c>
      <c r="F134" s="32">
        <v>1</v>
      </c>
      <c r="G134" s="32"/>
      <c r="I134" s="34" t="str">
        <f t="shared" si="22"/>
        <v>·</v>
      </c>
      <c r="J134" s="35">
        <f t="shared" si="23"/>
        <v>3.3286831473108562</v>
      </c>
      <c r="K134" s="35">
        <f t="shared" si="24"/>
        <v>2.5865419266044469</v>
      </c>
      <c r="L134" s="35">
        <f t="shared" si="25"/>
        <v>0.74184851660669737</v>
      </c>
      <c r="M134" s="36"/>
      <c r="N134" s="35">
        <f t="shared" si="26"/>
        <v>4.1776445900451398</v>
      </c>
      <c r="O134" s="37">
        <v>1589736</v>
      </c>
      <c r="P134" s="38">
        <v>6641352</v>
      </c>
      <c r="Q134" s="38">
        <v>5160640</v>
      </c>
      <c r="R134" s="38">
        <v>1480128</v>
      </c>
      <c r="S134" s="39"/>
      <c r="T134" s="40">
        <v>71.336799999999997</v>
      </c>
      <c r="U134" s="40">
        <v>77.034099999999995</v>
      </c>
      <c r="V134" s="40">
        <v>32.199199999999998</v>
      </c>
      <c r="W134" s="40">
        <v>41.7821</v>
      </c>
      <c r="X134" s="40">
        <v>40.567799999999998</v>
      </c>
      <c r="Y134" s="41"/>
      <c r="Z134" s="42"/>
      <c r="AA134" s="42"/>
      <c r="AC134" s="34" t="str">
        <f t="shared" si="27"/>
        <v>·</v>
      </c>
      <c r="AD134" s="35">
        <f t="shared" si="28"/>
        <v>3.1309474941972915</v>
      </c>
      <c r="AE134" s="35">
        <f t="shared" si="29"/>
        <v>2.5865419266044469</v>
      </c>
      <c r="AF134" s="35">
        <f t="shared" si="30"/>
        <v>0.54411687313833423</v>
      </c>
      <c r="AG134" s="36"/>
      <c r="AH134" s="35">
        <f t="shared" si="31"/>
        <v>3.9294775987962782</v>
      </c>
      <c r="AI134" s="37">
        <v>1589736</v>
      </c>
      <c r="AJ134" s="38">
        <v>6246832</v>
      </c>
      <c r="AK134" s="38">
        <v>5160640</v>
      </c>
      <c r="AL134" s="38">
        <v>1085616</v>
      </c>
      <c r="AM134" s="39"/>
      <c r="AN134" s="40">
        <v>71.336799999999997</v>
      </c>
      <c r="AO134" s="40">
        <v>77.034099999999995</v>
      </c>
      <c r="AP134" s="40">
        <v>30.912099999999999</v>
      </c>
      <c r="AQ134" s="40">
        <v>39.755600000000001</v>
      </c>
      <c r="AR134" s="40">
        <v>38.566000000000003</v>
      </c>
      <c r="AS134" s="41"/>
      <c r="AT134" s="42"/>
      <c r="AU134" s="42"/>
      <c r="AW134" s="43">
        <f t="shared" si="32"/>
        <v>4.9074542930951481E-2</v>
      </c>
      <c r="AX134" s="43"/>
      <c r="AZ134" s="44"/>
      <c r="BA134" s="44"/>
      <c r="BB134" s="44"/>
      <c r="BC134" s="44"/>
      <c r="BD134" s="44"/>
      <c r="BE134" s="45"/>
      <c r="BG134" s="44"/>
      <c r="BH134" s="44"/>
      <c r="BI134" s="44"/>
      <c r="BJ134" s="44"/>
      <c r="BK134" s="44"/>
      <c r="BL134" s="45"/>
    </row>
    <row r="135" spans="1:64" outlineLevel="1" x14ac:dyDescent="0.15">
      <c r="A135" s="16"/>
      <c r="B135" s="16" t="s">
        <v>293</v>
      </c>
      <c r="C135" s="17" t="s">
        <v>229</v>
      </c>
      <c r="D135" s="16">
        <v>1995189</v>
      </c>
      <c r="E135" s="18">
        <v>13</v>
      </c>
      <c r="F135" s="17">
        <v>1</v>
      </c>
      <c r="G135" s="17"/>
      <c r="I135" s="19" t="str">
        <f t="shared" si="22"/>
        <v>·</v>
      </c>
      <c r="J135" s="20">
        <f t="shared" si="23"/>
        <v>6.9381176419878017</v>
      </c>
      <c r="K135" s="20">
        <f t="shared" si="24"/>
        <v>5.5537996650943846</v>
      </c>
      <c r="L135" s="20">
        <f t="shared" si="25"/>
        <v>1.3840212631485038</v>
      </c>
      <c r="M135" s="21"/>
      <c r="N135" s="20">
        <f t="shared" si="26"/>
        <v>7.279074402137419</v>
      </c>
      <c r="O135" s="22">
        <v>1901733</v>
      </c>
      <c r="P135" s="23">
        <v>13842856</v>
      </c>
      <c r="Q135" s="23">
        <v>11080880</v>
      </c>
      <c r="R135" s="23">
        <v>2761384</v>
      </c>
      <c r="S135" s="24"/>
      <c r="T135" s="25">
        <v>76.990499999999997</v>
      </c>
      <c r="U135" s="25">
        <v>82.966200000000001</v>
      </c>
      <c r="V135" s="25">
        <v>37.564500000000002</v>
      </c>
      <c r="W135" s="25">
        <v>45.146299999999997</v>
      </c>
      <c r="X135" s="25">
        <v>44.083300000000001</v>
      </c>
      <c r="Y135" s="26"/>
      <c r="Z135" s="27"/>
      <c r="AA135" s="27"/>
      <c r="AC135" s="19" t="str">
        <f t="shared" si="27"/>
        <v>·</v>
      </c>
      <c r="AD135" s="20">
        <f t="shared" si="28"/>
        <v>6.7031163463711962</v>
      </c>
      <c r="AE135" s="20">
        <f t="shared" si="29"/>
        <v>5.5537996650943846</v>
      </c>
      <c r="AF135" s="20">
        <f t="shared" si="30"/>
        <v>1.1490239771770996</v>
      </c>
      <c r="AG135" s="21"/>
      <c r="AH135" s="20">
        <f t="shared" si="31"/>
        <v>7.032524544717897</v>
      </c>
      <c r="AI135" s="22">
        <v>1901733</v>
      </c>
      <c r="AJ135" s="23">
        <v>13373984</v>
      </c>
      <c r="AK135" s="23">
        <v>11080880</v>
      </c>
      <c r="AL135" s="23">
        <v>2292520</v>
      </c>
      <c r="AM135" s="24"/>
      <c r="AN135" s="25">
        <v>76.990499999999997</v>
      </c>
      <c r="AO135" s="25">
        <v>82.966200000000001</v>
      </c>
      <c r="AP135" s="25">
        <v>36.289400000000001</v>
      </c>
      <c r="AQ135" s="25">
        <v>43.230499999999999</v>
      </c>
      <c r="AR135" s="25">
        <v>42.195</v>
      </c>
      <c r="AS135" s="26"/>
      <c r="AT135" s="27"/>
      <c r="AU135" s="27"/>
      <c r="AW135" s="28">
        <f t="shared" si="32"/>
        <v>2.8063513932474971E-2</v>
      </c>
      <c r="AX135" s="28"/>
      <c r="AZ135" s="29"/>
      <c r="BA135" s="29"/>
      <c r="BB135" s="29"/>
      <c r="BC135" s="29"/>
      <c r="BD135" s="29"/>
      <c r="BE135" s="30"/>
      <c r="BG135" s="29"/>
      <c r="BH135" s="29"/>
      <c r="BI135" s="29"/>
      <c r="BJ135" s="29"/>
      <c r="BK135" s="29"/>
      <c r="BL135" s="30"/>
    </row>
    <row r="136" spans="1:64" outlineLevel="1" x14ac:dyDescent="0.15">
      <c r="A136" s="46"/>
      <c r="B136" s="46" t="s">
        <v>293</v>
      </c>
      <c r="C136" s="47" t="s">
        <v>230</v>
      </c>
      <c r="D136" s="46">
        <v>1995189</v>
      </c>
      <c r="E136" s="48">
        <v>13</v>
      </c>
      <c r="F136" s="47">
        <v>1</v>
      </c>
      <c r="G136" s="47"/>
      <c r="I136" s="49" t="str">
        <f t="shared" si="22"/>
        <v>·</v>
      </c>
      <c r="J136" s="50">
        <f t="shared" si="23"/>
        <v>10.662452529559856</v>
      </c>
      <c r="K136" s="50">
        <f t="shared" si="24"/>
        <v>8.4287673999806536</v>
      </c>
      <c r="L136" s="50">
        <f t="shared" si="25"/>
        <v>2.2333884158342894</v>
      </c>
      <c r="M136" s="51"/>
      <c r="N136" s="50">
        <f t="shared" si="26"/>
        <v>10.753240083625498</v>
      </c>
      <c r="O136" s="52">
        <v>1978344</v>
      </c>
      <c r="P136" s="53">
        <v>21273608</v>
      </c>
      <c r="Q136" s="53">
        <v>16816984</v>
      </c>
      <c r="R136" s="53">
        <v>4456032</v>
      </c>
      <c r="S136" s="54"/>
      <c r="T136" s="55">
        <v>81.753200000000007</v>
      </c>
      <c r="U136" s="55">
        <v>87.974299999999999</v>
      </c>
      <c r="V136" s="55">
        <v>42.435699999999997</v>
      </c>
      <c r="W136" s="55">
        <v>48.298099999999998</v>
      </c>
      <c r="X136" s="55">
        <v>47.460799999999999</v>
      </c>
      <c r="Y136" s="56"/>
      <c r="Z136" s="57"/>
      <c r="AA136" s="57"/>
      <c r="AC136" s="49" t="str">
        <f t="shared" si="27"/>
        <v>·</v>
      </c>
      <c r="AD136" s="50">
        <f t="shared" si="28"/>
        <v>10.346709008519994</v>
      </c>
      <c r="AE136" s="50">
        <f t="shared" si="29"/>
        <v>8.4287673999806536</v>
      </c>
      <c r="AF136" s="50">
        <f t="shared" si="30"/>
        <v>1.9176489044396294</v>
      </c>
      <c r="AG136" s="51"/>
      <c r="AH136" s="50">
        <f t="shared" si="31"/>
        <v>10.434808102129862</v>
      </c>
      <c r="AI136" s="52">
        <v>1978344</v>
      </c>
      <c r="AJ136" s="53">
        <v>20643640</v>
      </c>
      <c r="AK136" s="53">
        <v>16816984</v>
      </c>
      <c r="AL136" s="53">
        <v>3826072</v>
      </c>
      <c r="AM136" s="54"/>
      <c r="AN136" s="55">
        <v>81.753200000000007</v>
      </c>
      <c r="AO136" s="55">
        <v>87.974299999999999</v>
      </c>
      <c r="AP136" s="55">
        <v>40.976500000000001</v>
      </c>
      <c r="AQ136" s="55">
        <v>46.399099999999997</v>
      </c>
      <c r="AR136" s="55">
        <v>45.566699999999997</v>
      </c>
      <c r="AS136" s="56"/>
      <c r="AT136" s="57"/>
      <c r="AU136" s="57"/>
      <c r="AW136" s="58">
        <f t="shared" si="32"/>
        <v>2.4123436274849364E-2</v>
      </c>
      <c r="AX136" s="58"/>
      <c r="AZ136" s="59"/>
      <c r="BA136" s="59"/>
      <c r="BB136" s="59"/>
      <c r="BC136" s="59"/>
      <c r="BD136" s="59"/>
      <c r="BE136" s="60"/>
      <c r="BG136" s="59"/>
      <c r="BH136" s="59"/>
      <c r="BI136" s="59"/>
      <c r="BJ136" s="59"/>
      <c r="BK136" s="59"/>
      <c r="BL136" s="60"/>
    </row>
    <row r="137" spans="1:64" collapsed="1" x14ac:dyDescent="0.15">
      <c r="A137" s="16" t="s">
        <v>297</v>
      </c>
      <c r="B137" s="16" t="s">
        <v>296</v>
      </c>
      <c r="C137" s="17" t="s">
        <v>225</v>
      </c>
      <c r="D137" s="16">
        <v>1481746</v>
      </c>
      <c r="E137" s="18">
        <v>12</v>
      </c>
      <c r="F137" s="17">
        <v>1</v>
      </c>
      <c r="G137" s="17"/>
      <c r="I137" s="19" t="str">
        <f t="shared" si="22"/>
        <v>·</v>
      </c>
      <c r="J137" s="20">
        <f t="shared" si="23"/>
        <v>7.3470081916873736E-2</v>
      </c>
      <c r="K137" s="20">
        <f t="shared" si="24"/>
        <v>6.7320579910456993E-2</v>
      </c>
      <c r="L137" s="20">
        <f t="shared" si="25"/>
        <v>5.8147617742852009E-3</v>
      </c>
      <c r="M137" s="21"/>
      <c r="N137" s="20">
        <f t="shared" si="26"/>
        <v>1.6461871134566239</v>
      </c>
      <c r="O137" s="22">
        <v>66131</v>
      </c>
      <c r="P137" s="23">
        <v>108864</v>
      </c>
      <c r="Q137" s="23">
        <v>99752</v>
      </c>
      <c r="R137" s="23">
        <v>8616</v>
      </c>
      <c r="S137" s="24"/>
      <c r="T137" s="25">
        <v>52.947499999999998</v>
      </c>
      <c r="U137" s="25">
        <v>58.320300000000003</v>
      </c>
      <c r="V137" s="25">
        <v>17.002300000000002</v>
      </c>
      <c r="W137" s="25">
        <v>32.930399999999999</v>
      </c>
      <c r="X137" s="25">
        <v>33.062100000000001</v>
      </c>
      <c r="Y137" s="26"/>
      <c r="Z137" s="27"/>
      <c r="AA137" s="27"/>
      <c r="AC137" s="19" t="str">
        <f t="shared" si="27"/>
        <v>·</v>
      </c>
      <c r="AD137" s="20">
        <f t="shared" si="28"/>
        <v>6.9955309479492439E-2</v>
      </c>
      <c r="AE137" s="20">
        <f t="shared" si="29"/>
        <v>6.7320579910456993E-2</v>
      </c>
      <c r="AF137" s="20">
        <f t="shared" si="30"/>
        <v>2.3053883729060175E-3</v>
      </c>
      <c r="AG137" s="21"/>
      <c r="AH137" s="20">
        <f t="shared" si="31"/>
        <v>1.5674343348807669</v>
      </c>
      <c r="AI137" s="22">
        <v>66131</v>
      </c>
      <c r="AJ137" s="23">
        <v>103656</v>
      </c>
      <c r="AK137" s="23">
        <v>99752</v>
      </c>
      <c r="AL137" s="23">
        <v>3416</v>
      </c>
      <c r="AM137" s="24"/>
      <c r="AN137" s="25">
        <v>52.947499999999998</v>
      </c>
      <c r="AO137" s="25">
        <v>58.320300000000003</v>
      </c>
      <c r="AP137" s="25">
        <v>16.5778</v>
      </c>
      <c r="AQ137" s="25">
        <v>32.821199999999997</v>
      </c>
      <c r="AR137" s="25">
        <v>32.604399999999998</v>
      </c>
      <c r="AS137" s="26"/>
      <c r="AT137" s="27"/>
      <c r="AU137" s="27"/>
      <c r="AW137" s="28">
        <f t="shared" si="32"/>
        <v>4.6037724972534999E-2</v>
      </c>
      <c r="AX137" s="28">
        <f t="array" ref="AX137">AVERAGE(AK137:AK142/AJ137:AJ142) - AVERAGE(Q137:Q142/P137:P142)</f>
        <v>5.6946654303184796E-2</v>
      </c>
      <c r="AZ137" s="29">
        <f>IF( OR(ISBLANK(Q137:Q142),ISBLANK(AK137:AK142), ISBLANK(T137:T142),ISBLANK(AN137:AN142)), "·", bdRateExtend( Q137:Q142,T137:T142, AK137:AK142,AN137:AN142))</f>
        <v>0</v>
      </c>
      <c r="BA137" s="29">
        <f>IF( OR(ISBLANK(Q137:Q142),ISBLANK(AK137:AK142), ISBLANK(U137:U142),ISBLANK(AO137:AO142)), "·", bdRateExtend( Q137:Q142,U137:U142, AK137:AK142,AO137:AO142))</f>
        <v>0</v>
      </c>
      <c r="BB137" s="29">
        <f>IF( OR(ISBLANK(R137:R142),ISBLANK(AL137:AL142), ISBLANK(V137:V142),ISBLANK(AP137:AP142)), "·", bdRateExtend( R137:R142,V137:V142, AL137:AL142,AP137:AP142))</f>
        <v>-0.22545635992139834</v>
      </c>
      <c r="BC137" s="29">
        <f>IF( OR(ISBLANK(R137:R142),ISBLANK(AL137:AL142), ISBLANK(W137:W142),ISBLANK(AQ137:AQ142)), "·", bdRateExtend( R137:R142,W137:W142, AL137:AL142,AQ137:AQ142))</f>
        <v>5.6685846264696638E-2</v>
      </c>
      <c r="BD137" s="29">
        <f>IF( OR(ISBLANK(R137:R142),ISBLANK(AL137:AL142), ISBLANK(X137:X142),ISBLANK(AR137:AR142)), "·", bdRateExtend( R137:R142,X137:X142, AL137:AL142,AR137:AR142))</f>
        <v>0.16885167666330059</v>
      </c>
      <c r="BE137" s="30"/>
      <c r="BG137" s="29">
        <f>IF( OR(ISBLANK(P137:P142),ISBLANK(AJ137:AJ142), ISBLANK(T137:T142),ISBLANK(AN137:AN142)), "·", bdRateExtend( P137:P142,T137:T142, AJ137:AJ142,AN137:AN142))</f>
        <v>-7.3398197083294425E-2</v>
      </c>
      <c r="BH137" s="29">
        <f>IF( OR(ISBLANK(P137:P142),ISBLANK(AJ137:AJ142), ISBLANK(U137:U142),ISBLANK(AO137:AO142)), "·", bdRateExtend( P137:P142,U137:U142, AJ137:AJ142,AO137:AO142))</f>
        <v>-7.3227413467560676E-2</v>
      </c>
      <c r="BI137" s="29">
        <f>IF( OR(ISBLANK(P137:P142),ISBLANK(AJ137:AJ142), ISBLANK(V137:V142),ISBLANK(AP137:AP142)), "·", bdRateExtend( P137:P142,V137:V142, AJ137:AJ142,AP137:AP142))</f>
        <v>1.0971879047110278E-2</v>
      </c>
      <c r="BJ137" s="29">
        <f>IF( OR(ISBLANK(P137:P142),ISBLANK(AJ137:AJ142), ISBLANK(W137:W142),ISBLANK(AQ137:AQ142)), "·", bdRateExtend( P137:P142,W137:W142, AJ137:AJ142,AQ137:AQ142))</f>
        <v>0.35473698799504172</v>
      </c>
      <c r="BK137" s="29">
        <f>IF( OR(ISBLANK(P137:P142),ISBLANK(AJ137:AJ142), ISBLANK(X137:X142),ISBLANK(AR137:AR142)), "·", bdRateExtend( P137:P142,X137:X142, AJ137:AJ142,AR137:AR142))</f>
        <v>0.43840688609808054</v>
      </c>
      <c r="BL137" s="30"/>
    </row>
    <row r="138" spans="1:64" outlineLevel="1" x14ac:dyDescent="0.15">
      <c r="A138" s="31"/>
      <c r="B138" s="31" t="s">
        <v>296</v>
      </c>
      <c r="C138" s="32" t="s">
        <v>226</v>
      </c>
      <c r="D138" s="31">
        <v>1481746</v>
      </c>
      <c r="E138" s="33">
        <v>12</v>
      </c>
      <c r="F138" s="32">
        <v>1</v>
      </c>
      <c r="G138" s="32"/>
      <c r="I138" s="34" t="str">
        <f t="shared" si="22"/>
        <v>·</v>
      </c>
      <c r="J138" s="35">
        <f t="shared" si="23"/>
        <v>0.37320836364667087</v>
      </c>
      <c r="K138" s="35">
        <f t="shared" si="24"/>
        <v>0.31844054244114711</v>
      </c>
      <c r="L138" s="35">
        <f t="shared" si="25"/>
        <v>5.4427681937390081E-2</v>
      </c>
      <c r="M138" s="36"/>
      <c r="N138" s="35">
        <f t="shared" si="26"/>
        <v>2.3832508748642454</v>
      </c>
      <c r="O138" s="37">
        <v>232036</v>
      </c>
      <c r="P138" s="38">
        <v>553000</v>
      </c>
      <c r="Q138" s="38">
        <v>471848</v>
      </c>
      <c r="R138" s="38">
        <v>80648</v>
      </c>
      <c r="S138" s="39"/>
      <c r="T138" s="40">
        <v>58.923900000000003</v>
      </c>
      <c r="U138" s="40">
        <v>64.348699999999994</v>
      </c>
      <c r="V138" s="40">
        <v>18.616700000000002</v>
      </c>
      <c r="W138" s="40">
        <v>34.8658</v>
      </c>
      <c r="X138" s="40">
        <v>34.7408</v>
      </c>
      <c r="Y138" s="41"/>
      <c r="Z138" s="42"/>
      <c r="AA138" s="42"/>
      <c r="AC138" s="34" t="str">
        <f t="shared" si="27"/>
        <v>·</v>
      </c>
      <c r="AD138" s="35">
        <f t="shared" si="28"/>
        <v>0.34657491904820392</v>
      </c>
      <c r="AE138" s="35">
        <f t="shared" si="29"/>
        <v>0.31844054244114711</v>
      </c>
      <c r="AF138" s="35">
        <f t="shared" si="30"/>
        <v>2.7799636374925257E-2</v>
      </c>
      <c r="AG138" s="36"/>
      <c r="AH138" s="35">
        <f t="shared" si="31"/>
        <v>2.21317381785585</v>
      </c>
      <c r="AI138" s="37">
        <v>232036</v>
      </c>
      <c r="AJ138" s="38">
        <v>513536</v>
      </c>
      <c r="AK138" s="38">
        <v>471848</v>
      </c>
      <c r="AL138" s="38">
        <v>41192</v>
      </c>
      <c r="AM138" s="39"/>
      <c r="AN138" s="40">
        <v>58.923900000000003</v>
      </c>
      <c r="AO138" s="40">
        <v>64.348699999999994</v>
      </c>
      <c r="AP138" s="40">
        <v>18.4178</v>
      </c>
      <c r="AQ138" s="40">
        <v>34.229599999999998</v>
      </c>
      <c r="AR138" s="40">
        <v>34.011299999999999</v>
      </c>
      <c r="AS138" s="41"/>
      <c r="AT138" s="42"/>
      <c r="AU138" s="42"/>
      <c r="AW138" s="43">
        <f t="shared" si="32"/>
        <v>6.5570303781242179E-2</v>
      </c>
      <c r="AX138" s="43"/>
      <c r="AZ138" s="44"/>
      <c r="BA138" s="44"/>
      <c r="BB138" s="44"/>
      <c r="BC138" s="44"/>
      <c r="BD138" s="44"/>
      <c r="BE138" s="45"/>
      <c r="BG138" s="44"/>
      <c r="BH138" s="44"/>
      <c r="BI138" s="44"/>
      <c r="BJ138" s="44"/>
      <c r="BK138" s="44"/>
      <c r="BL138" s="45"/>
    </row>
    <row r="139" spans="1:64" outlineLevel="1" x14ac:dyDescent="0.15">
      <c r="A139" s="16"/>
      <c r="B139" s="16" t="s">
        <v>296</v>
      </c>
      <c r="C139" s="17" t="s">
        <v>227</v>
      </c>
      <c r="D139" s="16">
        <v>1481746</v>
      </c>
      <c r="E139" s="18">
        <v>12</v>
      </c>
      <c r="F139" s="17">
        <v>1</v>
      </c>
      <c r="G139" s="17"/>
      <c r="I139" s="19" t="str">
        <f t="shared" si="22"/>
        <v>·</v>
      </c>
      <c r="J139" s="20">
        <f t="shared" si="23"/>
        <v>1.6373710473994869</v>
      </c>
      <c r="K139" s="20">
        <f t="shared" si="24"/>
        <v>1.2560749278216374</v>
      </c>
      <c r="L139" s="20">
        <f t="shared" si="25"/>
        <v>0.38095598030971572</v>
      </c>
      <c r="M139" s="21"/>
      <c r="N139" s="20">
        <f t="shared" si="26"/>
        <v>4.0005078611296616</v>
      </c>
      <c r="O139" s="22">
        <v>606465</v>
      </c>
      <c r="P139" s="23">
        <v>2426168</v>
      </c>
      <c r="Q139" s="23">
        <v>1861184</v>
      </c>
      <c r="R139" s="23">
        <v>564480</v>
      </c>
      <c r="S139" s="24"/>
      <c r="T139" s="25">
        <v>64.843299999999999</v>
      </c>
      <c r="U139" s="25">
        <v>70.038300000000007</v>
      </c>
      <c r="V139" s="25">
        <v>21.083300000000001</v>
      </c>
      <c r="W139" s="25">
        <v>36.389400000000002</v>
      </c>
      <c r="X139" s="25">
        <v>36.1738</v>
      </c>
      <c r="Y139" s="26"/>
      <c r="Z139" s="27"/>
      <c r="AA139" s="27"/>
      <c r="AC139" s="19" t="str">
        <f t="shared" si="27"/>
        <v>·</v>
      </c>
      <c r="AD139" s="20">
        <f t="shared" si="28"/>
        <v>1.4989127691250728</v>
      </c>
      <c r="AE139" s="20">
        <f t="shared" si="29"/>
        <v>1.2560749278216374</v>
      </c>
      <c r="AF139" s="20">
        <f t="shared" si="30"/>
        <v>0.24250310107130371</v>
      </c>
      <c r="AG139" s="21"/>
      <c r="AH139" s="20">
        <f t="shared" si="31"/>
        <v>3.6622195839825875</v>
      </c>
      <c r="AI139" s="22">
        <v>606465</v>
      </c>
      <c r="AJ139" s="23">
        <v>2221008</v>
      </c>
      <c r="AK139" s="23">
        <v>1861184</v>
      </c>
      <c r="AL139" s="23">
        <v>359328</v>
      </c>
      <c r="AM139" s="24"/>
      <c r="AN139" s="25">
        <v>64.843299999999999</v>
      </c>
      <c r="AO139" s="25">
        <v>70.038300000000007</v>
      </c>
      <c r="AP139" s="25">
        <v>20.7972</v>
      </c>
      <c r="AQ139" s="25">
        <v>35.801699999999997</v>
      </c>
      <c r="AR139" s="25">
        <v>35.608699999999999</v>
      </c>
      <c r="AS139" s="26"/>
      <c r="AT139" s="27"/>
      <c r="AU139" s="27"/>
      <c r="AW139" s="28">
        <f t="shared" si="32"/>
        <v>7.0861608726326075E-2</v>
      </c>
      <c r="AX139" s="28"/>
      <c r="AZ139" s="29"/>
      <c r="BA139" s="29"/>
      <c r="BB139" s="29"/>
      <c r="BC139" s="29"/>
      <c r="BD139" s="29"/>
      <c r="BE139" s="30"/>
      <c r="BG139" s="29"/>
      <c r="BH139" s="29"/>
      <c r="BI139" s="29"/>
      <c r="BJ139" s="29"/>
      <c r="BK139" s="29"/>
      <c r="BL139" s="30"/>
    </row>
    <row r="140" spans="1:64" outlineLevel="1" x14ac:dyDescent="0.15">
      <c r="A140" s="31"/>
      <c r="B140" s="31" t="s">
        <v>296</v>
      </c>
      <c r="C140" s="32" t="s">
        <v>228</v>
      </c>
      <c r="D140" s="31">
        <v>1481746</v>
      </c>
      <c r="E140" s="33">
        <v>12</v>
      </c>
      <c r="F140" s="32">
        <v>1</v>
      </c>
      <c r="G140" s="32"/>
      <c r="I140" s="34" t="str">
        <f t="shared" si="22"/>
        <v>·</v>
      </c>
      <c r="J140" s="35">
        <f t="shared" si="23"/>
        <v>4.8307820638624976</v>
      </c>
      <c r="K140" s="35">
        <f t="shared" si="24"/>
        <v>3.4410971920963513</v>
      </c>
      <c r="L140" s="35">
        <f t="shared" si="25"/>
        <v>1.3893447324980124</v>
      </c>
      <c r="M140" s="36"/>
      <c r="N140" s="35">
        <f t="shared" si="26"/>
        <v>6.7447035455432891</v>
      </c>
      <c r="O140" s="37">
        <v>1061276</v>
      </c>
      <c r="P140" s="38">
        <v>7157992</v>
      </c>
      <c r="Q140" s="38">
        <v>5098832</v>
      </c>
      <c r="R140" s="38">
        <v>2058656</v>
      </c>
      <c r="S140" s="39"/>
      <c r="T140" s="40">
        <v>70.483199999999997</v>
      </c>
      <c r="U140" s="40">
        <v>75.456599999999995</v>
      </c>
      <c r="V140" s="40">
        <v>24.628599999999999</v>
      </c>
      <c r="W140" s="40">
        <v>37.8887</v>
      </c>
      <c r="X140" s="40">
        <v>37.548400000000001</v>
      </c>
      <c r="Y140" s="41"/>
      <c r="Z140" s="42"/>
      <c r="AA140" s="42"/>
      <c r="AC140" s="34" t="str">
        <f t="shared" si="27"/>
        <v>·</v>
      </c>
      <c r="AD140" s="35">
        <f t="shared" si="28"/>
        <v>4.4154720174712807</v>
      </c>
      <c r="AE140" s="35">
        <f t="shared" si="29"/>
        <v>3.4410971920963513</v>
      </c>
      <c r="AF140" s="35">
        <f t="shared" si="30"/>
        <v>0.97404008514279772</v>
      </c>
      <c r="AG140" s="36"/>
      <c r="AH140" s="35">
        <f t="shared" si="31"/>
        <v>6.1648506137894383</v>
      </c>
      <c r="AI140" s="37">
        <v>1061276</v>
      </c>
      <c r="AJ140" s="38">
        <v>6542608</v>
      </c>
      <c r="AK140" s="38">
        <v>5098832</v>
      </c>
      <c r="AL140" s="38">
        <v>1443280</v>
      </c>
      <c r="AM140" s="39"/>
      <c r="AN140" s="40">
        <v>70.483199999999997</v>
      </c>
      <c r="AO140" s="40">
        <v>75.456599999999995</v>
      </c>
      <c r="AP140" s="40">
        <v>24.2</v>
      </c>
      <c r="AQ140" s="40">
        <v>37.239699999999999</v>
      </c>
      <c r="AR140" s="40">
        <v>36.924900000000001</v>
      </c>
      <c r="AS140" s="41"/>
      <c r="AT140" s="42"/>
      <c r="AU140" s="42"/>
      <c r="AW140" s="43">
        <f t="shared" si="32"/>
        <v>6.6999998676926076E-2</v>
      </c>
      <c r="AX140" s="43"/>
      <c r="AZ140" s="44"/>
      <c r="BA140" s="44"/>
      <c r="BB140" s="44"/>
      <c r="BC140" s="44"/>
      <c r="BD140" s="44"/>
      <c r="BE140" s="45"/>
      <c r="BG140" s="44"/>
      <c r="BH140" s="44"/>
      <c r="BI140" s="44"/>
      <c r="BJ140" s="44"/>
      <c r="BK140" s="44"/>
      <c r="BL140" s="45"/>
    </row>
    <row r="141" spans="1:64" outlineLevel="1" x14ac:dyDescent="0.15">
      <c r="A141" s="16"/>
      <c r="B141" s="16" t="s">
        <v>296</v>
      </c>
      <c r="C141" s="17" t="s">
        <v>229</v>
      </c>
      <c r="D141" s="16">
        <v>1481746</v>
      </c>
      <c r="E141" s="18">
        <v>12</v>
      </c>
      <c r="F141" s="17">
        <v>1</v>
      </c>
      <c r="G141" s="17"/>
      <c r="I141" s="19" t="str">
        <f t="shared" si="22"/>
        <v>·</v>
      </c>
      <c r="J141" s="20">
        <f t="shared" si="23"/>
        <v>9.5656232579672906</v>
      </c>
      <c r="K141" s="20">
        <f t="shared" si="24"/>
        <v>6.6153308326798248</v>
      </c>
      <c r="L141" s="20">
        <f t="shared" si="25"/>
        <v>2.9497849159032654</v>
      </c>
      <c r="M141" s="21"/>
      <c r="N141" s="20">
        <f t="shared" si="26"/>
        <v>10.409109368975709</v>
      </c>
      <c r="O141" s="22">
        <v>1361675</v>
      </c>
      <c r="P141" s="23">
        <v>14173824</v>
      </c>
      <c r="Q141" s="23">
        <v>9802240</v>
      </c>
      <c r="R141" s="23">
        <v>4370832</v>
      </c>
      <c r="S141" s="24"/>
      <c r="T141" s="25">
        <v>75.250799999999998</v>
      </c>
      <c r="U141" s="25">
        <v>80.197299999999998</v>
      </c>
      <c r="V141" s="25">
        <v>28.449200000000001</v>
      </c>
      <c r="W141" s="25">
        <v>39.3889</v>
      </c>
      <c r="X141" s="25">
        <v>38.995399999999997</v>
      </c>
      <c r="Y141" s="26"/>
      <c r="Z141" s="27"/>
      <c r="AA141" s="27"/>
      <c r="AC141" s="19" t="str">
        <f t="shared" si="27"/>
        <v>·</v>
      </c>
      <c r="AD141" s="20">
        <f t="shared" si="28"/>
        <v>8.9275435870925239</v>
      </c>
      <c r="AE141" s="20">
        <f t="shared" si="29"/>
        <v>6.6153308326798248</v>
      </c>
      <c r="AF141" s="20">
        <f t="shared" si="30"/>
        <v>2.3117106440645023</v>
      </c>
      <c r="AG141" s="21"/>
      <c r="AH141" s="20">
        <f t="shared" si="31"/>
        <v>9.714764536324747</v>
      </c>
      <c r="AI141" s="22">
        <v>1361675</v>
      </c>
      <c r="AJ141" s="23">
        <v>13228352</v>
      </c>
      <c r="AK141" s="23">
        <v>9802240</v>
      </c>
      <c r="AL141" s="23">
        <v>3425368</v>
      </c>
      <c r="AM141" s="24"/>
      <c r="AN141" s="25">
        <v>75.250799999999998</v>
      </c>
      <c r="AO141" s="25">
        <v>80.197299999999998</v>
      </c>
      <c r="AP141" s="25">
        <v>28.209199999999999</v>
      </c>
      <c r="AQ141" s="25">
        <v>38.717500000000001</v>
      </c>
      <c r="AR141" s="25">
        <v>38.299900000000001</v>
      </c>
      <c r="AS141" s="26"/>
      <c r="AT141" s="27"/>
      <c r="AU141" s="27"/>
      <c r="AW141" s="28">
        <f t="shared" si="32"/>
        <v>4.9428931788286001E-2</v>
      </c>
      <c r="AX141" s="28"/>
      <c r="AZ141" s="29"/>
      <c r="BA141" s="29"/>
      <c r="BB141" s="29"/>
      <c r="BC141" s="29"/>
      <c r="BD141" s="29"/>
      <c r="BE141" s="30"/>
      <c r="BG141" s="29"/>
      <c r="BH141" s="29"/>
      <c r="BI141" s="29"/>
      <c r="BJ141" s="29"/>
      <c r="BK141" s="29"/>
      <c r="BL141" s="30"/>
    </row>
    <row r="142" spans="1:64" outlineLevel="1" x14ac:dyDescent="0.15">
      <c r="A142" s="31"/>
      <c r="B142" s="46" t="s">
        <v>296</v>
      </c>
      <c r="C142" s="47" t="s">
        <v>230</v>
      </c>
      <c r="D142" s="46">
        <v>1481746</v>
      </c>
      <c r="E142" s="48">
        <v>12</v>
      </c>
      <c r="F142" s="47">
        <v>1</v>
      </c>
      <c r="G142" s="47"/>
      <c r="I142" s="49" t="str">
        <f t="shared" si="22"/>
        <v>·</v>
      </c>
      <c r="J142" s="50">
        <f t="shared" si="23"/>
        <v>13.35989839014244</v>
      </c>
      <c r="K142" s="50">
        <f t="shared" si="24"/>
        <v>8.55732628939103</v>
      </c>
      <c r="L142" s="50">
        <f t="shared" si="25"/>
        <v>4.8020645913672118</v>
      </c>
      <c r="M142" s="51"/>
      <c r="N142" s="50">
        <f t="shared" si="26"/>
        <v>13.800529267252077</v>
      </c>
      <c r="O142" s="52">
        <v>1434436</v>
      </c>
      <c r="P142" s="53">
        <v>19795976</v>
      </c>
      <c r="Q142" s="53">
        <v>12679784</v>
      </c>
      <c r="R142" s="53">
        <v>7115440</v>
      </c>
      <c r="S142" s="54"/>
      <c r="T142" s="55">
        <v>80.025599999999997</v>
      </c>
      <c r="U142" s="55">
        <v>84.860299999999995</v>
      </c>
      <c r="V142" s="55">
        <v>33.887500000000003</v>
      </c>
      <c r="W142" s="55">
        <v>41.483699999999999</v>
      </c>
      <c r="X142" s="55">
        <v>41.283799999999999</v>
      </c>
      <c r="Y142" s="56"/>
      <c r="Z142" s="57"/>
      <c r="AA142" s="57"/>
      <c r="AC142" s="49" t="str">
        <f t="shared" si="27"/>
        <v>·</v>
      </c>
      <c r="AD142" s="50">
        <f t="shared" si="28"/>
        <v>12.523441939441712</v>
      </c>
      <c r="AE142" s="50">
        <f t="shared" si="29"/>
        <v>8.55732628939103</v>
      </c>
      <c r="AF142" s="50">
        <f t="shared" si="30"/>
        <v>3.9656135397024861</v>
      </c>
      <c r="AG142" s="51"/>
      <c r="AH142" s="50">
        <f t="shared" si="31"/>
        <v>12.936485141198352</v>
      </c>
      <c r="AI142" s="52">
        <v>1434436</v>
      </c>
      <c r="AJ142" s="53">
        <v>18556560</v>
      </c>
      <c r="AK142" s="53">
        <v>12679784</v>
      </c>
      <c r="AL142" s="53">
        <v>5876032</v>
      </c>
      <c r="AM142" s="54"/>
      <c r="AN142" s="55">
        <v>80.025599999999997</v>
      </c>
      <c r="AO142" s="55">
        <v>84.860299999999995</v>
      </c>
      <c r="AP142" s="55">
        <v>33.546199999999999</v>
      </c>
      <c r="AQ142" s="55">
        <v>40.6858</v>
      </c>
      <c r="AR142" s="55">
        <v>40.2804</v>
      </c>
      <c r="AS142" s="56"/>
      <c r="AT142" s="57"/>
      <c r="AU142" s="57"/>
      <c r="AW142" s="58">
        <f t="shared" si="32"/>
        <v>4.2781357873793335E-2</v>
      </c>
      <c r="AX142" s="58"/>
      <c r="AZ142" s="59"/>
      <c r="BA142" s="59"/>
      <c r="BB142" s="59"/>
      <c r="BC142" s="59"/>
      <c r="BD142" s="59"/>
      <c r="BE142" s="60"/>
      <c r="BG142" s="59"/>
      <c r="BH142" s="59"/>
      <c r="BI142" s="59"/>
      <c r="BJ142" s="59"/>
      <c r="BK142" s="59"/>
      <c r="BL142" s="60"/>
    </row>
    <row r="143" spans="1:64" collapsed="1" x14ac:dyDescent="0.15">
      <c r="A143" s="16"/>
      <c r="B143" s="16" t="s">
        <v>300</v>
      </c>
      <c r="C143" s="17" t="s">
        <v>225</v>
      </c>
      <c r="D143" s="16">
        <v>1530552</v>
      </c>
      <c r="E143" s="18">
        <v>20</v>
      </c>
      <c r="F143" s="17">
        <v>1</v>
      </c>
      <c r="G143" s="17"/>
      <c r="I143" s="19" t="str">
        <f t="shared" si="22"/>
        <v>·</v>
      </c>
      <c r="J143" s="20">
        <f t="shared" si="23"/>
        <v>6.5359112267992199</v>
      </c>
      <c r="K143" s="20">
        <f t="shared" si="24"/>
        <v>6.405924137174039</v>
      </c>
      <c r="L143" s="20">
        <f t="shared" si="25"/>
        <v>0.12949576361992274</v>
      </c>
      <c r="M143" s="21"/>
      <c r="N143" s="20">
        <f t="shared" si="26"/>
        <v>7.3464239290881181</v>
      </c>
      <c r="O143" s="22">
        <v>1361690</v>
      </c>
      <c r="P143" s="23">
        <v>10003552</v>
      </c>
      <c r="Q143" s="23">
        <v>9804600</v>
      </c>
      <c r="R143" s="23">
        <v>198200</v>
      </c>
      <c r="S143" s="24"/>
      <c r="T143" s="25">
        <v>77.0184</v>
      </c>
      <c r="U143" s="25">
        <v>81.800600000000003</v>
      </c>
      <c r="V143" s="25">
        <v>19.737400000000001</v>
      </c>
      <c r="W143" s="25">
        <v>35.262900000000002</v>
      </c>
      <c r="X143" s="25">
        <v>35.7117</v>
      </c>
      <c r="Y143" s="26"/>
      <c r="Z143" s="27"/>
      <c r="AA143" s="27"/>
      <c r="AC143" s="19" t="str">
        <f t="shared" si="27"/>
        <v>·</v>
      </c>
      <c r="AD143" s="20">
        <f t="shared" si="28"/>
        <v>6.44345830785233</v>
      </c>
      <c r="AE143" s="20">
        <f t="shared" si="29"/>
        <v>6.405924137174039</v>
      </c>
      <c r="AF143" s="20">
        <f t="shared" si="30"/>
        <v>3.7048071545429363E-2</v>
      </c>
      <c r="AG143" s="21"/>
      <c r="AH143" s="20">
        <f t="shared" si="31"/>
        <v>7.242506003569094</v>
      </c>
      <c r="AI143" s="22">
        <v>1361690</v>
      </c>
      <c r="AJ143" s="23">
        <v>9862048</v>
      </c>
      <c r="AK143" s="23">
        <v>9804600</v>
      </c>
      <c r="AL143" s="23">
        <v>56704</v>
      </c>
      <c r="AM143" s="24"/>
      <c r="AN143" s="25">
        <v>77.0184</v>
      </c>
      <c r="AO143" s="25">
        <v>81.800600000000003</v>
      </c>
      <c r="AP143" s="25">
        <v>18.8491</v>
      </c>
      <c r="AQ143" s="25">
        <v>35.453600000000002</v>
      </c>
      <c r="AR143" s="25">
        <v>35.1736</v>
      </c>
      <c r="AS143" s="26"/>
      <c r="AT143" s="27"/>
      <c r="AU143" s="27"/>
      <c r="AW143" s="28">
        <f t="shared" si="32"/>
        <v>1.4062976497485113E-2</v>
      </c>
      <c r="AX143" s="28">
        <f t="array" ref="AX143">AVERAGE(AK143:AK148/AJ143:AJ148) - AVERAGE(Q143:Q148/P143:P148)</f>
        <v>2.1167924831601459E-2</v>
      </c>
      <c r="AZ143" s="29">
        <f>IF( OR(ISBLANK(Q143:Q148),ISBLANK(AK143:AK148), ISBLANK(T143:T148),ISBLANK(AN143:AN148)), "·", bdRateExtend( Q143:Q148,T143:T148, AK143:AK148,AN143:AN148))</f>
        <v>0</v>
      </c>
      <c r="BA143" s="29">
        <f>IF( OR(ISBLANK(Q143:Q148),ISBLANK(AK143:AK148), ISBLANK(U143:U148),ISBLANK(AO143:AO148)), "·", bdRateExtend( Q143:Q148,U143:U148, AK143:AK148,AO143:AO148))</f>
        <v>0</v>
      </c>
      <c r="BB143" s="29">
        <f>IF( OR(ISBLANK(R143:R148),ISBLANK(AL143:AL148), ISBLANK(V143:V148),ISBLANK(AP143:AP148)), "·", bdRateExtend( R143:R148,V143:V148, AL143:AL148,AP143:AP148))</f>
        <v>-0.1906158807977022</v>
      </c>
      <c r="BC143" s="29">
        <f>IF( OR(ISBLANK(R143:R148),ISBLANK(AL143:AL148), ISBLANK(W143:W148),ISBLANK(AQ143:AQ148)), "·", bdRateExtend( R143:R148,W143:W148, AL143:AL148,AQ143:AQ148))</f>
        <v>-6.4559850836240718E-2</v>
      </c>
      <c r="BD143" s="29">
        <f>IF( OR(ISBLANK(R143:R148),ISBLANK(AL143:AL148), ISBLANK(X143:X148),ISBLANK(AR143:AR148)), "·", bdRateExtend( R143:R148,X143:X148, AL143:AL148,AR143:AR148))</f>
        <v>-7.2550860423303831E-4</v>
      </c>
      <c r="BE143" s="30"/>
      <c r="BG143" s="29">
        <f>IF( OR(ISBLANK(P143:P148),ISBLANK(AJ143:AJ148), ISBLANK(T143:T148),ISBLANK(AN143:AN148)), "·", bdRateExtend( P143:P148,T143:T148, AJ143:AJ148,AN143:AN148))</f>
        <v>-2.2678007096493924E-2</v>
      </c>
      <c r="BH143" s="29">
        <f>IF( OR(ISBLANK(P143:P148),ISBLANK(AJ143:AJ148), ISBLANK(U143:U148),ISBLANK(AO143:AO148)), "·", bdRateExtend( P143:P148,U143:U148, AJ143:AJ148,AO143:AO148))</f>
        <v>-2.2687419724957358E-2</v>
      </c>
      <c r="BI143" s="29">
        <f>IF( OR(ISBLANK(P143:P148),ISBLANK(AJ143:AJ148), ISBLANK(V143:V148),ISBLANK(AP143:AP148)), "·", bdRateExtend( P143:P148,V143:V148, AJ143:AJ148,AP143:AP148))</f>
        <v>4.275912717357766E-2</v>
      </c>
      <c r="BJ143" s="29">
        <f>IF( OR(ISBLANK(P143:P148),ISBLANK(AJ143:AJ148), ISBLANK(W143:W148),ISBLANK(AQ143:AQ148)), "·", bdRateExtend( P143:P148,W143:W148, AJ143:AJ148,AQ143:AQ148))</f>
        <v>0.12467406204071363</v>
      </c>
      <c r="BK143" s="29">
        <f>IF( OR(ISBLANK(P143:P148),ISBLANK(AJ143:AJ148), ISBLANK(X143:X148),ISBLANK(AR143:AR148)), "·", bdRateExtend( P143:P148,X143:X148, AJ143:AJ148,AR143:AR148))</f>
        <v>0.12102676655437117</v>
      </c>
      <c r="BL143" s="30"/>
    </row>
    <row r="144" spans="1:64" outlineLevel="1" x14ac:dyDescent="0.15">
      <c r="A144" s="31"/>
      <c r="B144" s="31" t="s">
        <v>300</v>
      </c>
      <c r="C144" s="32" t="s">
        <v>226</v>
      </c>
      <c r="D144" s="31">
        <v>1530552</v>
      </c>
      <c r="E144" s="33">
        <v>20</v>
      </c>
      <c r="F144" s="32">
        <v>1</v>
      </c>
      <c r="G144" s="32"/>
      <c r="I144" s="34" t="str">
        <f t="shared" si="22"/>
        <v>·</v>
      </c>
      <c r="J144" s="35">
        <f t="shared" si="23"/>
        <v>10.025977555809931</v>
      </c>
      <c r="K144" s="35">
        <f t="shared" si="24"/>
        <v>9.6807426340300751</v>
      </c>
      <c r="L144" s="35">
        <f t="shared" si="25"/>
        <v>0.34474359577459635</v>
      </c>
      <c r="M144" s="36"/>
      <c r="N144" s="35">
        <f t="shared" si="26"/>
        <v>10.353203429819786</v>
      </c>
      <c r="O144" s="37">
        <v>1482177</v>
      </c>
      <c r="P144" s="38">
        <v>15345280</v>
      </c>
      <c r="Q144" s="38">
        <v>14816880</v>
      </c>
      <c r="R144" s="38">
        <v>527648</v>
      </c>
      <c r="S144" s="39"/>
      <c r="T144" s="40">
        <v>83.04</v>
      </c>
      <c r="U144" s="40">
        <v>87.816100000000006</v>
      </c>
      <c r="V144" s="40">
        <v>21.430599999999998</v>
      </c>
      <c r="W144" s="40">
        <v>36.649299999999997</v>
      </c>
      <c r="X144" s="40">
        <v>36.334000000000003</v>
      </c>
      <c r="Y144" s="41"/>
      <c r="Z144" s="42"/>
      <c r="AA144" s="42"/>
      <c r="AC144" s="34" t="str">
        <f t="shared" si="27"/>
        <v>·</v>
      </c>
      <c r="AD144" s="35">
        <f t="shared" si="28"/>
        <v>9.8414062377495171</v>
      </c>
      <c r="AE144" s="35">
        <f t="shared" si="29"/>
        <v>9.6807426340300751</v>
      </c>
      <c r="AF144" s="35">
        <f t="shared" si="30"/>
        <v>0.16017750458658053</v>
      </c>
      <c r="AG144" s="36"/>
      <c r="AH144" s="35">
        <f t="shared" si="31"/>
        <v>10.162608109557766</v>
      </c>
      <c r="AI144" s="37">
        <v>1482177</v>
      </c>
      <c r="AJ144" s="38">
        <v>15062784</v>
      </c>
      <c r="AK144" s="38">
        <v>14816880</v>
      </c>
      <c r="AL144" s="38">
        <v>245160</v>
      </c>
      <c r="AM144" s="39"/>
      <c r="AN144" s="40">
        <v>83.04</v>
      </c>
      <c r="AO144" s="40">
        <v>87.816100000000006</v>
      </c>
      <c r="AP144" s="40">
        <v>20.5777</v>
      </c>
      <c r="AQ144" s="40">
        <v>36.110399999999998</v>
      </c>
      <c r="AR144" s="40">
        <v>35.860599999999998</v>
      </c>
      <c r="AS144" s="41"/>
      <c r="AT144" s="42"/>
      <c r="AU144" s="42"/>
      <c r="AW144" s="43">
        <f t="shared" si="32"/>
        <v>1.8108772001651063E-2</v>
      </c>
      <c r="AX144" s="43"/>
      <c r="AZ144" s="44"/>
      <c r="BA144" s="44"/>
      <c r="BB144" s="44"/>
      <c r="BC144" s="44"/>
      <c r="BD144" s="44"/>
      <c r="BE144" s="45"/>
      <c r="BG144" s="44"/>
      <c r="BH144" s="44"/>
      <c r="BI144" s="44"/>
      <c r="BJ144" s="44"/>
      <c r="BK144" s="44"/>
      <c r="BL144" s="45"/>
    </row>
    <row r="145" spans="1:64" outlineLevel="1" x14ac:dyDescent="0.15">
      <c r="A145" s="16"/>
      <c r="B145" s="16" t="s">
        <v>300</v>
      </c>
      <c r="C145" s="17" t="s">
        <v>227</v>
      </c>
      <c r="D145" s="16">
        <v>1530552</v>
      </c>
      <c r="E145" s="18">
        <v>20</v>
      </c>
      <c r="F145" s="17">
        <v>1</v>
      </c>
      <c r="G145" s="17"/>
      <c r="I145" s="19" t="str">
        <f t="shared" si="22"/>
        <v>·</v>
      </c>
      <c r="J145" s="20">
        <f t="shared" si="23"/>
        <v>16.928862266685485</v>
      </c>
      <c r="K145" s="20">
        <f t="shared" si="24"/>
        <v>15.982782682326377</v>
      </c>
      <c r="L145" s="20">
        <f t="shared" si="25"/>
        <v>0.9455830314814524</v>
      </c>
      <c r="M145" s="21"/>
      <c r="N145" s="20">
        <f t="shared" si="26"/>
        <v>16.955005653739843</v>
      </c>
      <c r="O145" s="22">
        <v>1528192</v>
      </c>
      <c r="P145" s="23">
        <v>25910504</v>
      </c>
      <c r="Q145" s="23">
        <v>24462480</v>
      </c>
      <c r="R145" s="23">
        <v>1447264</v>
      </c>
      <c r="S145" s="24"/>
      <c r="T145" s="25">
        <v>95.078000000000003</v>
      </c>
      <c r="U145" s="25">
        <v>99.851299999999995</v>
      </c>
      <c r="V145" s="25">
        <v>24.342700000000001</v>
      </c>
      <c r="W145" s="25">
        <v>37.338299999999997</v>
      </c>
      <c r="X145" s="25">
        <v>36.963299999999997</v>
      </c>
      <c r="Y145" s="26"/>
      <c r="Z145" s="27"/>
      <c r="AA145" s="27"/>
      <c r="AC145" s="19" t="str">
        <f t="shared" si="27"/>
        <v>·</v>
      </c>
      <c r="AD145" s="20">
        <f t="shared" si="28"/>
        <v>16.563101417005107</v>
      </c>
      <c r="AE145" s="20">
        <f t="shared" si="29"/>
        <v>15.982782682326377</v>
      </c>
      <c r="AF145" s="20">
        <f t="shared" si="30"/>
        <v>0.57982740867347204</v>
      </c>
      <c r="AG145" s="21"/>
      <c r="AH145" s="20">
        <f t="shared" si="31"/>
        <v>16.588679956445265</v>
      </c>
      <c r="AI145" s="22">
        <v>1528192</v>
      </c>
      <c r="AJ145" s="23">
        <v>25350688</v>
      </c>
      <c r="AK145" s="23">
        <v>24462480</v>
      </c>
      <c r="AL145" s="23">
        <v>887456</v>
      </c>
      <c r="AM145" s="24"/>
      <c r="AN145" s="25">
        <v>95.078000000000003</v>
      </c>
      <c r="AO145" s="25">
        <v>99.851299999999995</v>
      </c>
      <c r="AP145" s="25">
        <v>23.548500000000001</v>
      </c>
      <c r="AQ145" s="25">
        <v>36.822400000000002</v>
      </c>
      <c r="AR145" s="25">
        <v>36.509500000000003</v>
      </c>
      <c r="AS145" s="26"/>
      <c r="AT145" s="27"/>
      <c r="AU145" s="27"/>
      <c r="AW145" s="28">
        <f t="shared" si="32"/>
        <v>2.0848757568131981E-2</v>
      </c>
      <c r="AX145" s="28"/>
      <c r="AZ145" s="29"/>
      <c r="BA145" s="29"/>
      <c r="BB145" s="29"/>
      <c r="BC145" s="29"/>
      <c r="BD145" s="29"/>
      <c r="BE145" s="30"/>
      <c r="BG145" s="29"/>
      <c r="BH145" s="29"/>
      <c r="BI145" s="29"/>
      <c r="BJ145" s="29"/>
      <c r="BK145" s="29"/>
      <c r="BL145" s="30"/>
    </row>
    <row r="146" spans="1:64" outlineLevel="1" x14ac:dyDescent="0.15">
      <c r="A146" s="31"/>
      <c r="B146" s="31" t="s">
        <v>300</v>
      </c>
      <c r="C146" s="32" t="s">
        <v>228</v>
      </c>
      <c r="D146" s="31">
        <v>1530552</v>
      </c>
      <c r="E146" s="33">
        <v>20</v>
      </c>
      <c r="F146" s="32">
        <v>1</v>
      </c>
      <c r="G146" s="32"/>
      <c r="I146" s="34" t="str">
        <f t="shared" si="22"/>
        <v>·</v>
      </c>
      <c r="J146" s="35">
        <f t="shared" si="23"/>
        <v>21.067646182553744</v>
      </c>
      <c r="K146" s="35">
        <f t="shared" si="24"/>
        <v>19.070902524056681</v>
      </c>
      <c r="L146" s="35">
        <f t="shared" si="25"/>
        <v>1.9962471056194104</v>
      </c>
      <c r="M146" s="36"/>
      <c r="N146" s="35">
        <f t="shared" si="26"/>
        <v>21.073566682918095</v>
      </c>
      <c r="O146" s="37">
        <v>1530122</v>
      </c>
      <c r="P146" s="38">
        <v>32245128</v>
      </c>
      <c r="Q146" s="38">
        <v>29189008</v>
      </c>
      <c r="R146" s="38">
        <v>3055360</v>
      </c>
      <c r="S146" s="39"/>
      <c r="T146" s="40">
        <v>101.095</v>
      </c>
      <c r="U146" s="40">
        <v>105.867</v>
      </c>
      <c r="V146" s="40">
        <v>29.137</v>
      </c>
      <c r="W146" s="40">
        <v>38.250900000000001</v>
      </c>
      <c r="X146" s="40">
        <v>37.803800000000003</v>
      </c>
      <c r="Y146" s="41"/>
      <c r="Z146" s="42"/>
      <c r="AA146" s="42"/>
      <c r="AC146" s="34" t="str">
        <f t="shared" si="27"/>
        <v>·</v>
      </c>
      <c r="AD146" s="35">
        <f t="shared" si="28"/>
        <v>20.517747845221855</v>
      </c>
      <c r="AE146" s="35">
        <f t="shared" si="29"/>
        <v>19.070902524056681</v>
      </c>
      <c r="AF146" s="35">
        <f t="shared" si="30"/>
        <v>1.4463539951599163</v>
      </c>
      <c r="AG146" s="36"/>
      <c r="AH146" s="35">
        <f t="shared" si="31"/>
        <v>20.523513811317006</v>
      </c>
      <c r="AI146" s="37">
        <v>1530122</v>
      </c>
      <c r="AJ146" s="38">
        <v>31403480</v>
      </c>
      <c r="AK146" s="38">
        <v>29189008</v>
      </c>
      <c r="AL146" s="38">
        <v>2213720</v>
      </c>
      <c r="AM146" s="39"/>
      <c r="AN146" s="40">
        <v>101.095</v>
      </c>
      <c r="AO146" s="40">
        <v>105.867</v>
      </c>
      <c r="AP146" s="40">
        <v>28.1328</v>
      </c>
      <c r="AQ146" s="40">
        <v>37.645699999999998</v>
      </c>
      <c r="AR146" s="40">
        <v>37.273000000000003</v>
      </c>
      <c r="AS146" s="41"/>
      <c r="AT146" s="42"/>
      <c r="AU146" s="42"/>
      <c r="AW146" s="43">
        <f t="shared" si="32"/>
        <v>2.4260958149381562E-2</v>
      </c>
      <c r="AX146" s="43"/>
      <c r="AZ146" s="44"/>
      <c r="BA146" s="44"/>
      <c r="BB146" s="44"/>
      <c r="BC146" s="44"/>
      <c r="BD146" s="44"/>
      <c r="BE146" s="45"/>
      <c r="BG146" s="44"/>
      <c r="BH146" s="44"/>
      <c r="BI146" s="44"/>
      <c r="BJ146" s="44"/>
      <c r="BK146" s="44"/>
      <c r="BL146" s="45"/>
    </row>
    <row r="147" spans="1:64" outlineLevel="1" x14ac:dyDescent="0.15">
      <c r="A147" s="16"/>
      <c r="B147" s="16" t="s">
        <v>300</v>
      </c>
      <c r="C147" s="17" t="s">
        <v>229</v>
      </c>
      <c r="D147" s="16">
        <v>1530552</v>
      </c>
      <c r="E147" s="18">
        <v>20</v>
      </c>
      <c r="F147" s="17">
        <v>1</v>
      </c>
      <c r="G147" s="17"/>
      <c r="I147" s="19" t="str">
        <f t="shared" si="22"/>
        <v>·</v>
      </c>
      <c r="J147" s="20">
        <f t="shared" si="23"/>
        <v>28.616039180635482</v>
      </c>
      <c r="K147" s="20">
        <f t="shared" si="24"/>
        <v>25.228916103471168</v>
      </c>
      <c r="L147" s="20">
        <f t="shared" si="25"/>
        <v>3.3866212974142664</v>
      </c>
      <c r="M147" s="21"/>
      <c r="N147" s="20">
        <f t="shared" si="26"/>
        <v>28.616226147338654</v>
      </c>
      <c r="O147" s="22">
        <v>1530542</v>
      </c>
      <c r="P147" s="23">
        <v>43798336</v>
      </c>
      <c r="Q147" s="23">
        <v>38614168</v>
      </c>
      <c r="R147" s="23">
        <v>5183400</v>
      </c>
      <c r="S147" s="24"/>
      <c r="T147" s="25">
        <v>113.01</v>
      </c>
      <c r="U147" s="25">
        <v>117.797</v>
      </c>
      <c r="V147" s="25">
        <v>34.785499999999999</v>
      </c>
      <c r="W147" s="25">
        <v>39.631100000000004</v>
      </c>
      <c r="X147" s="25">
        <v>39.123600000000003</v>
      </c>
      <c r="Y147" s="26"/>
      <c r="Z147" s="27"/>
      <c r="AA147" s="27"/>
      <c r="AC147" s="19" t="str">
        <f t="shared" si="27"/>
        <v>·</v>
      </c>
      <c r="AD147" s="20">
        <f t="shared" si="28"/>
        <v>27.889033499025189</v>
      </c>
      <c r="AE147" s="20">
        <f t="shared" si="29"/>
        <v>25.228916103471168</v>
      </c>
      <c r="AF147" s="20">
        <f t="shared" si="30"/>
        <v>2.6596208426763677</v>
      </c>
      <c r="AG147" s="21"/>
      <c r="AH147" s="20">
        <f t="shared" si="31"/>
        <v>27.889215715739915</v>
      </c>
      <c r="AI147" s="22">
        <v>1530542</v>
      </c>
      <c r="AJ147" s="23">
        <v>42685616</v>
      </c>
      <c r="AK147" s="23">
        <v>38614168</v>
      </c>
      <c r="AL147" s="23">
        <v>4070688</v>
      </c>
      <c r="AM147" s="24"/>
      <c r="AN147" s="25">
        <v>113.01</v>
      </c>
      <c r="AO147" s="25">
        <v>117.797</v>
      </c>
      <c r="AP147" s="25">
        <v>33.955599999999997</v>
      </c>
      <c r="AQ147" s="25">
        <v>38.9739</v>
      </c>
      <c r="AR147" s="25">
        <v>38.5274</v>
      </c>
      <c r="AS147" s="26"/>
      <c r="AT147" s="27"/>
      <c r="AU147" s="27"/>
      <c r="AW147" s="28">
        <f t="shared" si="32"/>
        <v>2.2982295889888871E-2</v>
      </c>
      <c r="AX147" s="28"/>
      <c r="AZ147" s="29"/>
      <c r="BA147" s="29"/>
      <c r="BB147" s="29"/>
      <c r="BC147" s="29"/>
      <c r="BD147" s="29"/>
      <c r="BE147" s="30"/>
      <c r="BG147" s="29"/>
      <c r="BH147" s="29"/>
      <c r="BI147" s="29"/>
      <c r="BJ147" s="29"/>
      <c r="BK147" s="29"/>
      <c r="BL147" s="30"/>
    </row>
    <row r="148" spans="1:64" outlineLevel="1" x14ac:dyDescent="0.15">
      <c r="A148" s="31"/>
      <c r="B148" s="46" t="s">
        <v>300</v>
      </c>
      <c r="C148" s="47" t="s">
        <v>230</v>
      </c>
      <c r="D148" s="46">
        <v>1530552</v>
      </c>
      <c r="E148" s="48">
        <v>20</v>
      </c>
      <c r="F148" s="47">
        <v>1</v>
      </c>
      <c r="G148" s="47"/>
      <c r="I148" s="49" t="str">
        <f t="shared" si="22"/>
        <v>·</v>
      </c>
      <c r="J148" s="50">
        <f t="shared" si="23"/>
        <v>33.721726540489968</v>
      </c>
      <c r="K148" s="50">
        <f t="shared" si="24"/>
        <v>28.291403362969699</v>
      </c>
      <c r="L148" s="50">
        <f t="shared" si="25"/>
        <v>5.4298161708978201</v>
      </c>
      <c r="M148" s="51"/>
      <c r="N148" s="50">
        <f t="shared" si="26"/>
        <v>33.721726540489968</v>
      </c>
      <c r="O148" s="52">
        <v>1530552</v>
      </c>
      <c r="P148" s="53">
        <v>51612856</v>
      </c>
      <c r="Q148" s="53">
        <v>43301464</v>
      </c>
      <c r="R148" s="53">
        <v>8310616</v>
      </c>
      <c r="S148" s="54"/>
      <c r="T148" s="55">
        <v>118.65</v>
      </c>
      <c r="U148" s="55">
        <v>123.494</v>
      </c>
      <c r="V148" s="55">
        <v>40.522100000000002</v>
      </c>
      <c r="W148" s="55">
        <v>42.448099999999997</v>
      </c>
      <c r="X148" s="55">
        <v>42.151600000000002</v>
      </c>
      <c r="Y148" s="56"/>
      <c r="Z148" s="57"/>
      <c r="AA148" s="57"/>
      <c r="AC148" s="49" t="str">
        <f t="shared" si="27"/>
        <v>·</v>
      </c>
      <c r="AD148" s="50">
        <f t="shared" si="28"/>
        <v>32.6799847375326</v>
      </c>
      <c r="AE148" s="50">
        <f t="shared" si="29"/>
        <v>28.291403362969699</v>
      </c>
      <c r="AF148" s="50">
        <f t="shared" si="30"/>
        <v>4.3880795948128517</v>
      </c>
      <c r="AG148" s="51"/>
      <c r="AH148" s="50">
        <f t="shared" si="31"/>
        <v>32.6799847375326</v>
      </c>
      <c r="AI148" s="52">
        <v>1530552</v>
      </c>
      <c r="AJ148" s="53">
        <v>50018416</v>
      </c>
      <c r="AK148" s="53">
        <v>43301464</v>
      </c>
      <c r="AL148" s="53">
        <v>6716184</v>
      </c>
      <c r="AM148" s="54"/>
      <c r="AN148" s="55">
        <v>118.65</v>
      </c>
      <c r="AO148" s="55">
        <v>123.494</v>
      </c>
      <c r="AP148" s="55">
        <v>39.350999999999999</v>
      </c>
      <c r="AQ148" s="55">
        <v>41.482399999999998</v>
      </c>
      <c r="AR148" s="55">
        <v>41.1267</v>
      </c>
      <c r="AS148" s="56"/>
      <c r="AT148" s="57"/>
      <c r="AU148" s="57"/>
      <c r="AW148" s="58">
        <f t="shared" si="32"/>
        <v>2.6743788883070385E-2</v>
      </c>
      <c r="AX148" s="58"/>
      <c r="AZ148" s="59"/>
      <c r="BA148" s="59"/>
      <c r="BB148" s="59"/>
      <c r="BC148" s="59"/>
      <c r="BD148" s="59"/>
      <c r="BE148" s="60"/>
      <c r="BG148" s="59"/>
      <c r="BH148" s="59"/>
      <c r="BI148" s="59"/>
      <c r="BJ148" s="59"/>
      <c r="BK148" s="59"/>
      <c r="BL148" s="60"/>
    </row>
    <row r="149" spans="1:64" collapsed="1" x14ac:dyDescent="0.15">
      <c r="A149" s="16"/>
      <c r="B149" s="16" t="s">
        <v>303</v>
      </c>
      <c r="C149" s="17" t="s">
        <v>225</v>
      </c>
      <c r="D149" s="16">
        <v>272689</v>
      </c>
      <c r="E149" s="18">
        <v>20</v>
      </c>
      <c r="F149" s="17">
        <v>1</v>
      </c>
      <c r="G149" s="17"/>
      <c r="I149" s="19" t="str">
        <f t="shared" si="22"/>
        <v>·</v>
      </c>
      <c r="J149" s="20">
        <f t="shared" si="23"/>
        <v>8.9699841211049947</v>
      </c>
      <c r="K149" s="20">
        <f t="shared" si="24"/>
        <v>8.9325788719016899</v>
      </c>
      <c r="L149" s="20">
        <f t="shared" si="25"/>
        <v>3.5527652380550737E-2</v>
      </c>
      <c r="M149" s="21"/>
      <c r="N149" s="20">
        <f t="shared" si="26"/>
        <v>8.971694964366538</v>
      </c>
      <c r="O149" s="22">
        <v>272637</v>
      </c>
      <c r="P149" s="23">
        <v>2446016</v>
      </c>
      <c r="Q149" s="23">
        <v>2435816</v>
      </c>
      <c r="R149" s="23">
        <v>9688</v>
      </c>
      <c r="S149" s="24"/>
      <c r="T149" s="25">
        <v>77.024100000000004</v>
      </c>
      <c r="U149" s="25">
        <v>81.799599999999998</v>
      </c>
      <c r="V149" s="25">
        <v>28.624500000000001</v>
      </c>
      <c r="W149" s="25">
        <v>37.9315</v>
      </c>
      <c r="X149" s="25">
        <v>39.512900000000002</v>
      </c>
      <c r="Y149" s="26"/>
      <c r="Z149" s="27"/>
      <c r="AA149" s="27"/>
      <c r="AC149" s="19" t="str">
        <f t="shared" si="27"/>
        <v>·</v>
      </c>
      <c r="AD149" s="20">
        <f t="shared" si="28"/>
        <v>8.947012897476613</v>
      </c>
      <c r="AE149" s="20">
        <f t="shared" si="29"/>
        <v>8.9325788719016899</v>
      </c>
      <c r="AF149" s="20">
        <f t="shared" si="30"/>
        <v>1.2585766202523755E-2</v>
      </c>
      <c r="AG149" s="21"/>
      <c r="AH149" s="20">
        <f t="shared" si="31"/>
        <v>8.9487193594413093</v>
      </c>
      <c r="AI149" s="22">
        <v>272637</v>
      </c>
      <c r="AJ149" s="23">
        <v>2439752</v>
      </c>
      <c r="AK149" s="23">
        <v>2435816</v>
      </c>
      <c r="AL149" s="23">
        <v>3432</v>
      </c>
      <c r="AM149" s="24"/>
      <c r="AN149" s="25">
        <v>77.024100000000004</v>
      </c>
      <c r="AO149" s="25">
        <v>81.799599999999998</v>
      </c>
      <c r="AP149" s="25">
        <v>27.074100000000001</v>
      </c>
      <c r="AQ149" s="25">
        <v>37.819099999999999</v>
      </c>
      <c r="AR149" s="25">
        <v>38.6175</v>
      </c>
      <c r="AS149" s="26"/>
      <c r="AT149" s="27"/>
      <c r="AU149" s="27"/>
      <c r="AW149" s="28">
        <f t="shared" si="32"/>
        <v>2.5567675853535032E-3</v>
      </c>
      <c r="AX149" s="28">
        <f t="array" ref="AX149">AVERAGE(AK149:AK154/AJ149:AJ154) - AVERAGE(Q149:Q154/P149:P154)</f>
        <v>7.0981527426260405E-3</v>
      </c>
      <c r="AZ149" s="29">
        <f>IF( OR(ISBLANK(Q149:Q154),ISBLANK(AK149:AK154), ISBLANK(T149:T154),ISBLANK(AN149:AN154)), "·", bdRateExtend( Q149:Q154,T149:T154, AK149:AK154,AN149:AN154))</f>
        <v>0</v>
      </c>
      <c r="BA149" s="29">
        <f>IF( OR(ISBLANK(Q149:Q154),ISBLANK(AK149:AK154), ISBLANK(U149:U154),ISBLANK(AO149:AO154)), "·", bdRateExtend( Q149:Q154,U149:U154, AK149:AK154,AO149:AO154))</f>
        <v>0</v>
      </c>
      <c r="BB149" s="29">
        <f>IF( OR(ISBLANK(R149:R154),ISBLANK(AL149:AL154), ISBLANK(V149:V154),ISBLANK(AP149:AP154)), "·", bdRateExtend( R149:R154,V149:V154, AL149:AL154,AP149:AP154))</f>
        <v>-3.7819383273684615E-2</v>
      </c>
      <c r="BC149" s="29">
        <f>IF( OR(ISBLANK(R149:R154),ISBLANK(AL149:AL154), ISBLANK(W149:W154),ISBLANK(AQ149:AQ154)), "·", bdRateExtend( R149:R154,W149:W154, AL149:AL154,AQ149:AQ154))</f>
        <v>2.0450775811658106E-2</v>
      </c>
      <c r="BD149" s="29">
        <f>IF( OR(ISBLANK(R149:R154),ISBLANK(AL149:AL154), ISBLANK(X149:X154),ISBLANK(AR149:AR154)), "·", bdRateExtend( R149:R154,X149:X154, AL149:AL154,AR149:AR154))</f>
        <v>0.18676178259835297</v>
      </c>
      <c r="BE149" s="30"/>
      <c r="BG149" s="29">
        <f>IF( OR(ISBLANK(P149:P154),ISBLANK(AJ149:AJ154), ISBLANK(T149:T154),ISBLANK(AN149:AN154)), "·", bdRateExtend( P149:P154,T149:T154, AJ149:AJ154,AN149:AN154))</f>
        <v>-6.6045172314576073E-3</v>
      </c>
      <c r="BH149" s="29">
        <f>IF( OR(ISBLANK(P149:P154),ISBLANK(AJ149:AJ154), ISBLANK(U149:U154),ISBLANK(AO149:AO154)), "·", bdRateExtend( P149:P154,U149:U154, AJ149:AJ154,AO149:AO154))</f>
        <v>-6.6263906684340679E-3</v>
      </c>
      <c r="BI149" s="29">
        <f>IF( OR(ISBLANK(P149:P154),ISBLANK(AJ149:AJ154), ISBLANK(V149:V154),ISBLANK(AP149:AP154)), "·", bdRateExtend( P149:P154,V149:V154, AJ149:AJ154,AP149:AP154))</f>
        <v>0.16671876142726738</v>
      </c>
      <c r="BJ149" s="29">
        <f>IF( OR(ISBLANK(P149:P154),ISBLANK(AJ149:AJ154), ISBLANK(W149:W154),ISBLANK(AQ149:AQ154)), "·", bdRateExtend( P149:P154,W149:W154, AJ149:AJ154,AQ149:AQ154))</f>
        <v>0.19540125480213555</v>
      </c>
      <c r="BK149" s="29">
        <f>IF( OR(ISBLANK(P149:P154),ISBLANK(AJ149:AJ154), ISBLANK(X149:X154),ISBLANK(AR149:AR154)), "·", bdRateExtend( P149:P154,X149:X154, AJ149:AJ154,AR149:AR154))</f>
        <v>0.23941810372963057</v>
      </c>
      <c r="BL149" s="30"/>
    </row>
    <row r="150" spans="1:64" outlineLevel="1" x14ac:dyDescent="0.15">
      <c r="A150" s="31"/>
      <c r="B150" s="31" t="s">
        <v>303</v>
      </c>
      <c r="C150" s="32" t="s">
        <v>226</v>
      </c>
      <c r="D150" s="31">
        <v>272689</v>
      </c>
      <c r="E150" s="33">
        <v>20</v>
      </c>
      <c r="F150" s="32">
        <v>1</v>
      </c>
      <c r="G150" s="32"/>
      <c r="I150" s="34" t="str">
        <f t="shared" si="22"/>
        <v>·</v>
      </c>
      <c r="J150" s="35">
        <f t="shared" si="23"/>
        <v>11.819530674137937</v>
      </c>
      <c r="K150" s="35">
        <f t="shared" si="24"/>
        <v>11.737620512745288</v>
      </c>
      <c r="L150" s="35">
        <f t="shared" si="25"/>
        <v>8.0032564569894646E-2</v>
      </c>
      <c r="M150" s="36"/>
      <c r="N150" s="35">
        <f t="shared" si="26"/>
        <v>11.81966070865391</v>
      </c>
      <c r="O150" s="37">
        <v>272686</v>
      </c>
      <c r="P150" s="38">
        <v>3223056</v>
      </c>
      <c r="Q150" s="38">
        <v>3200720</v>
      </c>
      <c r="R150" s="38">
        <v>21824</v>
      </c>
      <c r="S150" s="39"/>
      <c r="T150" s="40">
        <v>83.037400000000005</v>
      </c>
      <c r="U150" s="40">
        <v>87.7988</v>
      </c>
      <c r="V150" s="40">
        <v>30.837299999999999</v>
      </c>
      <c r="W150" s="40">
        <v>39.823500000000003</v>
      </c>
      <c r="X150" s="40">
        <v>40.746899999999997</v>
      </c>
      <c r="Y150" s="41"/>
      <c r="Z150" s="42"/>
      <c r="AA150" s="42"/>
      <c r="AC150" s="34" t="str">
        <f t="shared" si="27"/>
        <v>·</v>
      </c>
      <c r="AD150" s="35">
        <f t="shared" si="28"/>
        <v>11.775231124101083</v>
      </c>
      <c r="AE150" s="35">
        <f t="shared" si="29"/>
        <v>11.737620512745288</v>
      </c>
      <c r="AF150" s="35">
        <f t="shared" si="30"/>
        <v>3.5762351983395002E-2</v>
      </c>
      <c r="AG150" s="36"/>
      <c r="AH150" s="35">
        <f t="shared" si="31"/>
        <v>11.775360671248249</v>
      </c>
      <c r="AI150" s="37">
        <v>272686</v>
      </c>
      <c r="AJ150" s="38">
        <v>3210976</v>
      </c>
      <c r="AK150" s="38">
        <v>3200720</v>
      </c>
      <c r="AL150" s="38">
        <v>9752</v>
      </c>
      <c r="AM150" s="39"/>
      <c r="AN150" s="40">
        <v>83.037400000000005</v>
      </c>
      <c r="AO150" s="40">
        <v>87.7988</v>
      </c>
      <c r="AP150" s="40">
        <v>28.995000000000001</v>
      </c>
      <c r="AQ150" s="40">
        <v>38.769500000000001</v>
      </c>
      <c r="AR150" s="40">
        <v>39.7547</v>
      </c>
      <c r="AS150" s="41"/>
      <c r="AT150" s="42"/>
      <c r="AU150" s="42"/>
      <c r="AW150" s="43">
        <f t="shared" si="32"/>
        <v>3.7360244262942821E-3</v>
      </c>
      <c r="AX150" s="43"/>
      <c r="AZ150" s="44"/>
      <c r="BA150" s="44"/>
      <c r="BB150" s="44"/>
      <c r="BC150" s="44"/>
      <c r="BD150" s="44"/>
      <c r="BE150" s="45"/>
      <c r="BG150" s="44"/>
      <c r="BH150" s="44"/>
      <c r="BI150" s="44"/>
      <c r="BJ150" s="44"/>
      <c r="BK150" s="44"/>
      <c r="BL150" s="45"/>
    </row>
    <row r="151" spans="1:64" outlineLevel="1" x14ac:dyDescent="0.15">
      <c r="A151" s="16"/>
      <c r="B151" s="16" t="s">
        <v>303</v>
      </c>
      <c r="C151" s="17" t="s">
        <v>227</v>
      </c>
      <c r="D151" s="16">
        <v>272689</v>
      </c>
      <c r="E151" s="18">
        <v>20</v>
      </c>
      <c r="F151" s="17">
        <v>1</v>
      </c>
      <c r="G151" s="17"/>
      <c r="I151" s="19" t="str">
        <f t="shared" si="22"/>
        <v>·</v>
      </c>
      <c r="J151" s="20">
        <f t="shared" si="23"/>
        <v>18.009116612697984</v>
      </c>
      <c r="K151" s="20">
        <f t="shared" si="24"/>
        <v>17.826696346387276</v>
      </c>
      <c r="L151" s="20">
        <f t="shared" si="25"/>
        <v>0.18051333203759595</v>
      </c>
      <c r="M151" s="21"/>
      <c r="N151" s="20">
        <f t="shared" si="26"/>
        <v>18.009116612697984</v>
      </c>
      <c r="O151" s="22">
        <v>272689</v>
      </c>
      <c r="P151" s="23">
        <v>4910888</v>
      </c>
      <c r="Q151" s="23">
        <v>4861144</v>
      </c>
      <c r="R151" s="23">
        <v>49224</v>
      </c>
      <c r="S151" s="24"/>
      <c r="T151" s="25">
        <v>95.077699999999993</v>
      </c>
      <c r="U151" s="25">
        <v>99.859399999999994</v>
      </c>
      <c r="V151" s="25">
        <v>33.486400000000003</v>
      </c>
      <c r="W151" s="25">
        <v>41.35</v>
      </c>
      <c r="X151" s="25">
        <v>42.038499999999999</v>
      </c>
      <c r="Y151" s="26"/>
      <c r="Z151" s="27"/>
      <c r="AA151" s="27"/>
      <c r="AC151" s="19" t="str">
        <f t="shared" si="27"/>
        <v>·</v>
      </c>
      <c r="AD151" s="20">
        <f t="shared" si="28"/>
        <v>17.927294463656398</v>
      </c>
      <c r="AE151" s="20">
        <f t="shared" si="29"/>
        <v>17.826696346387276</v>
      </c>
      <c r="AF151" s="20">
        <f t="shared" si="30"/>
        <v>9.8720520446369309E-2</v>
      </c>
      <c r="AG151" s="21"/>
      <c r="AH151" s="20">
        <f t="shared" si="31"/>
        <v>17.927294463656398</v>
      </c>
      <c r="AI151" s="22">
        <v>272689</v>
      </c>
      <c r="AJ151" s="23">
        <v>4888576</v>
      </c>
      <c r="AK151" s="23">
        <v>4861144</v>
      </c>
      <c r="AL151" s="23">
        <v>26920</v>
      </c>
      <c r="AM151" s="24"/>
      <c r="AN151" s="25">
        <v>95.077699999999993</v>
      </c>
      <c r="AO151" s="25">
        <v>99.859399999999994</v>
      </c>
      <c r="AP151" s="25">
        <v>31.681999999999999</v>
      </c>
      <c r="AQ151" s="25">
        <v>40.112900000000003</v>
      </c>
      <c r="AR151" s="25">
        <v>40.756100000000004</v>
      </c>
      <c r="AS151" s="26"/>
      <c r="AT151" s="27"/>
      <c r="AU151" s="27"/>
      <c r="AW151" s="28">
        <f t="shared" si="32"/>
        <v>4.5178789104262096E-3</v>
      </c>
      <c r="AX151" s="28"/>
      <c r="AZ151" s="29"/>
      <c r="BA151" s="29"/>
      <c r="BB151" s="29"/>
      <c r="BC151" s="29"/>
      <c r="BD151" s="29"/>
      <c r="BE151" s="30"/>
      <c r="BG151" s="29"/>
      <c r="BH151" s="29"/>
      <c r="BI151" s="29"/>
      <c r="BJ151" s="29"/>
      <c r="BK151" s="29"/>
      <c r="BL151" s="30"/>
    </row>
    <row r="152" spans="1:64" outlineLevel="1" x14ac:dyDescent="0.15">
      <c r="A152" s="31"/>
      <c r="B152" s="31" t="s">
        <v>303</v>
      </c>
      <c r="C152" s="32" t="s">
        <v>228</v>
      </c>
      <c r="D152" s="31">
        <v>272689</v>
      </c>
      <c r="E152" s="33">
        <v>20</v>
      </c>
      <c r="F152" s="32">
        <v>1</v>
      </c>
      <c r="G152" s="32"/>
      <c r="I152" s="34" t="str">
        <f t="shared" si="22"/>
        <v>·</v>
      </c>
      <c r="J152" s="35">
        <f t="shared" si="23"/>
        <v>21.297844797553257</v>
      </c>
      <c r="K152" s="35">
        <f t="shared" si="24"/>
        <v>20.900410357586846</v>
      </c>
      <c r="L152" s="35">
        <f t="shared" si="25"/>
        <v>0.39552750569329898</v>
      </c>
      <c r="M152" s="36"/>
      <c r="N152" s="35">
        <f t="shared" si="26"/>
        <v>21.297844797553257</v>
      </c>
      <c r="O152" s="37">
        <v>272689</v>
      </c>
      <c r="P152" s="38">
        <v>5807688</v>
      </c>
      <c r="Q152" s="38">
        <v>5699312</v>
      </c>
      <c r="R152" s="38">
        <v>107856</v>
      </c>
      <c r="S152" s="39"/>
      <c r="T152" s="40">
        <v>101.092</v>
      </c>
      <c r="U152" s="40">
        <v>105.876</v>
      </c>
      <c r="V152" s="40">
        <v>36.308399999999999</v>
      </c>
      <c r="W152" s="40">
        <v>43.259099999999997</v>
      </c>
      <c r="X152" s="40">
        <v>43.842100000000002</v>
      </c>
      <c r="Y152" s="41"/>
      <c r="Z152" s="42"/>
      <c r="AA152" s="42"/>
      <c r="AC152" s="34" t="str">
        <f t="shared" si="27"/>
        <v>·</v>
      </c>
      <c r="AD152" s="35">
        <f t="shared" si="28"/>
        <v>21.130650667977072</v>
      </c>
      <c r="AE152" s="35">
        <f t="shared" si="29"/>
        <v>20.900410357586846</v>
      </c>
      <c r="AF152" s="35">
        <f t="shared" si="30"/>
        <v>0.22836271356747065</v>
      </c>
      <c r="AG152" s="36"/>
      <c r="AH152" s="35">
        <f t="shared" si="31"/>
        <v>21.130650667977072</v>
      </c>
      <c r="AI152" s="37">
        <v>272689</v>
      </c>
      <c r="AJ152" s="38">
        <v>5762096</v>
      </c>
      <c r="AK152" s="38">
        <v>5699312</v>
      </c>
      <c r="AL152" s="38">
        <v>62272</v>
      </c>
      <c r="AM152" s="39"/>
      <c r="AN152" s="40">
        <v>101.092</v>
      </c>
      <c r="AO152" s="40">
        <v>105.876</v>
      </c>
      <c r="AP152" s="40">
        <v>34.398200000000003</v>
      </c>
      <c r="AQ152" s="40">
        <v>41.651299999999999</v>
      </c>
      <c r="AR152" s="40">
        <v>42.228700000000003</v>
      </c>
      <c r="AS152" s="41"/>
      <c r="AT152" s="42"/>
      <c r="AU152" s="42"/>
      <c r="AW152" s="43">
        <f t="shared" si="32"/>
        <v>7.7647469991194429E-3</v>
      </c>
      <c r="AX152" s="43"/>
      <c r="AZ152" s="44"/>
      <c r="BA152" s="44"/>
      <c r="BB152" s="44"/>
      <c r="BC152" s="44"/>
      <c r="BD152" s="44"/>
      <c r="BE152" s="45"/>
      <c r="BG152" s="44"/>
      <c r="BH152" s="44"/>
      <c r="BI152" s="44"/>
      <c r="BJ152" s="44"/>
      <c r="BK152" s="44"/>
      <c r="BL152" s="45"/>
    </row>
    <row r="153" spans="1:64" outlineLevel="1" x14ac:dyDescent="0.15">
      <c r="A153" s="16"/>
      <c r="B153" s="16" t="s">
        <v>303</v>
      </c>
      <c r="C153" s="17" t="s">
        <v>229</v>
      </c>
      <c r="D153" s="16">
        <v>272689</v>
      </c>
      <c r="E153" s="18">
        <v>20</v>
      </c>
      <c r="F153" s="17">
        <v>1</v>
      </c>
      <c r="G153" s="17"/>
      <c r="I153" s="19" t="str">
        <f t="shared" si="22"/>
        <v>·</v>
      </c>
      <c r="J153" s="20">
        <f t="shared" si="23"/>
        <v>27.463432701722475</v>
      </c>
      <c r="K153" s="20">
        <f t="shared" si="24"/>
        <v>26.635383165437549</v>
      </c>
      <c r="L153" s="20">
        <f t="shared" si="25"/>
        <v>0.82611326456146017</v>
      </c>
      <c r="M153" s="21"/>
      <c r="N153" s="20">
        <f t="shared" si="26"/>
        <v>27.463432701722475</v>
      </c>
      <c r="O153" s="22">
        <v>272689</v>
      </c>
      <c r="P153" s="23">
        <v>7488976</v>
      </c>
      <c r="Q153" s="23">
        <v>7263176</v>
      </c>
      <c r="R153" s="23">
        <v>225272</v>
      </c>
      <c r="S153" s="24"/>
      <c r="T153" s="25">
        <v>113.00700000000001</v>
      </c>
      <c r="U153" s="25">
        <v>117.81100000000001</v>
      </c>
      <c r="V153" s="25">
        <v>39.432299999999998</v>
      </c>
      <c r="W153" s="25">
        <v>45.2986</v>
      </c>
      <c r="X153" s="25">
        <v>45.726199999999999</v>
      </c>
      <c r="Y153" s="26"/>
      <c r="Z153" s="27"/>
      <c r="AA153" s="27"/>
      <c r="AC153" s="19" t="str">
        <f t="shared" si="27"/>
        <v>·</v>
      </c>
      <c r="AD153" s="20">
        <f t="shared" si="28"/>
        <v>27.192119960834503</v>
      </c>
      <c r="AE153" s="20">
        <f t="shared" si="29"/>
        <v>26.635383165437549</v>
      </c>
      <c r="AF153" s="20">
        <f t="shared" si="30"/>
        <v>0.55482986112384436</v>
      </c>
      <c r="AG153" s="21"/>
      <c r="AH153" s="20">
        <f t="shared" si="31"/>
        <v>27.192119960834503</v>
      </c>
      <c r="AI153" s="22">
        <v>272689</v>
      </c>
      <c r="AJ153" s="23">
        <v>7414992</v>
      </c>
      <c r="AK153" s="23">
        <v>7263176</v>
      </c>
      <c r="AL153" s="23">
        <v>151296</v>
      </c>
      <c r="AM153" s="24"/>
      <c r="AN153" s="25">
        <v>113.00700000000001</v>
      </c>
      <c r="AO153" s="25">
        <v>117.81100000000001</v>
      </c>
      <c r="AP153" s="25">
        <v>37.671599999999998</v>
      </c>
      <c r="AQ153" s="25">
        <v>43.709899999999998</v>
      </c>
      <c r="AR153" s="25">
        <v>44.054900000000004</v>
      </c>
      <c r="AS153" s="26"/>
      <c r="AT153" s="27"/>
      <c r="AU153" s="27"/>
      <c r="AW153" s="28">
        <f t="shared" si="32"/>
        <v>9.6767885327193603E-3</v>
      </c>
      <c r="AX153" s="28"/>
      <c r="AZ153" s="29"/>
      <c r="BA153" s="29"/>
      <c r="BB153" s="29"/>
      <c r="BC153" s="29"/>
      <c r="BD153" s="29"/>
      <c r="BE153" s="30"/>
      <c r="BG153" s="29"/>
      <c r="BH153" s="29"/>
      <c r="BI153" s="29"/>
      <c r="BJ153" s="29"/>
      <c r="BK153" s="29"/>
      <c r="BL153" s="30"/>
    </row>
    <row r="154" spans="1:64" outlineLevel="1" x14ac:dyDescent="0.15">
      <c r="A154" s="31"/>
      <c r="B154" s="46" t="s">
        <v>303</v>
      </c>
      <c r="C154" s="47" t="s">
        <v>230</v>
      </c>
      <c r="D154" s="46">
        <v>272689</v>
      </c>
      <c r="E154" s="48">
        <v>20</v>
      </c>
      <c r="F154" s="47">
        <v>1</v>
      </c>
      <c r="G154" s="47"/>
      <c r="I154" s="49" t="str">
        <f t="shared" si="22"/>
        <v>·</v>
      </c>
      <c r="J154" s="50">
        <f t="shared" si="23"/>
        <v>31.234556582773784</v>
      </c>
      <c r="K154" s="50">
        <f t="shared" si="24"/>
        <v>29.601223371679826</v>
      </c>
      <c r="L154" s="50">
        <f t="shared" si="25"/>
        <v>1.6313676019201362</v>
      </c>
      <c r="M154" s="51"/>
      <c r="N154" s="50">
        <f t="shared" si="26"/>
        <v>31.234556582773784</v>
      </c>
      <c r="O154" s="52">
        <v>272689</v>
      </c>
      <c r="P154" s="53">
        <v>8517320</v>
      </c>
      <c r="Q154" s="53">
        <v>8071928</v>
      </c>
      <c r="R154" s="53">
        <v>444856</v>
      </c>
      <c r="S154" s="54"/>
      <c r="T154" s="55">
        <v>118.627</v>
      </c>
      <c r="U154" s="55">
        <v>123.577</v>
      </c>
      <c r="V154" s="55">
        <v>42.965000000000003</v>
      </c>
      <c r="W154" s="55">
        <v>47.5169</v>
      </c>
      <c r="X154" s="55">
        <v>47.7166</v>
      </c>
      <c r="Y154" s="56"/>
      <c r="Z154" s="57"/>
      <c r="AA154" s="57"/>
      <c r="AC154" s="49" t="str">
        <f t="shared" si="27"/>
        <v>·</v>
      </c>
      <c r="AD154" s="50">
        <f t="shared" si="28"/>
        <v>30.769088595432894</v>
      </c>
      <c r="AE154" s="50">
        <f t="shared" si="29"/>
        <v>29.601223371679826</v>
      </c>
      <c r="AF154" s="50">
        <f t="shared" si="30"/>
        <v>1.1659289520296015</v>
      </c>
      <c r="AG154" s="51"/>
      <c r="AH154" s="50">
        <f t="shared" si="31"/>
        <v>30.769088595432894</v>
      </c>
      <c r="AI154" s="52">
        <v>272689</v>
      </c>
      <c r="AJ154" s="53">
        <v>8390392</v>
      </c>
      <c r="AK154" s="53">
        <v>8071928</v>
      </c>
      <c r="AL154" s="53">
        <v>317936</v>
      </c>
      <c r="AM154" s="54"/>
      <c r="AN154" s="55">
        <v>118.627</v>
      </c>
      <c r="AO154" s="55">
        <v>123.577</v>
      </c>
      <c r="AP154" s="55">
        <v>41.264299999999999</v>
      </c>
      <c r="AQ154" s="55">
        <v>45.881</v>
      </c>
      <c r="AR154" s="55">
        <v>46.030999999999999</v>
      </c>
      <c r="AS154" s="56"/>
      <c r="AT154" s="57"/>
      <c r="AU154" s="57"/>
      <c r="AW154" s="58">
        <f t="shared" si="32"/>
        <v>1.4336710001843445E-2</v>
      </c>
      <c r="AX154" s="58"/>
      <c r="AZ154" s="59"/>
      <c r="BA154" s="59"/>
      <c r="BB154" s="59"/>
      <c r="BC154" s="59"/>
      <c r="BD154" s="59"/>
      <c r="BE154" s="60"/>
      <c r="BG154" s="59"/>
      <c r="BH154" s="59"/>
      <c r="BI154" s="59"/>
      <c r="BJ154" s="59"/>
      <c r="BK154" s="59"/>
      <c r="BL154" s="60"/>
    </row>
    <row r="155" spans="1:64" collapsed="1" x14ac:dyDescent="0.15">
      <c r="A155" s="16"/>
      <c r="B155" s="16" t="s">
        <v>306</v>
      </c>
      <c r="C155" s="17" t="s">
        <v>225</v>
      </c>
      <c r="D155" s="16">
        <v>1602990</v>
      </c>
      <c r="E155" s="18">
        <v>20</v>
      </c>
      <c r="F155" s="17">
        <v>1</v>
      </c>
      <c r="G155" s="17"/>
      <c r="I155" s="19" t="str">
        <f t="shared" si="22"/>
        <v>·</v>
      </c>
      <c r="J155" s="20">
        <f t="shared" si="23"/>
        <v>4.2089595069214409</v>
      </c>
      <c r="K155" s="20">
        <f t="shared" si="24"/>
        <v>4.1070599317525378</v>
      </c>
      <c r="L155" s="20">
        <f t="shared" si="25"/>
        <v>0.10153026531668943</v>
      </c>
      <c r="M155" s="21"/>
      <c r="N155" s="20">
        <f t="shared" si="26"/>
        <v>4.3225020709431776</v>
      </c>
      <c r="O155" s="22">
        <v>1560883</v>
      </c>
      <c r="P155" s="23">
        <v>6746920</v>
      </c>
      <c r="Q155" s="23">
        <v>6583576</v>
      </c>
      <c r="R155" s="23">
        <v>162752</v>
      </c>
      <c r="S155" s="24"/>
      <c r="T155" s="25">
        <v>77.017300000000006</v>
      </c>
      <c r="U155" s="25">
        <v>81.790700000000001</v>
      </c>
      <c r="V155" s="25">
        <v>24.15</v>
      </c>
      <c r="W155" s="25">
        <v>36.633899999999997</v>
      </c>
      <c r="X155" s="25">
        <v>36.744100000000003</v>
      </c>
      <c r="Y155" s="26"/>
      <c r="Z155" s="27"/>
      <c r="AA155" s="27"/>
      <c r="AC155" s="19" t="str">
        <f t="shared" si="27"/>
        <v>·</v>
      </c>
      <c r="AD155" s="20">
        <f t="shared" si="28"/>
        <v>4.1576903162215606</v>
      </c>
      <c r="AE155" s="20">
        <f t="shared" si="29"/>
        <v>4.1070599317525378</v>
      </c>
      <c r="AF155" s="20">
        <f t="shared" si="30"/>
        <v>5.0266065290488403E-2</v>
      </c>
      <c r="AG155" s="21"/>
      <c r="AH155" s="20">
        <f t="shared" si="31"/>
        <v>4.269849822183982</v>
      </c>
      <c r="AI155" s="22">
        <v>1560883</v>
      </c>
      <c r="AJ155" s="23">
        <v>6664736</v>
      </c>
      <c r="AK155" s="23">
        <v>6583576</v>
      </c>
      <c r="AL155" s="23">
        <v>80576</v>
      </c>
      <c r="AM155" s="24"/>
      <c r="AN155" s="25">
        <v>77.017300000000006</v>
      </c>
      <c r="AO155" s="25">
        <v>81.790700000000001</v>
      </c>
      <c r="AP155" s="25">
        <v>21.9102</v>
      </c>
      <c r="AQ155" s="25">
        <v>36.899900000000002</v>
      </c>
      <c r="AR155" s="25">
        <v>36.069299999999998</v>
      </c>
      <c r="AS155" s="26"/>
      <c r="AT155" s="27"/>
      <c r="AU155" s="27"/>
      <c r="AW155" s="28">
        <f t="shared" si="32"/>
        <v>1.2032631504885649E-2</v>
      </c>
      <c r="AX155" s="28">
        <f t="array" ref="AX155">AVERAGE(AK155:AK160/AJ155:AJ160) - AVERAGE(Q155:Q160/P155:P160)</f>
        <v>1.6225511988772978E-2</v>
      </c>
      <c r="AZ155" s="29">
        <f>IF( OR(ISBLANK(Q155:Q160),ISBLANK(AK155:AK160), ISBLANK(T155:T160),ISBLANK(AN155:AN160)), "·", bdRateExtend( Q155:Q160,T155:T160, AK155:AK160,AN155:AN160))</f>
        <v>0</v>
      </c>
      <c r="BA155" s="29">
        <f>IF( OR(ISBLANK(Q155:Q160),ISBLANK(AK155:AK160), ISBLANK(U155:U160),ISBLANK(AO155:AO160)), "·", bdRateExtend( Q155:Q160,U155:U160, AK155:AK160,AO155:AO160))</f>
        <v>0</v>
      </c>
      <c r="BB155" s="29">
        <f>IF( OR(ISBLANK(R155:R160),ISBLANK(AL155:AL160), ISBLANK(V155:V160),ISBLANK(AP155:AP160)), "·", bdRateExtend( R155:R160,V155:V160, AL155:AL160,AP155:AP160))</f>
        <v>-1.1430404233230385E-2</v>
      </c>
      <c r="BC155" s="29">
        <f>IF( OR(ISBLANK(R155:R160),ISBLANK(AL155:AL160), ISBLANK(W155:W160),ISBLANK(AQ155:AQ160)), "·", bdRateExtend( R155:R160,W155:W160, AL155:AL160,AQ155:AQ160))</f>
        <v>0.2099233506056386</v>
      </c>
      <c r="BD155" s="29">
        <f>IF( OR(ISBLANK(R155:R160),ISBLANK(AL155:AL160), ISBLANK(X155:X160),ISBLANK(AR155:AR160)), "·", bdRateExtend( R155:R160,X155:X160, AL155:AL160,AR155:AR160))</f>
        <v>0.23652661416094856</v>
      </c>
      <c r="BE155" s="30"/>
      <c r="BG155" s="29">
        <f>IF( OR(ISBLANK(P155:P160),ISBLANK(AJ155:AJ160), ISBLANK(T155:T160),ISBLANK(AN155:AN160)), "·", bdRateExtend( P155:P160,T155:T160, AJ155:AJ160,AN155:AN160))</f>
        <v>-1.5966039441039914E-2</v>
      </c>
      <c r="BH155" s="29">
        <f>IF( OR(ISBLANK(P155:P160),ISBLANK(AJ155:AJ160), ISBLANK(U155:U160),ISBLANK(AO155:AO160)), "·", bdRateExtend( P155:P160,U155:U160, AJ155:AJ160,AO155:AO160))</f>
        <v>-1.5924267811612047E-2</v>
      </c>
      <c r="BI155" s="29">
        <f>IF( OR(ISBLANK(P155:P160),ISBLANK(AJ155:AJ160), ISBLANK(V155:V160),ISBLANK(AP155:AP160)), "·", bdRateExtend( P155:P160,V155:V160, AJ155:AJ160,AP155:AP160))</f>
        <v>0.19520128874125442</v>
      </c>
      <c r="BJ155" s="29">
        <f>IF( OR(ISBLANK(P155:P160),ISBLANK(AJ155:AJ160), ISBLANK(W155:W160),ISBLANK(AQ155:AQ160)), "·", bdRateExtend( P155:P160,W155:W160, AJ155:AJ160,AQ155:AQ160))</f>
        <v>0.30882267662635754</v>
      </c>
      <c r="BK155" s="29">
        <f>IF( OR(ISBLANK(P155:P160),ISBLANK(AJ155:AJ160), ISBLANK(X155:X160),ISBLANK(AR155:AR160)), "·", bdRateExtend( P155:P160,X155:X160, AJ155:AJ160,AR155:AR160))</f>
        <v>0.30089304804547545</v>
      </c>
      <c r="BL155" s="30"/>
    </row>
    <row r="156" spans="1:64" outlineLevel="1" x14ac:dyDescent="0.15">
      <c r="A156" s="31"/>
      <c r="B156" s="31" t="s">
        <v>306</v>
      </c>
      <c r="C156" s="32" t="s">
        <v>226</v>
      </c>
      <c r="D156" s="31">
        <v>1602990</v>
      </c>
      <c r="E156" s="33">
        <v>20</v>
      </c>
      <c r="F156" s="32">
        <v>1</v>
      </c>
      <c r="G156" s="32"/>
      <c r="I156" s="34" t="str">
        <f t="shared" si="22"/>
        <v>·</v>
      </c>
      <c r="J156" s="35">
        <f t="shared" si="23"/>
        <v>7.1514956425180447</v>
      </c>
      <c r="K156" s="35">
        <f t="shared" si="24"/>
        <v>6.9476815201592022</v>
      </c>
      <c r="L156" s="35">
        <f t="shared" si="25"/>
        <v>0.20344481250662824</v>
      </c>
      <c r="M156" s="36"/>
      <c r="N156" s="35">
        <f t="shared" si="26"/>
        <v>7.1819125536195001</v>
      </c>
      <c r="O156" s="37">
        <v>1596201</v>
      </c>
      <c r="P156" s="38">
        <v>11463776</v>
      </c>
      <c r="Q156" s="38">
        <v>11137064</v>
      </c>
      <c r="R156" s="38">
        <v>326120</v>
      </c>
      <c r="S156" s="39"/>
      <c r="T156" s="40">
        <v>83.055400000000006</v>
      </c>
      <c r="U156" s="40">
        <v>87.827699999999993</v>
      </c>
      <c r="V156" s="40">
        <v>26.604600000000001</v>
      </c>
      <c r="W156" s="40">
        <v>38.775199999999998</v>
      </c>
      <c r="X156" s="40">
        <v>37.719700000000003</v>
      </c>
      <c r="Y156" s="41"/>
      <c r="Z156" s="42"/>
      <c r="AA156" s="42"/>
      <c r="AC156" s="34" t="str">
        <f t="shared" si="27"/>
        <v>·</v>
      </c>
      <c r="AD156" s="35">
        <f t="shared" si="28"/>
        <v>7.062611744302834</v>
      </c>
      <c r="AE156" s="35">
        <f t="shared" si="29"/>
        <v>6.9476815201592022</v>
      </c>
      <c r="AF156" s="35">
        <f t="shared" si="30"/>
        <v>0.11456590496509647</v>
      </c>
      <c r="AG156" s="36"/>
      <c r="AH156" s="35">
        <f t="shared" si="31"/>
        <v>7.0926506122975743</v>
      </c>
      <c r="AI156" s="37">
        <v>1596201</v>
      </c>
      <c r="AJ156" s="38">
        <v>11321296</v>
      </c>
      <c r="AK156" s="38">
        <v>11137064</v>
      </c>
      <c r="AL156" s="38">
        <v>183648</v>
      </c>
      <c r="AM156" s="39"/>
      <c r="AN156" s="40">
        <v>83.055400000000006</v>
      </c>
      <c r="AO156" s="40">
        <v>87.827699999999993</v>
      </c>
      <c r="AP156" s="40">
        <v>24.343699999999998</v>
      </c>
      <c r="AQ156" s="40">
        <v>37.649099999999997</v>
      </c>
      <c r="AR156" s="40">
        <v>36.771500000000003</v>
      </c>
      <c r="AS156" s="41"/>
      <c r="AT156" s="42"/>
      <c r="AU156" s="42"/>
      <c r="AW156" s="43">
        <f t="shared" si="32"/>
        <v>1.2226461511090303E-2</v>
      </c>
      <c r="AX156" s="43"/>
      <c r="AZ156" s="44"/>
      <c r="BA156" s="44"/>
      <c r="BB156" s="44"/>
      <c r="BC156" s="44"/>
      <c r="BD156" s="44"/>
      <c r="BE156" s="45"/>
      <c r="BG156" s="44"/>
      <c r="BH156" s="44"/>
      <c r="BI156" s="44"/>
      <c r="BJ156" s="44"/>
      <c r="BK156" s="44"/>
      <c r="BL156" s="45"/>
    </row>
    <row r="157" spans="1:64" outlineLevel="1" x14ac:dyDescent="0.15">
      <c r="A157" s="16"/>
      <c r="B157" s="16" t="s">
        <v>306</v>
      </c>
      <c r="C157" s="17" t="s">
        <v>227</v>
      </c>
      <c r="D157" s="16">
        <v>1602990</v>
      </c>
      <c r="E157" s="18">
        <v>20</v>
      </c>
      <c r="F157" s="17">
        <v>1</v>
      </c>
      <c r="G157" s="17"/>
      <c r="I157" s="19" t="str">
        <f t="shared" si="22"/>
        <v>·</v>
      </c>
      <c r="J157" s="20">
        <f t="shared" si="23"/>
        <v>12.72702636947205</v>
      </c>
      <c r="K157" s="20">
        <f t="shared" si="24"/>
        <v>12.278689199558325</v>
      </c>
      <c r="L157" s="20">
        <f t="shared" si="25"/>
        <v>0.44796286938783147</v>
      </c>
      <c r="M157" s="21"/>
      <c r="N157" s="20">
        <f t="shared" si="26"/>
        <v>12.727868017897739</v>
      </c>
      <c r="O157" s="22">
        <v>1602884</v>
      </c>
      <c r="P157" s="23">
        <v>20401296</v>
      </c>
      <c r="Q157" s="23">
        <v>19682616</v>
      </c>
      <c r="R157" s="23">
        <v>718080</v>
      </c>
      <c r="S157" s="24"/>
      <c r="T157" s="25">
        <v>95.073400000000007</v>
      </c>
      <c r="U157" s="25">
        <v>99.839799999999997</v>
      </c>
      <c r="V157" s="25">
        <v>29.659600000000001</v>
      </c>
      <c r="W157" s="25">
        <v>40.540100000000002</v>
      </c>
      <c r="X157" s="25">
        <v>39.127699999999997</v>
      </c>
      <c r="Y157" s="26"/>
      <c r="Z157" s="27"/>
      <c r="AA157" s="27"/>
      <c r="AC157" s="19" t="str">
        <f t="shared" si="27"/>
        <v>·</v>
      </c>
      <c r="AD157" s="20">
        <f t="shared" si="28"/>
        <v>12.563012869699749</v>
      </c>
      <c r="AE157" s="20">
        <f t="shared" si="29"/>
        <v>12.278689199558325</v>
      </c>
      <c r="AF157" s="20">
        <f t="shared" si="30"/>
        <v>0.28395436028920956</v>
      </c>
      <c r="AG157" s="21"/>
      <c r="AH157" s="20">
        <f t="shared" si="31"/>
        <v>12.563843671781614</v>
      </c>
      <c r="AI157" s="22">
        <v>1602884</v>
      </c>
      <c r="AJ157" s="23">
        <v>20138384</v>
      </c>
      <c r="AK157" s="23">
        <v>19682616</v>
      </c>
      <c r="AL157" s="23">
        <v>455176</v>
      </c>
      <c r="AM157" s="24"/>
      <c r="AN157" s="25">
        <v>95.073400000000007</v>
      </c>
      <c r="AO157" s="25">
        <v>99.839799999999997</v>
      </c>
      <c r="AP157" s="25">
        <v>27.584</v>
      </c>
      <c r="AQ157" s="25">
        <v>38.867199999999997</v>
      </c>
      <c r="AR157" s="25">
        <v>37.794699999999999</v>
      </c>
      <c r="AS157" s="26"/>
      <c r="AT157" s="27"/>
      <c r="AU157" s="27"/>
      <c r="AW157" s="28">
        <f t="shared" si="32"/>
        <v>1.2595367795205759E-2</v>
      </c>
      <c r="AX157" s="28"/>
      <c r="AZ157" s="29"/>
      <c r="BA157" s="29"/>
      <c r="BB157" s="29"/>
      <c r="BC157" s="29"/>
      <c r="BD157" s="29"/>
      <c r="BE157" s="30"/>
      <c r="BG157" s="29"/>
      <c r="BH157" s="29"/>
      <c r="BI157" s="29"/>
      <c r="BJ157" s="29"/>
      <c r="BK157" s="29"/>
      <c r="BL157" s="30"/>
    </row>
    <row r="158" spans="1:64" outlineLevel="1" x14ac:dyDescent="0.15">
      <c r="A158" s="31"/>
      <c r="B158" s="31" t="s">
        <v>306</v>
      </c>
      <c r="C158" s="32" t="s">
        <v>228</v>
      </c>
      <c r="D158" s="31">
        <v>1602990</v>
      </c>
      <c r="E158" s="33">
        <v>20</v>
      </c>
      <c r="F158" s="32">
        <v>1</v>
      </c>
      <c r="G158" s="32"/>
      <c r="I158" s="34" t="str">
        <f t="shared" si="22"/>
        <v>·</v>
      </c>
      <c r="J158" s="35">
        <f t="shared" si="23"/>
        <v>16.018540352715863</v>
      </c>
      <c r="K158" s="35">
        <f t="shared" si="24"/>
        <v>15.096573278685456</v>
      </c>
      <c r="L158" s="35">
        <f t="shared" si="25"/>
        <v>0.92159277350451341</v>
      </c>
      <c r="M158" s="36"/>
      <c r="N158" s="35">
        <f t="shared" si="26"/>
        <v>16.018610303415571</v>
      </c>
      <c r="O158" s="37">
        <v>1602983</v>
      </c>
      <c r="P158" s="38">
        <v>25677560</v>
      </c>
      <c r="Q158" s="38">
        <v>24199656</v>
      </c>
      <c r="R158" s="38">
        <v>1477304</v>
      </c>
      <c r="S158" s="39"/>
      <c r="T158" s="40">
        <v>101.099</v>
      </c>
      <c r="U158" s="40">
        <v>105.873</v>
      </c>
      <c r="V158" s="40">
        <v>32.982700000000001</v>
      </c>
      <c r="W158" s="40">
        <v>42.682899999999997</v>
      </c>
      <c r="X158" s="40">
        <v>40.805199999999999</v>
      </c>
      <c r="Y158" s="41"/>
      <c r="Z158" s="42"/>
      <c r="AA158" s="42"/>
      <c r="AC158" s="34" t="str">
        <f t="shared" si="27"/>
        <v>·</v>
      </c>
      <c r="AD158" s="35">
        <f t="shared" si="28"/>
        <v>15.729485523927162</v>
      </c>
      <c r="AE158" s="35">
        <f t="shared" si="29"/>
        <v>15.096573278685456</v>
      </c>
      <c r="AF158" s="35">
        <f t="shared" si="30"/>
        <v>0.63254293538949091</v>
      </c>
      <c r="AG158" s="36"/>
      <c r="AH158" s="35">
        <f t="shared" si="31"/>
        <v>15.729554212365322</v>
      </c>
      <c r="AI158" s="37">
        <v>1602983</v>
      </c>
      <c r="AJ158" s="38">
        <v>25214208</v>
      </c>
      <c r="AK158" s="38">
        <v>24199656</v>
      </c>
      <c r="AL158" s="38">
        <v>1013960</v>
      </c>
      <c r="AM158" s="39"/>
      <c r="AN158" s="40">
        <v>101.099</v>
      </c>
      <c r="AO158" s="40">
        <v>105.873</v>
      </c>
      <c r="AP158" s="40">
        <v>31.181699999999999</v>
      </c>
      <c r="AQ158" s="40">
        <v>40.622700000000002</v>
      </c>
      <c r="AR158" s="40">
        <v>39.203400000000002</v>
      </c>
      <c r="AS158" s="41"/>
      <c r="AT158" s="42"/>
      <c r="AU158" s="42"/>
      <c r="AW158" s="43">
        <f t="shared" si="32"/>
        <v>1.7318933736975795E-2</v>
      </c>
      <c r="AX158" s="43"/>
      <c r="AZ158" s="44"/>
      <c r="BA158" s="44"/>
      <c r="BB158" s="44"/>
      <c r="BC158" s="44"/>
      <c r="BD158" s="44"/>
      <c r="BE158" s="45"/>
      <c r="BG158" s="44"/>
      <c r="BH158" s="44"/>
      <c r="BI158" s="44"/>
      <c r="BJ158" s="44"/>
      <c r="BK158" s="44"/>
      <c r="BL158" s="45"/>
    </row>
    <row r="159" spans="1:64" outlineLevel="1" x14ac:dyDescent="0.15">
      <c r="A159" s="16"/>
      <c r="B159" s="16" t="s">
        <v>306</v>
      </c>
      <c r="C159" s="17" t="s">
        <v>229</v>
      </c>
      <c r="D159" s="16">
        <v>1602990</v>
      </c>
      <c r="E159" s="18">
        <v>20</v>
      </c>
      <c r="F159" s="17">
        <v>1</v>
      </c>
      <c r="G159" s="17"/>
      <c r="I159" s="19" t="str">
        <f t="shared" si="22"/>
        <v>·</v>
      </c>
      <c r="J159" s="20">
        <f t="shared" si="23"/>
        <v>22.506650696510896</v>
      </c>
      <c r="K159" s="20">
        <f t="shared" si="24"/>
        <v>20.743470639242915</v>
      </c>
      <c r="L159" s="20">
        <f t="shared" si="25"/>
        <v>1.7628007660684097</v>
      </c>
      <c r="M159" s="21"/>
      <c r="N159" s="20">
        <f t="shared" si="26"/>
        <v>22.506650696510896</v>
      </c>
      <c r="O159" s="22">
        <v>1602990</v>
      </c>
      <c r="P159" s="23">
        <v>36077936</v>
      </c>
      <c r="Q159" s="23">
        <v>33251576</v>
      </c>
      <c r="R159" s="23">
        <v>2825752</v>
      </c>
      <c r="S159" s="24"/>
      <c r="T159" s="25">
        <v>113.006</v>
      </c>
      <c r="U159" s="25">
        <v>117.68899999999999</v>
      </c>
      <c r="V159" s="25">
        <v>37.012900000000002</v>
      </c>
      <c r="W159" s="25">
        <v>45.019799999999996</v>
      </c>
      <c r="X159" s="25">
        <v>42.874899999999997</v>
      </c>
      <c r="Y159" s="26"/>
      <c r="Z159" s="27"/>
      <c r="AA159" s="27"/>
      <c r="AC159" s="19" t="str">
        <f t="shared" si="27"/>
        <v>·</v>
      </c>
      <c r="AD159" s="20">
        <f t="shared" si="28"/>
        <v>22.062066513203451</v>
      </c>
      <c r="AE159" s="20">
        <f t="shared" si="29"/>
        <v>20.743470639242915</v>
      </c>
      <c r="AF159" s="20">
        <f t="shared" si="30"/>
        <v>1.3182215734346441</v>
      </c>
      <c r="AG159" s="21"/>
      <c r="AH159" s="20">
        <f t="shared" si="31"/>
        <v>22.062066513203451</v>
      </c>
      <c r="AI159" s="22">
        <v>1602990</v>
      </c>
      <c r="AJ159" s="23">
        <v>35365272</v>
      </c>
      <c r="AK159" s="23">
        <v>33251576</v>
      </c>
      <c r="AL159" s="23">
        <v>2113096</v>
      </c>
      <c r="AM159" s="24"/>
      <c r="AN159" s="25">
        <v>113.006</v>
      </c>
      <c r="AO159" s="25">
        <v>117.68899999999999</v>
      </c>
      <c r="AP159" s="25">
        <v>35.520299999999999</v>
      </c>
      <c r="AQ159" s="25">
        <v>42.991799999999998</v>
      </c>
      <c r="AR159" s="25">
        <v>41.274099999999997</v>
      </c>
      <c r="AS159" s="26"/>
      <c r="AT159" s="27"/>
      <c r="AU159" s="27"/>
      <c r="AW159" s="28">
        <f t="shared" si="32"/>
        <v>1.8572842192140282E-2</v>
      </c>
      <c r="AX159" s="28"/>
      <c r="AZ159" s="29"/>
      <c r="BA159" s="29"/>
      <c r="BB159" s="29"/>
      <c r="BC159" s="29"/>
      <c r="BD159" s="29"/>
      <c r="BE159" s="30"/>
      <c r="BG159" s="29"/>
      <c r="BH159" s="29"/>
      <c r="BI159" s="29"/>
      <c r="BJ159" s="29"/>
      <c r="BK159" s="29"/>
      <c r="BL159" s="30"/>
    </row>
    <row r="160" spans="1:64" outlineLevel="1" x14ac:dyDescent="0.15">
      <c r="A160" s="31"/>
      <c r="B160" s="46" t="s">
        <v>306</v>
      </c>
      <c r="C160" s="47" t="s">
        <v>230</v>
      </c>
      <c r="D160" s="46">
        <v>1602990</v>
      </c>
      <c r="E160" s="48">
        <v>20</v>
      </c>
      <c r="F160" s="47">
        <v>1</v>
      </c>
      <c r="G160" s="47"/>
      <c r="I160" s="49" t="str">
        <f t="shared" si="22"/>
        <v>·</v>
      </c>
      <c r="J160" s="50">
        <f t="shared" si="23"/>
        <v>26.485031098135359</v>
      </c>
      <c r="K160" s="50">
        <f t="shared" si="24"/>
        <v>23.388392940692082</v>
      </c>
      <c r="L160" s="50">
        <f t="shared" si="25"/>
        <v>3.0962538755700284</v>
      </c>
      <c r="M160" s="51"/>
      <c r="N160" s="50">
        <f t="shared" si="26"/>
        <v>26.485031098135359</v>
      </c>
      <c r="O160" s="52">
        <v>1602990</v>
      </c>
      <c r="P160" s="53">
        <v>42455240</v>
      </c>
      <c r="Q160" s="53">
        <v>37491360</v>
      </c>
      <c r="R160" s="53">
        <v>4963264</v>
      </c>
      <c r="S160" s="54"/>
      <c r="T160" s="55">
        <v>118.673</v>
      </c>
      <c r="U160" s="55">
        <v>123.15900000000001</v>
      </c>
      <c r="V160" s="55">
        <v>41.664099999999998</v>
      </c>
      <c r="W160" s="55">
        <v>47.380499999999998</v>
      </c>
      <c r="X160" s="55">
        <v>45.481999999999999</v>
      </c>
      <c r="Y160" s="56"/>
      <c r="Z160" s="57"/>
      <c r="AA160" s="57"/>
      <c r="AC160" s="49" t="str">
        <f t="shared" si="27"/>
        <v>·</v>
      </c>
      <c r="AD160" s="50">
        <f t="shared" si="28"/>
        <v>25.767037848021509</v>
      </c>
      <c r="AE160" s="50">
        <f t="shared" si="29"/>
        <v>23.388392940692082</v>
      </c>
      <c r="AF160" s="50">
        <f t="shared" si="30"/>
        <v>2.3782656161298572</v>
      </c>
      <c r="AG160" s="51"/>
      <c r="AH160" s="50">
        <f t="shared" si="31"/>
        <v>25.767037848021509</v>
      </c>
      <c r="AI160" s="52">
        <v>1602990</v>
      </c>
      <c r="AJ160" s="53">
        <v>41304304</v>
      </c>
      <c r="AK160" s="53">
        <v>37491360</v>
      </c>
      <c r="AL160" s="53">
        <v>3812336</v>
      </c>
      <c r="AM160" s="54"/>
      <c r="AN160" s="55">
        <v>118.673</v>
      </c>
      <c r="AO160" s="55">
        <v>123.15900000000001</v>
      </c>
      <c r="AP160" s="55">
        <v>40.025799999999997</v>
      </c>
      <c r="AQ160" s="55">
        <v>45.454300000000003</v>
      </c>
      <c r="AR160" s="55">
        <v>43.831000000000003</v>
      </c>
      <c r="AS160" s="56"/>
      <c r="AT160" s="57"/>
      <c r="AU160" s="57"/>
      <c r="AW160" s="58">
        <f t="shared" si="32"/>
        <v>2.4606835192340193E-2</v>
      </c>
      <c r="AX160" s="58"/>
      <c r="AZ160" s="59"/>
      <c r="BA160" s="59"/>
      <c r="BB160" s="59"/>
      <c r="BC160" s="59"/>
      <c r="BD160" s="59"/>
      <c r="BE160" s="60"/>
      <c r="BG160" s="59"/>
      <c r="BH160" s="59"/>
      <c r="BI160" s="59"/>
      <c r="BJ160" s="59"/>
      <c r="BK160" s="59"/>
      <c r="BL160" s="60"/>
    </row>
    <row r="161" spans="1:64" collapsed="1" x14ac:dyDescent="0.15">
      <c r="A161" s="16"/>
      <c r="B161" s="16" t="s">
        <v>309</v>
      </c>
      <c r="C161" s="17" t="s">
        <v>225</v>
      </c>
      <c r="D161" s="16">
        <v>8929532</v>
      </c>
      <c r="E161" s="18">
        <v>20</v>
      </c>
      <c r="F161" s="17">
        <v>1</v>
      </c>
      <c r="G161" s="17"/>
      <c r="I161" s="19" t="str">
        <f t="shared" si="22"/>
        <v>·</v>
      </c>
      <c r="J161" s="20">
        <f t="shared" si="23"/>
        <v>0.65789069348763185</v>
      </c>
      <c r="K161" s="20">
        <f t="shared" si="24"/>
        <v>0.63823994359390834</v>
      </c>
      <c r="L161" s="20">
        <f t="shared" si="25"/>
        <v>1.9575493990054572E-2</v>
      </c>
      <c r="M161" s="21"/>
      <c r="N161" s="20">
        <f t="shared" si="26"/>
        <v>2.1203941890217428</v>
      </c>
      <c r="O161" s="22">
        <v>2770549</v>
      </c>
      <c r="P161" s="23">
        <v>5874656</v>
      </c>
      <c r="Q161" s="23">
        <v>5699184</v>
      </c>
      <c r="R161" s="23">
        <v>174800</v>
      </c>
      <c r="S161" s="24"/>
      <c r="T161" s="25">
        <v>77.018100000000004</v>
      </c>
      <c r="U161" s="25">
        <v>81.490399999999994</v>
      </c>
      <c r="V161" s="25">
        <v>23.438700000000001</v>
      </c>
      <c r="W161" s="25">
        <v>36.763599999999997</v>
      </c>
      <c r="X161" s="25">
        <v>39.113500000000002</v>
      </c>
      <c r="Y161" s="26"/>
      <c r="Z161" s="27"/>
      <c r="AA161" s="27"/>
      <c r="AC161" s="19" t="str">
        <f t="shared" si="27"/>
        <v>·</v>
      </c>
      <c r="AD161" s="20">
        <f t="shared" si="28"/>
        <v>0.64701800721471181</v>
      </c>
      <c r="AE161" s="20">
        <f t="shared" si="29"/>
        <v>0.63823994359390834</v>
      </c>
      <c r="AF161" s="20">
        <f t="shared" si="30"/>
        <v>8.7037036207496653E-3</v>
      </c>
      <c r="AG161" s="21"/>
      <c r="AH161" s="20">
        <f t="shared" si="31"/>
        <v>2.0853513148477072</v>
      </c>
      <c r="AI161" s="22">
        <v>2770549</v>
      </c>
      <c r="AJ161" s="23">
        <v>5777568</v>
      </c>
      <c r="AK161" s="23">
        <v>5699184</v>
      </c>
      <c r="AL161" s="23">
        <v>77720</v>
      </c>
      <c r="AM161" s="24"/>
      <c r="AN161" s="25">
        <v>77.018100000000004</v>
      </c>
      <c r="AO161" s="25">
        <v>81.490399999999994</v>
      </c>
      <c r="AP161" s="25">
        <v>22.425599999999999</v>
      </c>
      <c r="AQ161" s="25">
        <v>36.163800000000002</v>
      </c>
      <c r="AR161" s="25">
        <v>37.506799999999998</v>
      </c>
      <c r="AS161" s="26"/>
      <c r="AT161" s="27"/>
      <c r="AU161" s="27"/>
      <c r="AW161" s="28">
        <f t="shared" si="32"/>
        <v>1.6302369289041163E-2</v>
      </c>
      <c r="AX161" s="28">
        <f t="array" ref="AX161">AVERAGE(AK161:AK166/AJ161:AJ166) - AVERAGE(Q161:Q166/P161:P166)</f>
        <v>1.8813258953745082E-2</v>
      </c>
      <c r="AZ161" s="29">
        <f>IF( OR(ISBLANK(Q161:Q166),ISBLANK(AK161:AK166), ISBLANK(T161:T166),ISBLANK(AN161:AN166)), "·", bdRateExtend( Q161:Q166,T161:T166, AK161:AK166,AN161:AN166))</f>
        <v>0</v>
      </c>
      <c r="BA161" s="29">
        <f>IF( OR(ISBLANK(Q161:Q166),ISBLANK(AK161:AK166), ISBLANK(U161:U166),ISBLANK(AO161:AO166)), "·", bdRateExtend( Q161:Q166,U161:U166, AK161:AK166,AO161:AO166))</f>
        <v>0</v>
      </c>
      <c r="BB161" s="29">
        <f>IF( OR(ISBLANK(R161:R166),ISBLANK(AL161:AL166), ISBLANK(V161:V166),ISBLANK(AP161:AP166)), "·", bdRateExtend( R161:R166,V161:V166, AL161:AL166,AP161:AP166))</f>
        <v>-9.352648984680223E-2</v>
      </c>
      <c r="BC161" s="29">
        <f>IF( OR(ISBLANK(R161:R166),ISBLANK(AL161:AL166), ISBLANK(W161:W166),ISBLANK(AQ161:AQ166)), "·", bdRateExtend( R161:R166,W161:W166, AL161:AL166,AQ161:AQ166))</f>
        <v>0.1884071609222</v>
      </c>
      <c r="BD161" s="29">
        <f>IF( OR(ISBLANK(R161:R166),ISBLANK(AL161:AL166), ISBLANK(X161:X166),ISBLANK(AR161:AR166)), "·", bdRateExtend( R161:R166,X161:X166, AL161:AL166,AR161:AR166))</f>
        <v>0.37773048379476371</v>
      </c>
      <c r="BE161" s="30"/>
      <c r="BG161" s="29">
        <f>IF( OR(ISBLANK(P161:P166),ISBLANK(AJ161:AJ166), ISBLANK(T161:T166),ISBLANK(AN161:AN166)), "·", bdRateExtend( P161:P166,T161:T166, AJ161:AJ166,AN161:AN166))</f>
        <v>-1.9129634794145312E-2</v>
      </c>
      <c r="BH161" s="29">
        <f>IF( OR(ISBLANK(P161:P166),ISBLANK(AJ161:AJ166), ISBLANK(U161:U166),ISBLANK(AO161:AO166)), "·", bdRateExtend( P161:P166,U161:U166, AJ161:AJ166,AO161:AO166))</f>
        <v>-1.9118936572898426E-2</v>
      </c>
      <c r="BI161" s="29">
        <f>IF( OR(ISBLANK(P161:P166),ISBLANK(AJ161:AJ166), ISBLANK(V161:V166),ISBLANK(AP161:AP166)), "·", bdRateExtend( P161:P166,V161:V166, AJ161:AJ166,AP161:AP166))</f>
        <v>0.2459842750121064</v>
      </c>
      <c r="BJ161" s="29">
        <f>IF( OR(ISBLANK(P161:P166),ISBLANK(AJ161:AJ166), ISBLANK(W161:W166),ISBLANK(AQ161:AQ166)), "·", bdRateExtend( P161:P166,W161:W166, AJ161:AJ166,AQ161:AQ166))</f>
        <v>0.62400119995836745</v>
      </c>
      <c r="BK161" s="29">
        <f>IF( OR(ISBLANK(P161:P166),ISBLANK(AJ161:AJ166), ISBLANK(X161:X166),ISBLANK(AR161:AR166)), "·", bdRateExtend( P161:P166,X161:X166, AJ161:AJ166,AR161:AR166))</f>
        <v>0.77506086256678586</v>
      </c>
      <c r="BL161" s="30"/>
    </row>
    <row r="162" spans="1:64" outlineLevel="1" x14ac:dyDescent="0.15">
      <c r="A162" s="31"/>
      <c r="B162" s="31" t="s">
        <v>309</v>
      </c>
      <c r="C162" s="32" t="s">
        <v>226</v>
      </c>
      <c r="D162" s="31">
        <v>8929532</v>
      </c>
      <c r="E162" s="33">
        <v>20</v>
      </c>
      <c r="F162" s="32">
        <v>1</v>
      </c>
      <c r="G162" s="32"/>
      <c r="I162" s="34" t="str">
        <f t="shared" si="22"/>
        <v>·</v>
      </c>
      <c r="J162" s="35">
        <f t="shared" si="23"/>
        <v>2.4846408523985355</v>
      </c>
      <c r="K162" s="35">
        <f t="shared" si="24"/>
        <v>2.3826314749753963</v>
      </c>
      <c r="L162" s="35">
        <f t="shared" si="25"/>
        <v>0.10188036730256413</v>
      </c>
      <c r="M162" s="36"/>
      <c r="N162" s="35">
        <f t="shared" si="26"/>
        <v>3.2470798983141638</v>
      </c>
      <c r="O162" s="37">
        <v>6832810</v>
      </c>
      <c r="P162" s="38">
        <v>22186680</v>
      </c>
      <c r="Q162" s="38">
        <v>21275784</v>
      </c>
      <c r="R162" s="38">
        <v>909744</v>
      </c>
      <c r="S162" s="39"/>
      <c r="T162" s="40">
        <v>83.038300000000007</v>
      </c>
      <c r="U162" s="40">
        <v>87.799099999999996</v>
      </c>
      <c r="V162" s="40">
        <v>26.156400000000001</v>
      </c>
      <c r="W162" s="40">
        <v>39.7425</v>
      </c>
      <c r="X162" s="40">
        <v>41.058900000000001</v>
      </c>
      <c r="Y162" s="41"/>
      <c r="Z162" s="42"/>
      <c r="AA162" s="42"/>
      <c r="AC162" s="34" t="str">
        <f t="shared" si="27"/>
        <v>·</v>
      </c>
      <c r="AD162" s="35">
        <f t="shared" si="28"/>
        <v>2.4295132152502505</v>
      </c>
      <c r="AE162" s="35">
        <f t="shared" si="29"/>
        <v>2.3826314749753963</v>
      </c>
      <c r="AF162" s="35">
        <f t="shared" si="30"/>
        <v>4.6753626057894189E-2</v>
      </c>
      <c r="AG162" s="36"/>
      <c r="AH162" s="35">
        <f t="shared" si="31"/>
        <v>3.1750357466401087</v>
      </c>
      <c r="AI162" s="37">
        <v>6832810</v>
      </c>
      <c r="AJ162" s="38">
        <v>21694416</v>
      </c>
      <c r="AK162" s="38">
        <v>21275784</v>
      </c>
      <c r="AL162" s="38">
        <v>417488</v>
      </c>
      <c r="AM162" s="39"/>
      <c r="AN162" s="40">
        <v>83.038300000000007</v>
      </c>
      <c r="AO162" s="40">
        <v>87.799099999999996</v>
      </c>
      <c r="AP162" s="40">
        <v>24.936199999999999</v>
      </c>
      <c r="AQ162" s="40">
        <v>38.411900000000003</v>
      </c>
      <c r="AR162" s="40">
        <v>39.703200000000002</v>
      </c>
      <c r="AS162" s="41"/>
      <c r="AT162" s="42"/>
      <c r="AU162" s="42"/>
      <c r="AW162" s="43">
        <f t="shared" si="32"/>
        <v>2.1759222125562472E-2</v>
      </c>
      <c r="AX162" s="43"/>
      <c r="AZ162" s="44"/>
      <c r="BA162" s="44"/>
      <c r="BB162" s="44"/>
      <c r="BC162" s="44"/>
      <c r="BD162" s="44"/>
      <c r="BE162" s="45"/>
      <c r="BG162" s="44"/>
      <c r="BH162" s="44"/>
      <c r="BI162" s="44"/>
      <c r="BJ162" s="44"/>
      <c r="BK162" s="44"/>
      <c r="BL162" s="45"/>
    </row>
    <row r="163" spans="1:64" outlineLevel="1" x14ac:dyDescent="0.15">
      <c r="A163" s="16"/>
      <c r="B163" s="16" t="s">
        <v>309</v>
      </c>
      <c r="C163" s="17" t="s">
        <v>227</v>
      </c>
      <c r="D163" s="16">
        <v>8929532</v>
      </c>
      <c r="E163" s="18">
        <v>20</v>
      </c>
      <c r="F163" s="17">
        <v>1</v>
      </c>
      <c r="G163" s="17"/>
      <c r="I163" s="19" t="str">
        <f t="shared" si="22"/>
        <v>·</v>
      </c>
      <c r="J163" s="20">
        <f t="shared" si="23"/>
        <v>8.9284706074181717</v>
      </c>
      <c r="K163" s="20">
        <f t="shared" si="24"/>
        <v>8.5896676331973509</v>
      </c>
      <c r="L163" s="20">
        <f t="shared" si="25"/>
        <v>0.33866410916048006</v>
      </c>
      <c r="M163" s="21"/>
      <c r="N163" s="20">
        <f t="shared" si="26"/>
        <v>8.9499154480802723</v>
      </c>
      <c r="O163" s="22">
        <v>8908136</v>
      </c>
      <c r="P163" s="23">
        <v>79727064</v>
      </c>
      <c r="Q163" s="23">
        <v>76701712</v>
      </c>
      <c r="R163" s="23">
        <v>3024112</v>
      </c>
      <c r="S163" s="24"/>
      <c r="T163" s="25">
        <v>95.076599999999999</v>
      </c>
      <c r="U163" s="25">
        <v>99.847200000000001</v>
      </c>
      <c r="V163" s="25">
        <v>28.9787</v>
      </c>
      <c r="W163" s="25">
        <v>41.438000000000002</v>
      </c>
      <c r="X163" s="25">
        <v>42.511600000000001</v>
      </c>
      <c r="Y163" s="26"/>
      <c r="Z163" s="27"/>
      <c r="AA163" s="27"/>
      <c r="AC163" s="19" t="str">
        <f t="shared" si="27"/>
        <v>·</v>
      </c>
      <c r="AD163" s="20">
        <f t="shared" si="28"/>
        <v>8.7774875547789062</v>
      </c>
      <c r="AE163" s="20">
        <f t="shared" si="29"/>
        <v>8.5896676331973509</v>
      </c>
      <c r="AF163" s="20">
        <f t="shared" si="30"/>
        <v>0.18768195242483032</v>
      </c>
      <c r="AG163" s="21"/>
      <c r="AH163" s="20">
        <f t="shared" si="31"/>
        <v>8.7985697569053727</v>
      </c>
      <c r="AI163" s="22">
        <v>8908136</v>
      </c>
      <c r="AJ163" s="23">
        <v>78378856</v>
      </c>
      <c r="AK163" s="23">
        <v>76701712</v>
      </c>
      <c r="AL163" s="23">
        <v>1675912</v>
      </c>
      <c r="AM163" s="24"/>
      <c r="AN163" s="25">
        <v>95.076599999999999</v>
      </c>
      <c r="AO163" s="25">
        <v>99.847200000000001</v>
      </c>
      <c r="AP163" s="25">
        <v>27.566500000000001</v>
      </c>
      <c r="AQ163" s="25">
        <v>40.167000000000002</v>
      </c>
      <c r="AR163" s="25">
        <v>41.347099999999998</v>
      </c>
      <c r="AS163" s="26"/>
      <c r="AT163" s="27"/>
      <c r="AU163" s="27"/>
      <c r="AW163" s="28">
        <f t="shared" si="32"/>
        <v>1.6548447858405257E-2</v>
      </c>
      <c r="AX163" s="28"/>
      <c r="AZ163" s="29"/>
      <c r="BA163" s="29"/>
      <c r="BB163" s="29"/>
      <c r="BC163" s="29"/>
      <c r="BD163" s="29"/>
      <c r="BE163" s="30"/>
      <c r="BG163" s="29"/>
      <c r="BH163" s="29"/>
      <c r="BI163" s="29"/>
      <c r="BJ163" s="29"/>
      <c r="BK163" s="29"/>
      <c r="BL163" s="30"/>
    </row>
    <row r="164" spans="1:64" outlineLevel="1" x14ac:dyDescent="0.15">
      <c r="A164" s="31"/>
      <c r="B164" s="31" t="s">
        <v>309</v>
      </c>
      <c r="C164" s="32" t="s">
        <v>228</v>
      </c>
      <c r="D164" s="31">
        <v>8929532</v>
      </c>
      <c r="E164" s="33">
        <v>20</v>
      </c>
      <c r="F164" s="32">
        <v>1</v>
      </c>
      <c r="G164" s="32"/>
      <c r="I164" s="34" t="str">
        <f t="shared" si="22"/>
        <v>·</v>
      </c>
      <c r="J164" s="35">
        <f t="shared" si="23"/>
        <v>12.317640834928415</v>
      </c>
      <c r="K164" s="35">
        <f t="shared" si="24"/>
        <v>11.559863159681829</v>
      </c>
      <c r="L164" s="35">
        <f t="shared" si="25"/>
        <v>0.7576388101862449</v>
      </c>
      <c r="M164" s="36"/>
      <c r="N164" s="35">
        <f t="shared" si="26"/>
        <v>12.321596923375079</v>
      </c>
      <c r="O164" s="37">
        <v>8926665</v>
      </c>
      <c r="P164" s="38">
        <v>109990768</v>
      </c>
      <c r="Q164" s="38">
        <v>103224168</v>
      </c>
      <c r="R164" s="38">
        <v>6765360</v>
      </c>
      <c r="S164" s="39"/>
      <c r="T164" s="40">
        <v>101.09399999999999</v>
      </c>
      <c r="U164" s="40">
        <v>105.855</v>
      </c>
      <c r="V164" s="40">
        <v>32.3324</v>
      </c>
      <c r="W164" s="40">
        <v>42.875700000000002</v>
      </c>
      <c r="X164" s="40">
        <v>43.736499999999999</v>
      </c>
      <c r="Y164" s="41"/>
      <c r="Z164" s="42"/>
      <c r="AA164" s="42"/>
      <c r="AC164" s="34" t="str">
        <f t="shared" si="27"/>
        <v>·</v>
      </c>
      <c r="AD164" s="35">
        <f t="shared" si="28"/>
        <v>12.095749698864397</v>
      </c>
      <c r="AE164" s="35">
        <f t="shared" si="29"/>
        <v>11.559863159681829</v>
      </c>
      <c r="AF164" s="35">
        <f t="shared" si="30"/>
        <v>0.53574857002584231</v>
      </c>
      <c r="AG164" s="36"/>
      <c r="AH164" s="35">
        <f t="shared" si="31"/>
        <v>12.099634521963129</v>
      </c>
      <c r="AI164" s="37">
        <v>8926665</v>
      </c>
      <c r="AJ164" s="38">
        <v>108009384</v>
      </c>
      <c r="AK164" s="38">
        <v>103224168</v>
      </c>
      <c r="AL164" s="38">
        <v>4783984</v>
      </c>
      <c r="AM164" s="39"/>
      <c r="AN164" s="40">
        <v>101.09399999999999</v>
      </c>
      <c r="AO164" s="40">
        <v>105.855</v>
      </c>
      <c r="AP164" s="40">
        <v>31.1403</v>
      </c>
      <c r="AQ164" s="40">
        <v>41.604199999999999</v>
      </c>
      <c r="AR164" s="40">
        <v>42.6021</v>
      </c>
      <c r="AS164" s="41"/>
      <c r="AT164" s="42"/>
      <c r="AU164" s="42"/>
      <c r="AW164" s="43">
        <f t="shared" si="32"/>
        <v>1.7216002580147549E-2</v>
      </c>
      <c r="AX164" s="43"/>
      <c r="AZ164" s="44"/>
      <c r="BA164" s="44"/>
      <c r="BB164" s="44"/>
      <c r="BC164" s="44"/>
      <c r="BD164" s="44"/>
      <c r="BE164" s="45"/>
      <c r="BG164" s="44"/>
      <c r="BH164" s="44"/>
      <c r="BI164" s="44"/>
      <c r="BJ164" s="44"/>
      <c r="BK164" s="44"/>
      <c r="BL164" s="45"/>
    </row>
    <row r="165" spans="1:64" outlineLevel="1" x14ac:dyDescent="0.15">
      <c r="A165" s="16"/>
      <c r="B165" s="16" t="s">
        <v>309</v>
      </c>
      <c r="C165" s="17" t="s">
        <v>229</v>
      </c>
      <c r="D165" s="16">
        <v>8929532</v>
      </c>
      <c r="E165" s="18">
        <v>20</v>
      </c>
      <c r="F165" s="17">
        <v>1</v>
      </c>
      <c r="G165" s="17"/>
      <c r="I165" s="19" t="str">
        <f t="shared" si="22"/>
        <v>·</v>
      </c>
      <c r="J165" s="20">
        <f t="shared" si="23"/>
        <v>19.196524073154112</v>
      </c>
      <c r="K165" s="20">
        <f t="shared" si="24"/>
        <v>17.649518026252665</v>
      </c>
      <c r="L165" s="20">
        <f t="shared" si="25"/>
        <v>1.5468662859374938</v>
      </c>
      <c r="M165" s="21"/>
      <c r="N165" s="20">
        <f t="shared" si="26"/>
        <v>19.19667025926752</v>
      </c>
      <c r="O165" s="22">
        <v>8929464</v>
      </c>
      <c r="P165" s="23">
        <v>171415976</v>
      </c>
      <c r="Q165" s="23">
        <v>157601936</v>
      </c>
      <c r="R165" s="23">
        <v>13812792</v>
      </c>
      <c r="S165" s="24"/>
      <c r="T165" s="25">
        <v>113.008</v>
      </c>
      <c r="U165" s="25">
        <v>117.648</v>
      </c>
      <c r="V165" s="25">
        <v>36.761899999999997</v>
      </c>
      <c r="W165" s="25">
        <v>44.501600000000003</v>
      </c>
      <c r="X165" s="25">
        <v>45.136299999999999</v>
      </c>
      <c r="Y165" s="26"/>
      <c r="Z165" s="27"/>
      <c r="AA165" s="27"/>
      <c r="AC165" s="19" t="str">
        <f t="shared" si="27"/>
        <v>·</v>
      </c>
      <c r="AD165" s="20">
        <f t="shared" si="28"/>
        <v>18.830939852166946</v>
      </c>
      <c r="AE165" s="20">
        <f t="shared" si="29"/>
        <v>17.649518026252665</v>
      </c>
      <c r="AF165" s="20">
        <f t="shared" si="30"/>
        <v>1.1812829608539395</v>
      </c>
      <c r="AG165" s="21"/>
      <c r="AH165" s="20">
        <f t="shared" si="31"/>
        <v>18.831083254269238</v>
      </c>
      <c r="AI165" s="22">
        <v>8929464</v>
      </c>
      <c r="AJ165" s="23">
        <v>168151480</v>
      </c>
      <c r="AK165" s="23">
        <v>157601936</v>
      </c>
      <c r="AL165" s="23">
        <v>10548304</v>
      </c>
      <c r="AM165" s="24"/>
      <c r="AN165" s="25">
        <v>113.008</v>
      </c>
      <c r="AO165" s="25">
        <v>117.648</v>
      </c>
      <c r="AP165" s="25">
        <v>35.637900000000002</v>
      </c>
      <c r="AQ165" s="25">
        <v>43.213500000000003</v>
      </c>
      <c r="AR165" s="25">
        <v>44.019100000000002</v>
      </c>
      <c r="AS165" s="26"/>
      <c r="AT165" s="27"/>
      <c r="AU165" s="27"/>
      <c r="AW165" s="28">
        <f t="shared" si="32"/>
        <v>1.7849485359953454E-2</v>
      </c>
      <c r="AX165" s="28"/>
      <c r="AZ165" s="29"/>
      <c r="BA165" s="29"/>
      <c r="BB165" s="29"/>
      <c r="BC165" s="29"/>
      <c r="BD165" s="29"/>
      <c r="BE165" s="30"/>
      <c r="BG165" s="29"/>
      <c r="BH165" s="29"/>
      <c r="BI165" s="29"/>
      <c r="BJ165" s="29"/>
      <c r="BK165" s="29"/>
      <c r="BL165" s="30"/>
    </row>
    <row r="166" spans="1:64" outlineLevel="1" x14ac:dyDescent="0.15">
      <c r="A166" s="31"/>
      <c r="B166" s="46" t="s">
        <v>309</v>
      </c>
      <c r="C166" s="47" t="s">
        <v>230</v>
      </c>
      <c r="D166" s="46">
        <v>8929532</v>
      </c>
      <c r="E166" s="48">
        <v>20</v>
      </c>
      <c r="F166" s="47">
        <v>1</v>
      </c>
      <c r="G166" s="47"/>
      <c r="I166" s="49" t="str">
        <f t="shared" si="22"/>
        <v>·</v>
      </c>
      <c r="J166" s="50">
        <f t="shared" si="23"/>
        <v>23.496512023250492</v>
      </c>
      <c r="K166" s="50">
        <f t="shared" si="24"/>
        <v>20.769025745134236</v>
      </c>
      <c r="L166" s="50">
        <f t="shared" si="25"/>
        <v>2.7273456212486837</v>
      </c>
      <c r="M166" s="51"/>
      <c r="N166" s="50">
        <f t="shared" si="26"/>
        <v>23.496519917231918</v>
      </c>
      <c r="O166" s="52">
        <v>8929529</v>
      </c>
      <c r="P166" s="53">
        <v>209812856</v>
      </c>
      <c r="Q166" s="53">
        <v>185457680</v>
      </c>
      <c r="R166" s="53">
        <v>24353920</v>
      </c>
      <c r="S166" s="54"/>
      <c r="T166" s="55">
        <v>118.649</v>
      </c>
      <c r="U166" s="55">
        <v>122.962</v>
      </c>
      <c r="V166" s="55">
        <v>41.6815</v>
      </c>
      <c r="W166" s="55">
        <v>46.543799999999997</v>
      </c>
      <c r="X166" s="55">
        <v>46.918700000000001</v>
      </c>
      <c r="Y166" s="56"/>
      <c r="Z166" s="57"/>
      <c r="AA166" s="57"/>
      <c r="AC166" s="49" t="str">
        <f t="shared" si="27"/>
        <v>·</v>
      </c>
      <c r="AD166" s="50">
        <f t="shared" si="28"/>
        <v>22.895476269081069</v>
      </c>
      <c r="AE166" s="50">
        <f t="shared" si="29"/>
        <v>20.769025745134236</v>
      </c>
      <c r="AF166" s="50">
        <f t="shared" si="30"/>
        <v>2.1263107629828752</v>
      </c>
      <c r="AG166" s="51"/>
      <c r="AH166" s="50">
        <f t="shared" si="31"/>
        <v>22.895483961136136</v>
      </c>
      <c r="AI166" s="52">
        <v>8929529</v>
      </c>
      <c r="AJ166" s="53">
        <v>204445888</v>
      </c>
      <c r="AK166" s="53">
        <v>185457680</v>
      </c>
      <c r="AL166" s="53">
        <v>18986960</v>
      </c>
      <c r="AM166" s="54"/>
      <c r="AN166" s="55">
        <v>118.649</v>
      </c>
      <c r="AO166" s="55">
        <v>122.962</v>
      </c>
      <c r="AP166" s="55">
        <v>40.284500000000001</v>
      </c>
      <c r="AQ166" s="55">
        <v>45.167200000000001</v>
      </c>
      <c r="AR166" s="55">
        <v>45.684199999999997</v>
      </c>
      <c r="AS166" s="56"/>
      <c r="AT166" s="57"/>
      <c r="AU166" s="57"/>
      <c r="AW166" s="58">
        <f t="shared" si="32"/>
        <v>2.3204026509359377E-2</v>
      </c>
      <c r="AX166" s="58"/>
      <c r="AZ166" s="59"/>
      <c r="BA166" s="59"/>
      <c r="BB166" s="59"/>
      <c r="BC166" s="59"/>
      <c r="BD166" s="59"/>
      <c r="BE166" s="60"/>
      <c r="BG166" s="59"/>
      <c r="BH166" s="59"/>
      <c r="BI166" s="59"/>
      <c r="BJ166" s="59"/>
      <c r="BK166" s="59"/>
      <c r="BL166" s="60"/>
    </row>
    <row r="167" spans="1:64" collapsed="1" x14ac:dyDescent="0.15">
      <c r="A167" s="16"/>
      <c r="B167" s="16" t="s">
        <v>312</v>
      </c>
      <c r="C167" s="17" t="s">
        <v>225</v>
      </c>
      <c r="D167" s="16">
        <v>19702134</v>
      </c>
      <c r="E167" s="18">
        <v>14</v>
      </c>
      <c r="F167" s="17">
        <v>1</v>
      </c>
      <c r="G167" s="17"/>
      <c r="I167" s="19" t="str">
        <f t="shared" si="22"/>
        <v>·</v>
      </c>
      <c r="J167" s="20">
        <f t="shared" si="23"/>
        <v>3.0331739698856989E-4</v>
      </c>
      <c r="K167" s="20">
        <f t="shared" si="24"/>
        <v>2.6190056366482941E-4</v>
      </c>
      <c r="L167" s="20">
        <f t="shared" si="25"/>
        <v>1.6241895421074692E-5</v>
      </c>
      <c r="M167" s="21"/>
      <c r="N167" s="20">
        <f t="shared" si="26"/>
        <v>1.478110314123176</v>
      </c>
      <c r="O167" s="22">
        <v>4043</v>
      </c>
      <c r="P167" s="23">
        <v>5976</v>
      </c>
      <c r="Q167" s="23">
        <v>5160</v>
      </c>
      <c r="R167" s="23">
        <v>320</v>
      </c>
      <c r="S167" s="24"/>
      <c r="T167" s="25">
        <v>46.999200000000002</v>
      </c>
      <c r="U167" s="25">
        <v>50.108699999999999</v>
      </c>
      <c r="V167" s="25">
        <v>22.380500000000001</v>
      </c>
      <c r="W167" s="25">
        <v>34.222799999999999</v>
      </c>
      <c r="X167" s="25">
        <v>40.386600000000001</v>
      </c>
      <c r="Y167" s="26"/>
      <c r="Z167" s="27"/>
      <c r="AA167" s="27"/>
      <c r="AC167" s="19" t="str">
        <f t="shared" si="27"/>
        <v>·</v>
      </c>
      <c r="AD167" s="20">
        <f t="shared" si="28"/>
        <v>2.9397830712145194E-4</v>
      </c>
      <c r="AE167" s="20">
        <f t="shared" si="29"/>
        <v>2.6190056366482941E-4</v>
      </c>
      <c r="AF167" s="20">
        <f t="shared" si="30"/>
        <v>7.308852939483611E-6</v>
      </c>
      <c r="AG167" s="21"/>
      <c r="AH167" s="20">
        <f t="shared" si="31"/>
        <v>1.4325995547860499</v>
      </c>
      <c r="AI167" s="22">
        <v>4043</v>
      </c>
      <c r="AJ167" s="23">
        <v>5792</v>
      </c>
      <c r="AK167" s="23">
        <v>5160</v>
      </c>
      <c r="AL167" s="23">
        <v>144</v>
      </c>
      <c r="AM167" s="24"/>
      <c r="AN167" s="25">
        <v>46.999200000000002</v>
      </c>
      <c r="AO167" s="25">
        <v>50.108699999999999</v>
      </c>
      <c r="AP167" s="25">
        <v>21.962499999999999</v>
      </c>
      <c r="AQ167" s="25">
        <v>36.567799999999998</v>
      </c>
      <c r="AR167" s="25">
        <v>40.555500000000002</v>
      </c>
      <c r="AS167" s="26"/>
      <c r="AT167" s="27"/>
      <c r="AU167" s="27"/>
      <c r="AW167" s="28">
        <f t="shared" si="32"/>
        <v>2.7430162639508371E-2</v>
      </c>
      <c r="AX167" s="28">
        <f t="array" ref="AX167">AVERAGE(AK167:AK172/AJ167:AJ172) - AVERAGE(Q167:Q172/P167:P172)</f>
        <v>6.8456175661627872E-2</v>
      </c>
      <c r="AZ167" s="29">
        <f>IF( OR(ISBLANK(Q167:Q172),ISBLANK(AK167:AK172), ISBLANK(T167:T172),ISBLANK(AN167:AN172)), "·", bdRateExtend( Q167:Q172,T167:T172, AK167:AK172,AN167:AN172))</f>
        <v>0</v>
      </c>
      <c r="BA167" s="29">
        <f>IF( OR(ISBLANK(Q167:Q172),ISBLANK(AK167:AK172), ISBLANK(U167:U172),ISBLANK(AO167:AO172)), "·", bdRateExtend( Q167:Q172,U167:U172, AK167:AK172,AO167:AO172))</f>
        <v>0</v>
      </c>
      <c r="BB167" s="29">
        <f>IF( OR(ISBLANK(R167:R172),ISBLANK(AL167:AL172), ISBLANK(V167:V172),ISBLANK(AP167:AP172)), "·", bdRateExtend( R167:R172,V167:V172, AL167:AL172,AP167:AP172))</f>
        <v>-0.1660043992220851</v>
      </c>
      <c r="BC167" s="29">
        <f>IF( OR(ISBLANK(R167:R172),ISBLANK(AL167:AL172), ISBLANK(W167:W172),ISBLANK(AQ167:AQ172)), "·", bdRateExtend( R167:R172,W167:W172, AL167:AL172,AQ167:AQ172))</f>
        <v>0.35838157065458343</v>
      </c>
      <c r="BD167" s="29">
        <f>IF( OR(ISBLANK(R167:R172),ISBLANK(AL167:AL172), ISBLANK(X167:X172),ISBLANK(AR167:AR172)), "·", bdRateExtend( R167:R172,X167:X172, AL167:AL172,AR167:AR172))</f>
        <v>1.7847980067477693</v>
      </c>
      <c r="BE167" s="30"/>
      <c r="BG167" s="29">
        <f>IF( OR(ISBLANK(P167:P172),ISBLANK(AJ167:AJ172), ISBLANK(T167:T172),ISBLANK(AN167:AN172)), "·", bdRateExtend( P167:P172,T167:T172, AJ167:AJ172,AN167:AN172))</f>
        <v>-9.5391221923828984E-2</v>
      </c>
      <c r="BH167" s="29">
        <f>IF( OR(ISBLANK(P167:P172),ISBLANK(AJ167:AJ172), ISBLANK(U167:U172),ISBLANK(AO167:AO172)), "·", bdRateExtend( P167:P172,U167:U172, AJ167:AJ172,AO167:AO172))</f>
        <v>-9.705563863969402E-2</v>
      </c>
      <c r="BI167" s="29">
        <f>IF( OR(ISBLANK(P167:P172),ISBLANK(AJ167:AJ172), ISBLANK(V167:V172),ISBLANK(AP167:AP172)), "·", bdRateExtend( P167:P172,V167:V172, AJ167:AJ172,AP167:AP172))</f>
        <v>0.18325385793855031</v>
      </c>
      <c r="BJ167" s="29">
        <f>IF( OR(ISBLANK(P167:P172),ISBLANK(AJ167:AJ172), ISBLANK(W167:W172),ISBLANK(AQ167:AQ172)), "·", bdRateExtend( P167:P172,W167:W172, AJ167:AJ172,AQ167:AQ172))</f>
        <v>0.80878889553541722</v>
      </c>
      <c r="BK167" s="29">
        <f>IF( OR(ISBLANK(P167:P172),ISBLANK(AJ167:AJ172), ISBLANK(X167:X172),ISBLANK(AR167:AR172)), "·", bdRateExtend( P167:P172,X167:X172, AJ167:AJ172,AR167:AR172))</f>
        <v>1.5162008007254091</v>
      </c>
      <c r="BL167" s="30"/>
    </row>
    <row r="168" spans="1:64" outlineLevel="1" x14ac:dyDescent="0.15">
      <c r="A168" s="31"/>
      <c r="B168" s="31" t="s">
        <v>312</v>
      </c>
      <c r="C168" s="32" t="s">
        <v>226</v>
      </c>
      <c r="D168" s="31">
        <v>19702134</v>
      </c>
      <c r="E168" s="33">
        <v>14</v>
      </c>
      <c r="F168" s="32">
        <v>1</v>
      </c>
      <c r="G168" s="32"/>
      <c r="I168" s="34" t="str">
        <f t="shared" si="22"/>
        <v>·</v>
      </c>
      <c r="J168" s="35">
        <f t="shared" si="23"/>
        <v>1.0926735144528E-3</v>
      </c>
      <c r="K168" s="35">
        <f t="shared" si="24"/>
        <v>9.7370163049342775E-4</v>
      </c>
      <c r="L168" s="35">
        <f t="shared" si="25"/>
        <v>9.3796946056706344E-5</v>
      </c>
      <c r="M168" s="36"/>
      <c r="N168" s="35">
        <f t="shared" si="26"/>
        <v>1.2695641917792062</v>
      </c>
      <c r="O168" s="37">
        <v>16957</v>
      </c>
      <c r="P168" s="38">
        <v>21528</v>
      </c>
      <c r="Q168" s="38">
        <v>19184</v>
      </c>
      <c r="R168" s="38">
        <v>1848</v>
      </c>
      <c r="S168" s="39"/>
      <c r="T168" s="40">
        <v>52.867699999999999</v>
      </c>
      <c r="U168" s="40">
        <v>55.707900000000002</v>
      </c>
      <c r="V168" s="40">
        <v>24.192599999999999</v>
      </c>
      <c r="W168" s="40">
        <v>38.396799999999999</v>
      </c>
      <c r="X168" s="40">
        <v>41.219299999999997</v>
      </c>
      <c r="Y168" s="41"/>
      <c r="Z168" s="42"/>
      <c r="AA168" s="42"/>
      <c r="AC168" s="34" t="str">
        <f t="shared" si="27"/>
        <v>·</v>
      </c>
      <c r="AD168" s="35">
        <f t="shared" si="28"/>
        <v>1.0346087383224579E-3</v>
      </c>
      <c r="AE168" s="35">
        <f t="shared" si="29"/>
        <v>9.7370163049342775E-4</v>
      </c>
      <c r="AF168" s="35">
        <f t="shared" si="30"/>
        <v>3.6138217311891191E-5</v>
      </c>
      <c r="AG168" s="36"/>
      <c r="AH168" s="35">
        <f t="shared" si="31"/>
        <v>1.2020994279648523</v>
      </c>
      <c r="AI168" s="37">
        <v>16957</v>
      </c>
      <c r="AJ168" s="38">
        <v>20384</v>
      </c>
      <c r="AK168" s="38">
        <v>19184</v>
      </c>
      <c r="AL168" s="38">
        <v>712</v>
      </c>
      <c r="AM168" s="39"/>
      <c r="AN168" s="40">
        <v>52.867699999999999</v>
      </c>
      <c r="AO168" s="40">
        <v>55.707900000000002</v>
      </c>
      <c r="AP168" s="40">
        <v>23.590199999999999</v>
      </c>
      <c r="AQ168" s="40">
        <v>37.389499999999998</v>
      </c>
      <c r="AR168" s="40">
        <v>40.363500000000002</v>
      </c>
      <c r="AS168" s="41"/>
      <c r="AT168" s="42"/>
      <c r="AU168" s="42"/>
      <c r="AW168" s="43">
        <f t="shared" si="32"/>
        <v>5.0011754980699097E-2</v>
      </c>
      <c r="AX168" s="43"/>
      <c r="AZ168" s="44"/>
      <c r="BA168" s="44"/>
      <c r="BB168" s="44"/>
      <c r="BC168" s="44"/>
      <c r="BD168" s="44"/>
      <c r="BE168" s="45"/>
      <c r="BG168" s="44"/>
      <c r="BH168" s="44"/>
      <c r="BI168" s="44"/>
      <c r="BJ168" s="44"/>
      <c r="BK168" s="44"/>
      <c r="BL168" s="45"/>
    </row>
    <row r="169" spans="1:64" outlineLevel="1" x14ac:dyDescent="0.15">
      <c r="A169" s="16"/>
      <c r="B169" s="16" t="s">
        <v>312</v>
      </c>
      <c r="C169" s="17" t="s">
        <v>227</v>
      </c>
      <c r="D169" s="16">
        <v>19702134</v>
      </c>
      <c r="E169" s="18">
        <v>14</v>
      </c>
      <c r="F169" s="17">
        <v>1</v>
      </c>
      <c r="G169" s="17"/>
      <c r="I169" s="19" t="str">
        <f t="shared" si="22"/>
        <v>·</v>
      </c>
      <c r="J169" s="20">
        <f t="shared" si="23"/>
        <v>4.4340374499533906E-3</v>
      </c>
      <c r="K169" s="20">
        <f t="shared" si="24"/>
        <v>3.5898649354430337E-3</v>
      </c>
      <c r="L169" s="20">
        <f t="shared" si="25"/>
        <v>8.1859152922216449E-4</v>
      </c>
      <c r="M169" s="21"/>
      <c r="N169" s="20">
        <f t="shared" si="26"/>
        <v>1.2856133741464564</v>
      </c>
      <c r="O169" s="22">
        <v>67952</v>
      </c>
      <c r="P169" s="23">
        <v>87360</v>
      </c>
      <c r="Q169" s="23">
        <v>70728</v>
      </c>
      <c r="R169" s="23">
        <v>16128</v>
      </c>
      <c r="S169" s="24"/>
      <c r="T169" s="25">
        <v>58.9711</v>
      </c>
      <c r="U169" s="25">
        <v>61.841099999999997</v>
      </c>
      <c r="V169" s="25">
        <v>26.234000000000002</v>
      </c>
      <c r="W169" s="25">
        <v>40.377400000000002</v>
      </c>
      <c r="X169" s="25">
        <v>42.381799999999998</v>
      </c>
      <c r="Y169" s="26"/>
      <c r="Z169" s="27"/>
      <c r="AA169" s="27"/>
      <c r="AC169" s="19" t="str">
        <f t="shared" si="27"/>
        <v>·</v>
      </c>
      <c r="AD169" s="20">
        <f t="shared" si="28"/>
        <v>4.0227114484146743E-3</v>
      </c>
      <c r="AE169" s="20">
        <f t="shared" si="29"/>
        <v>3.5898649354430337E-3</v>
      </c>
      <c r="AF169" s="20">
        <f t="shared" si="30"/>
        <v>4.0767157506897477E-4</v>
      </c>
      <c r="AG169" s="21"/>
      <c r="AH169" s="20">
        <f t="shared" si="31"/>
        <v>1.1663527195667529</v>
      </c>
      <c r="AI169" s="22">
        <v>67952</v>
      </c>
      <c r="AJ169" s="23">
        <v>79256</v>
      </c>
      <c r="AK169" s="23">
        <v>70728</v>
      </c>
      <c r="AL169" s="23">
        <v>8032</v>
      </c>
      <c r="AM169" s="24"/>
      <c r="AN169" s="25">
        <v>58.9711</v>
      </c>
      <c r="AO169" s="25">
        <v>61.841099999999997</v>
      </c>
      <c r="AP169" s="25">
        <v>25.759399999999999</v>
      </c>
      <c r="AQ169" s="25">
        <v>39.490200000000002</v>
      </c>
      <c r="AR169" s="25">
        <v>41.522500000000001</v>
      </c>
      <c r="AS169" s="26"/>
      <c r="AT169" s="27"/>
      <c r="AU169" s="27"/>
      <c r="AW169" s="28">
        <f t="shared" si="32"/>
        <v>8.2783929001250089E-2</v>
      </c>
      <c r="AX169" s="28"/>
      <c r="AZ169" s="29"/>
      <c r="BA169" s="29"/>
      <c r="BB169" s="29"/>
      <c r="BC169" s="29"/>
      <c r="BD169" s="29"/>
      <c r="BE169" s="30"/>
      <c r="BG169" s="29"/>
      <c r="BH169" s="29"/>
      <c r="BI169" s="29"/>
      <c r="BJ169" s="29"/>
      <c r="BK169" s="29"/>
      <c r="BL169" s="30"/>
    </row>
    <row r="170" spans="1:64" outlineLevel="1" x14ac:dyDescent="0.15">
      <c r="A170" s="31"/>
      <c r="B170" s="31" t="s">
        <v>312</v>
      </c>
      <c r="C170" s="32" t="s">
        <v>228</v>
      </c>
      <c r="D170" s="31">
        <v>19702134</v>
      </c>
      <c r="E170" s="33">
        <v>14</v>
      </c>
      <c r="F170" s="32">
        <v>1</v>
      </c>
      <c r="G170" s="32"/>
      <c r="I170" s="34" t="str">
        <f t="shared" si="22"/>
        <v>·</v>
      </c>
      <c r="J170" s="35">
        <f t="shared" si="23"/>
        <v>7.8120674643670576E-2</v>
      </c>
      <c r="K170" s="35">
        <f t="shared" si="24"/>
        <v>5.6138893380788091E-2</v>
      </c>
      <c r="L170" s="35">
        <f t="shared" si="25"/>
        <v>2.1956200277594293E-2</v>
      </c>
      <c r="M170" s="36"/>
      <c r="N170" s="35">
        <f t="shared" si="26"/>
        <v>1.4192133738433663</v>
      </c>
      <c r="O170" s="37">
        <v>1084505</v>
      </c>
      <c r="P170" s="38">
        <v>1539144</v>
      </c>
      <c r="Q170" s="38">
        <v>1106056</v>
      </c>
      <c r="R170" s="38">
        <v>432584</v>
      </c>
      <c r="S170" s="39"/>
      <c r="T170" s="40">
        <v>70.970100000000002</v>
      </c>
      <c r="U170" s="40">
        <v>74.244</v>
      </c>
      <c r="V170" s="40">
        <v>29.4038</v>
      </c>
      <c r="W170" s="40">
        <v>42.828800000000001</v>
      </c>
      <c r="X170" s="40">
        <v>44.8262</v>
      </c>
      <c r="Y170" s="41"/>
      <c r="Z170" s="42"/>
      <c r="AA170" s="42"/>
      <c r="AC170" s="34" t="str">
        <f t="shared" si="27"/>
        <v>·</v>
      </c>
      <c r="AD170" s="35">
        <f t="shared" si="28"/>
        <v>6.9426794072154824E-2</v>
      </c>
      <c r="AE170" s="35">
        <f t="shared" si="29"/>
        <v>5.6138893380788091E-2</v>
      </c>
      <c r="AF170" s="35">
        <f t="shared" si="30"/>
        <v>1.3262725753464067E-2</v>
      </c>
      <c r="AG170" s="36"/>
      <c r="AH170" s="35">
        <f t="shared" si="31"/>
        <v>1.2612721933047797</v>
      </c>
      <c r="AI170" s="37">
        <v>1084505</v>
      </c>
      <c r="AJ170" s="38">
        <v>1367856</v>
      </c>
      <c r="AK170" s="38">
        <v>1106056</v>
      </c>
      <c r="AL170" s="38">
        <v>261304</v>
      </c>
      <c r="AM170" s="39"/>
      <c r="AN170" s="40">
        <v>70.970100000000002</v>
      </c>
      <c r="AO170" s="40">
        <v>74.244</v>
      </c>
      <c r="AP170" s="40">
        <v>28.9666</v>
      </c>
      <c r="AQ170" s="40">
        <v>42.089500000000001</v>
      </c>
      <c r="AR170" s="40">
        <v>44.000799999999998</v>
      </c>
      <c r="AS170" s="41"/>
      <c r="AT170" s="42"/>
      <c r="AU170" s="42"/>
      <c r="AW170" s="43">
        <f t="shared" si="32"/>
        <v>8.9987962990317527E-2</v>
      </c>
      <c r="AX170" s="43"/>
      <c r="AZ170" s="44"/>
      <c r="BA170" s="44"/>
      <c r="BB170" s="44"/>
      <c r="BC170" s="44"/>
      <c r="BD170" s="44"/>
      <c r="BE170" s="45"/>
      <c r="BG170" s="44"/>
      <c r="BH170" s="44"/>
      <c r="BI170" s="44"/>
      <c r="BJ170" s="44"/>
      <c r="BK170" s="44"/>
      <c r="BL170" s="45"/>
    </row>
    <row r="171" spans="1:64" outlineLevel="1" x14ac:dyDescent="0.15">
      <c r="A171" s="16"/>
      <c r="B171" s="16" t="s">
        <v>312</v>
      </c>
      <c r="C171" s="17" t="s">
        <v>229</v>
      </c>
      <c r="D171" s="16">
        <v>19702134</v>
      </c>
      <c r="E171" s="18">
        <v>14</v>
      </c>
      <c r="F171" s="17">
        <v>1</v>
      </c>
      <c r="G171" s="17"/>
      <c r="I171" s="19" t="str">
        <f t="shared" si="22"/>
        <v>·</v>
      </c>
      <c r="J171" s="20">
        <f t="shared" si="23"/>
        <v>0.43104934724329863</v>
      </c>
      <c r="K171" s="20">
        <f t="shared" si="24"/>
        <v>0.24682158795590367</v>
      </c>
      <c r="L171" s="20">
        <f t="shared" si="25"/>
        <v>0.1841814698854449</v>
      </c>
      <c r="M171" s="21"/>
      <c r="N171" s="20">
        <f t="shared" si="26"/>
        <v>2.0905984277786995</v>
      </c>
      <c r="O171" s="22">
        <v>4062278</v>
      </c>
      <c r="P171" s="23">
        <v>8492592</v>
      </c>
      <c r="Q171" s="23">
        <v>4862912</v>
      </c>
      <c r="R171" s="23">
        <v>3628768</v>
      </c>
      <c r="S171" s="24"/>
      <c r="T171" s="25">
        <v>76.870400000000004</v>
      </c>
      <c r="U171" s="25">
        <v>80.671700000000001</v>
      </c>
      <c r="V171" s="25">
        <v>32.263500000000001</v>
      </c>
      <c r="W171" s="25">
        <v>44.667999999999999</v>
      </c>
      <c r="X171" s="25">
        <v>46.539200000000001</v>
      </c>
      <c r="Y171" s="26"/>
      <c r="Z171" s="27"/>
      <c r="AA171" s="27"/>
      <c r="AC171" s="19" t="str">
        <f t="shared" si="27"/>
        <v>·</v>
      </c>
      <c r="AD171" s="20">
        <f t="shared" si="28"/>
        <v>0.37793266455298702</v>
      </c>
      <c r="AE171" s="20">
        <f t="shared" si="29"/>
        <v>0.24682158795590367</v>
      </c>
      <c r="AF171" s="20">
        <f t="shared" si="30"/>
        <v>0.13106519324251881</v>
      </c>
      <c r="AG171" s="21"/>
      <c r="AH171" s="20">
        <f t="shared" si="31"/>
        <v>1.832981396152602</v>
      </c>
      <c r="AI171" s="22">
        <v>4062278</v>
      </c>
      <c r="AJ171" s="23">
        <v>7446080</v>
      </c>
      <c r="AK171" s="23">
        <v>4862912</v>
      </c>
      <c r="AL171" s="23">
        <v>2582264</v>
      </c>
      <c r="AM171" s="24"/>
      <c r="AN171" s="25">
        <v>76.870400000000004</v>
      </c>
      <c r="AO171" s="25">
        <v>80.671700000000001</v>
      </c>
      <c r="AP171" s="25">
        <v>31.946400000000001</v>
      </c>
      <c r="AQ171" s="25">
        <v>43.830500000000001</v>
      </c>
      <c r="AR171" s="25">
        <v>45.694200000000002</v>
      </c>
      <c r="AS171" s="26"/>
      <c r="AT171" s="27"/>
      <c r="AU171" s="27"/>
      <c r="AW171" s="28">
        <f t="shared" si="32"/>
        <v>8.0477164272523494E-2</v>
      </c>
      <c r="AX171" s="28"/>
      <c r="AZ171" s="29"/>
      <c r="BA171" s="29"/>
      <c r="BB171" s="29"/>
      <c r="BC171" s="29"/>
      <c r="BD171" s="29"/>
      <c r="BE171" s="30"/>
      <c r="BG171" s="29"/>
      <c r="BH171" s="29"/>
      <c r="BI171" s="29"/>
      <c r="BJ171" s="29"/>
      <c r="BK171" s="29"/>
      <c r="BL171" s="30"/>
    </row>
    <row r="172" spans="1:64" outlineLevel="1" x14ac:dyDescent="0.15">
      <c r="A172" s="31"/>
      <c r="B172" s="46" t="s">
        <v>312</v>
      </c>
      <c r="C172" s="47" t="s">
        <v>230</v>
      </c>
      <c r="D172" s="46">
        <v>19702134</v>
      </c>
      <c r="E172" s="48">
        <v>14</v>
      </c>
      <c r="F172" s="47">
        <v>1</v>
      </c>
      <c r="G172" s="47"/>
      <c r="I172" s="49" t="str">
        <f t="shared" si="22"/>
        <v>·</v>
      </c>
      <c r="J172" s="50">
        <f t="shared" si="23"/>
        <v>2.1882969631614526</v>
      </c>
      <c r="K172" s="50">
        <f t="shared" si="24"/>
        <v>1.0836576383045613</v>
      </c>
      <c r="L172" s="50">
        <f t="shared" si="25"/>
        <v>1.1045564911902437</v>
      </c>
      <c r="M172" s="51"/>
      <c r="N172" s="50">
        <f t="shared" si="26"/>
        <v>3.3797916864442539</v>
      </c>
      <c r="O172" s="52">
        <v>12756443</v>
      </c>
      <c r="P172" s="53">
        <v>43114120</v>
      </c>
      <c r="Q172" s="53">
        <v>21350368</v>
      </c>
      <c r="R172" s="53">
        <v>21762120</v>
      </c>
      <c r="S172" s="54"/>
      <c r="T172" s="55">
        <v>82.529700000000005</v>
      </c>
      <c r="U172" s="55">
        <v>87.146299999999997</v>
      </c>
      <c r="V172" s="55">
        <v>36.572800000000001</v>
      </c>
      <c r="W172" s="55">
        <v>47.119500000000002</v>
      </c>
      <c r="X172" s="55">
        <v>48.552599999999998</v>
      </c>
      <c r="Y172" s="56"/>
      <c r="Z172" s="57"/>
      <c r="AA172" s="57"/>
      <c r="AC172" s="49" t="str">
        <f t="shared" si="27"/>
        <v>·</v>
      </c>
      <c r="AD172" s="50">
        <f t="shared" si="28"/>
        <v>1.8837963440914574</v>
      </c>
      <c r="AE172" s="50">
        <f t="shared" si="29"/>
        <v>1.0836576383045613</v>
      </c>
      <c r="AF172" s="50">
        <f t="shared" si="30"/>
        <v>0.80005627816763403</v>
      </c>
      <c r="AG172" s="51"/>
      <c r="AH172" s="50">
        <f t="shared" si="31"/>
        <v>2.9094950684920553</v>
      </c>
      <c r="AI172" s="52">
        <v>12756443</v>
      </c>
      <c r="AJ172" s="53">
        <v>37114808</v>
      </c>
      <c r="AK172" s="53">
        <v>21350368</v>
      </c>
      <c r="AL172" s="53">
        <v>15762816</v>
      </c>
      <c r="AM172" s="54"/>
      <c r="AN172" s="55">
        <v>82.529700000000005</v>
      </c>
      <c r="AO172" s="55">
        <v>87.146299999999997</v>
      </c>
      <c r="AP172" s="55">
        <v>36.112000000000002</v>
      </c>
      <c r="AQ172" s="55">
        <v>45.972099999999998</v>
      </c>
      <c r="AR172" s="55">
        <v>47.4816</v>
      </c>
      <c r="AS172" s="56"/>
      <c r="AT172" s="57"/>
      <c r="AU172" s="57"/>
      <c r="AW172" s="58">
        <f t="shared" si="32"/>
        <v>8.0046080085469151E-2</v>
      </c>
      <c r="AX172" s="58"/>
      <c r="AZ172" s="59"/>
      <c r="BA172" s="59"/>
      <c r="BB172" s="59"/>
      <c r="BC172" s="59"/>
      <c r="BD172" s="59"/>
      <c r="BE172" s="60"/>
      <c r="BG172" s="59"/>
      <c r="BH172" s="59"/>
      <c r="BI172" s="59"/>
      <c r="BJ172" s="59"/>
      <c r="BK172" s="59"/>
      <c r="BL172" s="60"/>
    </row>
    <row r="173" spans="1:64" collapsed="1" x14ac:dyDescent="0.15">
      <c r="A173" s="16"/>
      <c r="B173" s="16" t="s">
        <v>315</v>
      </c>
      <c r="C173" s="17" t="s">
        <v>225</v>
      </c>
      <c r="D173" s="16">
        <v>19714629</v>
      </c>
      <c r="E173" s="18">
        <v>20</v>
      </c>
      <c r="F173" s="17">
        <v>1</v>
      </c>
      <c r="G173" s="17"/>
      <c r="I173" s="19" t="str">
        <f t="shared" si="22"/>
        <v>·</v>
      </c>
      <c r="J173" s="20">
        <f t="shared" si="23"/>
        <v>0.25078473452378941</v>
      </c>
      <c r="K173" s="20">
        <f t="shared" si="24"/>
        <v>0.24671060256827557</v>
      </c>
      <c r="L173" s="20">
        <f t="shared" si="25"/>
        <v>4.0278718914771357E-3</v>
      </c>
      <c r="M173" s="21"/>
      <c r="N173" s="20">
        <f t="shared" si="26"/>
        <v>1.2172393460462287</v>
      </c>
      <c r="O173" s="22">
        <v>4061755</v>
      </c>
      <c r="P173" s="23">
        <v>4944128</v>
      </c>
      <c r="Q173" s="23">
        <v>4863808</v>
      </c>
      <c r="R173" s="23">
        <v>79408</v>
      </c>
      <c r="S173" s="24"/>
      <c r="T173" s="25">
        <v>77.004099999999994</v>
      </c>
      <c r="U173" s="25">
        <v>80.6374</v>
      </c>
      <c r="V173" s="25">
        <v>27.784600000000001</v>
      </c>
      <c r="W173" s="25">
        <v>39.758299999999998</v>
      </c>
      <c r="X173" s="25">
        <v>42.837499999999999</v>
      </c>
      <c r="Y173" s="26"/>
      <c r="Z173" s="27"/>
      <c r="AA173" s="27"/>
      <c r="AC173" s="19" t="str">
        <f t="shared" si="27"/>
        <v>·</v>
      </c>
      <c r="AD173" s="20">
        <f t="shared" si="28"/>
        <v>0.24824732943237227</v>
      </c>
      <c r="AE173" s="20">
        <f t="shared" si="29"/>
        <v>0.24671060256827557</v>
      </c>
      <c r="AF173" s="20">
        <f t="shared" si="30"/>
        <v>1.4908725900954058E-3</v>
      </c>
      <c r="AG173" s="21"/>
      <c r="AH173" s="20">
        <f t="shared" si="31"/>
        <v>1.2049234875072474</v>
      </c>
      <c r="AI173" s="22">
        <v>4061755</v>
      </c>
      <c r="AJ173" s="23">
        <v>4894104</v>
      </c>
      <c r="AK173" s="23">
        <v>4863808</v>
      </c>
      <c r="AL173" s="23">
        <v>29392</v>
      </c>
      <c r="AM173" s="24"/>
      <c r="AN173" s="25">
        <v>77.004099999999994</v>
      </c>
      <c r="AO173" s="25">
        <v>80.6374</v>
      </c>
      <c r="AP173" s="25">
        <v>26.912400000000002</v>
      </c>
      <c r="AQ173" s="25">
        <v>40.616399999999999</v>
      </c>
      <c r="AR173" s="25">
        <v>42.363300000000002</v>
      </c>
      <c r="AS173" s="26"/>
      <c r="AT173" s="27"/>
      <c r="AU173" s="27"/>
      <c r="AW173" s="28">
        <f t="shared" si="32"/>
        <v>1.0055228373236802E-2</v>
      </c>
      <c r="AX173" s="28">
        <f t="array" ref="AX173">AVERAGE(AK173:AK178/AJ173:AJ178) - AVERAGE(Q173:Q178/P173:P178)</f>
        <v>1.9372156677443408E-2</v>
      </c>
      <c r="AZ173" s="29">
        <f>IF( OR(ISBLANK(Q173:Q178),ISBLANK(AK173:AK178), ISBLANK(T173:T178),ISBLANK(AN173:AN178)), "·", bdRateExtend( Q173:Q178,T173:T178, AK173:AK178,AN173:AN178))</f>
        <v>0</v>
      </c>
      <c r="BA173" s="29">
        <f>IF( OR(ISBLANK(Q173:Q178),ISBLANK(AK173:AK178), ISBLANK(U173:U178),ISBLANK(AO173:AO178)), "·", bdRateExtend( Q173:Q178,U173:U178, AK173:AK178,AO173:AO178))</f>
        <v>0</v>
      </c>
      <c r="BB173" s="29">
        <f>IF( OR(ISBLANK(R173:R178),ISBLANK(AL173:AL178), ISBLANK(V173:V178),ISBLANK(AP173:AP178)), "·", bdRateExtend( R173:R178,V173:V178, AL173:AL178,AP173:AP178))</f>
        <v>-4.652060984391293E-2</v>
      </c>
      <c r="BC173" s="29">
        <f>IF( OR(ISBLANK(R173:R178),ISBLANK(AL173:AL178), ISBLANK(W173:W178),ISBLANK(AQ173:AQ178)), "·", bdRateExtend( R173:R178,W173:W178, AL173:AL178,AQ173:AQ178))</f>
        <v>2.908483414593821E-2</v>
      </c>
      <c r="BD173" s="29">
        <f>IF( OR(ISBLANK(R173:R178),ISBLANK(AL173:AL178), ISBLANK(X173:X178),ISBLANK(AR173:AR178)), "·", bdRateExtend( R173:R178,X173:X178, AL173:AL178,AR173:AR178))</f>
        <v>0.17570878137483015</v>
      </c>
      <c r="BE173" s="30"/>
      <c r="BG173" s="29">
        <f>IF( OR(ISBLANK(P173:P178),ISBLANK(AJ173:AJ178), ISBLANK(T173:T178),ISBLANK(AN173:AN178)), "·", bdRateExtend( P173:P178,T173:T178, AJ173:AJ178,AN173:AN178))</f>
        <v>-1.9163898968311499E-2</v>
      </c>
      <c r="BH173" s="29">
        <f>IF( OR(ISBLANK(P173:P178),ISBLANK(AJ173:AJ178), ISBLANK(U173:U178),ISBLANK(AO173:AO178)), "·", bdRateExtend( P173:P178,U173:U178, AJ173:AJ178,AO173:AO178))</f>
        <v>-1.9008483159504652E-2</v>
      </c>
      <c r="BI173" s="29">
        <f>IF( OR(ISBLANK(P173:P178),ISBLANK(AJ173:AJ178), ISBLANK(V173:V178),ISBLANK(AP173:AP178)), "·", bdRateExtend( P173:P178,V173:V178, AJ173:AJ178,AP173:AP178))</f>
        <v>0.49770569506878282</v>
      </c>
      <c r="BJ173" s="29">
        <f>IF( OR(ISBLANK(P173:P178),ISBLANK(AJ173:AJ178), ISBLANK(W173:W178),ISBLANK(AQ173:AQ178)), "·", bdRateExtend( P173:P178,W173:W178, AJ173:AJ178,AQ173:AQ178))</f>
        <v>0.69625100194250678</v>
      </c>
      <c r="BK173" s="29">
        <f>IF( OR(ISBLANK(P173:P178),ISBLANK(AJ173:AJ178), ISBLANK(X173:X178),ISBLANK(AR173:AR178)), "·", bdRateExtend( P173:P178,X173:X178, AJ173:AJ178,AR173:AR178))</f>
        <v>0.88938059081924226</v>
      </c>
      <c r="BL173" s="30"/>
    </row>
    <row r="174" spans="1:64" outlineLevel="1" x14ac:dyDescent="0.15">
      <c r="A174" s="31"/>
      <c r="B174" s="31" t="s">
        <v>315</v>
      </c>
      <c r="C174" s="32" t="s">
        <v>226</v>
      </c>
      <c r="D174" s="31">
        <v>19714629</v>
      </c>
      <c r="E174" s="33">
        <v>20</v>
      </c>
      <c r="F174" s="32">
        <v>1</v>
      </c>
      <c r="G174" s="32"/>
      <c r="I174" s="34" t="str">
        <f t="shared" si="22"/>
        <v>·</v>
      </c>
      <c r="J174" s="35">
        <f t="shared" si="23"/>
        <v>1.1113842416207782</v>
      </c>
      <c r="K174" s="35">
        <f t="shared" si="24"/>
        <v>1.0831420667363307</v>
      </c>
      <c r="L174" s="35">
        <f t="shared" si="25"/>
        <v>2.8159393717223896E-2</v>
      </c>
      <c r="M174" s="36"/>
      <c r="N174" s="35">
        <f t="shared" si="26"/>
        <v>1.7175272687137959</v>
      </c>
      <c r="O174" s="37">
        <v>12757019</v>
      </c>
      <c r="P174" s="38">
        <v>21910528</v>
      </c>
      <c r="Q174" s="38">
        <v>21353744</v>
      </c>
      <c r="R174" s="38">
        <v>555152</v>
      </c>
      <c r="S174" s="39"/>
      <c r="T174" s="40">
        <v>83.041399999999996</v>
      </c>
      <c r="U174" s="40">
        <v>87.535300000000007</v>
      </c>
      <c r="V174" s="40">
        <v>30.007100000000001</v>
      </c>
      <c r="W174" s="40">
        <v>42.712699999999998</v>
      </c>
      <c r="X174" s="40">
        <v>44.609400000000001</v>
      </c>
      <c r="Y174" s="41"/>
      <c r="Z174" s="42"/>
      <c r="AA174" s="42"/>
      <c r="AC174" s="34" t="str">
        <f t="shared" si="27"/>
        <v>·</v>
      </c>
      <c r="AD174" s="35">
        <f t="shared" si="28"/>
        <v>1.0934288441339677</v>
      </c>
      <c r="AE174" s="35">
        <f t="shared" si="29"/>
        <v>1.0831420667363307</v>
      </c>
      <c r="AF174" s="35">
        <f t="shared" si="30"/>
        <v>1.0204402020448877E-2</v>
      </c>
      <c r="AG174" s="36"/>
      <c r="AH174" s="35">
        <f t="shared" si="31"/>
        <v>1.6897790933759682</v>
      </c>
      <c r="AI174" s="37">
        <v>12757019</v>
      </c>
      <c r="AJ174" s="38">
        <v>21556544</v>
      </c>
      <c r="AK174" s="38">
        <v>21353744</v>
      </c>
      <c r="AL174" s="38">
        <v>201176</v>
      </c>
      <c r="AM174" s="39"/>
      <c r="AN174" s="40">
        <v>83.041399999999996</v>
      </c>
      <c r="AO174" s="40">
        <v>87.535300000000007</v>
      </c>
      <c r="AP174" s="40">
        <v>28.835899999999999</v>
      </c>
      <c r="AQ174" s="40">
        <v>41.873399999999997</v>
      </c>
      <c r="AR174" s="40">
        <v>43.801000000000002</v>
      </c>
      <c r="AS174" s="41"/>
      <c r="AT174" s="42"/>
      <c r="AU174" s="42"/>
      <c r="AW174" s="43">
        <f t="shared" si="32"/>
        <v>1.6003894732871449E-2</v>
      </c>
      <c r="AX174" s="43"/>
      <c r="AZ174" s="44"/>
      <c r="BA174" s="44"/>
      <c r="BB174" s="44"/>
      <c r="BC174" s="44"/>
      <c r="BD174" s="44"/>
      <c r="BE174" s="45"/>
      <c r="BG174" s="44"/>
      <c r="BH174" s="44"/>
      <c r="BI174" s="44"/>
      <c r="BJ174" s="44"/>
      <c r="BK174" s="44"/>
      <c r="BL174" s="45"/>
    </row>
    <row r="175" spans="1:64" outlineLevel="1" x14ac:dyDescent="0.15">
      <c r="A175" s="16"/>
      <c r="B175" s="16" t="s">
        <v>315</v>
      </c>
      <c r="C175" s="17" t="s">
        <v>227</v>
      </c>
      <c r="D175" s="16">
        <v>19714629</v>
      </c>
      <c r="E175" s="18">
        <v>20</v>
      </c>
      <c r="F175" s="17">
        <v>1</v>
      </c>
      <c r="G175" s="17"/>
      <c r="I175" s="19" t="str">
        <f t="shared" si="22"/>
        <v>·</v>
      </c>
      <c r="J175" s="20">
        <f t="shared" si="23"/>
        <v>6.0781110311535667</v>
      </c>
      <c r="K175" s="20">
        <f t="shared" si="24"/>
        <v>5.9467998104351851</v>
      </c>
      <c r="L175" s="20">
        <f t="shared" si="25"/>
        <v>0.13119151265793538</v>
      </c>
      <c r="M175" s="21"/>
      <c r="N175" s="20">
        <f t="shared" si="26"/>
        <v>6.0820037101796363</v>
      </c>
      <c r="O175" s="22">
        <v>19702011</v>
      </c>
      <c r="P175" s="23">
        <v>119827704</v>
      </c>
      <c r="Q175" s="23">
        <v>117238952</v>
      </c>
      <c r="R175" s="23">
        <v>2586392</v>
      </c>
      <c r="S175" s="24"/>
      <c r="T175" s="25">
        <v>95.077500000000001</v>
      </c>
      <c r="U175" s="25">
        <v>99.850099999999998</v>
      </c>
      <c r="V175" s="25">
        <v>32.338200000000001</v>
      </c>
      <c r="W175" s="25">
        <v>43.951599999999999</v>
      </c>
      <c r="X175" s="25">
        <v>45.821199999999997</v>
      </c>
      <c r="Y175" s="26"/>
      <c r="Z175" s="27"/>
      <c r="AA175" s="27"/>
      <c r="AC175" s="19" t="str">
        <f t="shared" si="27"/>
        <v>·</v>
      </c>
      <c r="AD175" s="20">
        <f t="shared" si="28"/>
        <v>5.9978603705907929</v>
      </c>
      <c r="AE175" s="20">
        <f t="shared" si="29"/>
        <v>5.9467998104351851</v>
      </c>
      <c r="AF175" s="20">
        <f t="shared" si="30"/>
        <v>5.0941257885197842E-2</v>
      </c>
      <c r="AG175" s="21"/>
      <c r="AH175" s="20">
        <f t="shared" si="31"/>
        <v>6.0017016537042842</v>
      </c>
      <c r="AI175" s="22">
        <v>19702011</v>
      </c>
      <c r="AJ175" s="23">
        <v>118245592</v>
      </c>
      <c r="AK175" s="23">
        <v>117238952</v>
      </c>
      <c r="AL175" s="23">
        <v>1004288</v>
      </c>
      <c r="AM175" s="24"/>
      <c r="AN175" s="25">
        <v>95.077500000000001</v>
      </c>
      <c r="AO175" s="25">
        <v>99.850099999999998</v>
      </c>
      <c r="AP175" s="25">
        <v>30.819199999999999</v>
      </c>
      <c r="AQ175" s="25">
        <v>43.008800000000001</v>
      </c>
      <c r="AR175" s="25">
        <v>44.921500000000002</v>
      </c>
      <c r="AS175" s="26"/>
      <c r="AT175" s="27"/>
      <c r="AU175" s="27"/>
      <c r="AW175" s="28">
        <f t="shared" si="32"/>
        <v>1.3090823105166405E-2</v>
      </c>
      <c r="AX175" s="28"/>
      <c r="AZ175" s="29"/>
      <c r="BA175" s="29"/>
      <c r="BB175" s="29"/>
      <c r="BC175" s="29"/>
      <c r="BD175" s="29"/>
      <c r="BE175" s="30"/>
      <c r="BG175" s="29"/>
      <c r="BH175" s="29"/>
      <c r="BI175" s="29"/>
      <c r="BJ175" s="29"/>
      <c r="BK175" s="29"/>
      <c r="BL175" s="30"/>
    </row>
    <row r="176" spans="1:64" outlineLevel="1" x14ac:dyDescent="0.15">
      <c r="A176" s="31"/>
      <c r="B176" s="31" t="s">
        <v>315</v>
      </c>
      <c r="C176" s="32" t="s">
        <v>228</v>
      </c>
      <c r="D176" s="31">
        <v>19714629</v>
      </c>
      <c r="E176" s="33">
        <v>20</v>
      </c>
      <c r="F176" s="32">
        <v>1</v>
      </c>
      <c r="G176" s="32"/>
      <c r="I176" s="34" t="str">
        <f t="shared" si="22"/>
        <v>·</v>
      </c>
      <c r="J176" s="35">
        <f t="shared" si="23"/>
        <v>8.4922285882224813</v>
      </c>
      <c r="K176" s="35">
        <f t="shared" si="24"/>
        <v>8.1219094713879727</v>
      </c>
      <c r="L176" s="35">
        <f t="shared" si="25"/>
        <v>0.37019940877406315</v>
      </c>
      <c r="M176" s="36"/>
      <c r="N176" s="35">
        <f t="shared" si="26"/>
        <v>8.493002299568003</v>
      </c>
      <c r="O176" s="37">
        <v>19712833</v>
      </c>
      <c r="P176" s="38">
        <v>167421136</v>
      </c>
      <c r="Q176" s="38">
        <v>160120432</v>
      </c>
      <c r="R176" s="38">
        <v>7298344</v>
      </c>
      <c r="S176" s="39"/>
      <c r="T176" s="40">
        <v>101.092</v>
      </c>
      <c r="U176" s="40">
        <v>105.863</v>
      </c>
      <c r="V176" s="40">
        <v>34.5824</v>
      </c>
      <c r="W176" s="40">
        <v>45.065100000000001</v>
      </c>
      <c r="X176" s="40">
        <v>46.812600000000003</v>
      </c>
      <c r="Y176" s="41"/>
      <c r="Z176" s="42"/>
      <c r="AA176" s="42"/>
      <c r="AC176" s="34" t="str">
        <f t="shared" si="27"/>
        <v>·</v>
      </c>
      <c r="AD176" s="35">
        <f t="shared" si="28"/>
        <v>8.2970634649021289</v>
      </c>
      <c r="AE176" s="35">
        <f t="shared" si="29"/>
        <v>8.1219094713879727</v>
      </c>
      <c r="AF176" s="35">
        <f t="shared" si="30"/>
        <v>0.17503469124374596</v>
      </c>
      <c r="AG176" s="36"/>
      <c r="AH176" s="35">
        <f t="shared" si="31"/>
        <v>8.2978193951118033</v>
      </c>
      <c r="AI176" s="37">
        <v>19712833</v>
      </c>
      <c r="AJ176" s="38">
        <v>163573528</v>
      </c>
      <c r="AK176" s="38">
        <v>160120432</v>
      </c>
      <c r="AL176" s="38">
        <v>3450744</v>
      </c>
      <c r="AM176" s="39"/>
      <c r="AN176" s="40">
        <v>101.092</v>
      </c>
      <c r="AO176" s="40">
        <v>105.863</v>
      </c>
      <c r="AP176" s="40">
        <v>32.906100000000002</v>
      </c>
      <c r="AQ176" s="40">
        <v>43.976199999999999</v>
      </c>
      <c r="AR176" s="40">
        <v>45.834600000000002</v>
      </c>
      <c r="AS176" s="41"/>
      <c r="AT176" s="42"/>
      <c r="AU176" s="42"/>
      <c r="AW176" s="43">
        <f t="shared" si="32"/>
        <v>2.2496464314114117E-2</v>
      </c>
      <c r="AX176" s="43"/>
      <c r="AZ176" s="44"/>
      <c r="BA176" s="44"/>
      <c r="BB176" s="44"/>
      <c r="BC176" s="44"/>
      <c r="BD176" s="44"/>
      <c r="BE176" s="45"/>
      <c r="BG176" s="44"/>
      <c r="BH176" s="44"/>
      <c r="BI176" s="44"/>
      <c r="BJ176" s="44"/>
      <c r="BK176" s="44"/>
      <c r="BL176" s="45"/>
    </row>
    <row r="177" spans="1:64" outlineLevel="1" x14ac:dyDescent="0.15">
      <c r="A177" s="16"/>
      <c r="B177" s="16" t="s">
        <v>315</v>
      </c>
      <c r="C177" s="17" t="s">
        <v>229</v>
      </c>
      <c r="D177" s="16">
        <v>19714629</v>
      </c>
      <c r="E177" s="18">
        <v>20</v>
      </c>
      <c r="F177" s="17">
        <v>1</v>
      </c>
      <c r="G177" s="17"/>
      <c r="I177" s="19" t="str">
        <f t="shared" si="22"/>
        <v>·</v>
      </c>
      <c r="J177" s="20">
        <f t="shared" si="23"/>
        <v>14.258678263740089</v>
      </c>
      <c r="K177" s="20">
        <f t="shared" si="24"/>
        <v>13.333671762222865</v>
      </c>
      <c r="L177" s="20">
        <f t="shared" si="25"/>
        <v>0.92488638766674225</v>
      </c>
      <c r="M177" s="21"/>
      <c r="N177" s="20">
        <f t="shared" si="26"/>
        <v>14.25870068463988</v>
      </c>
      <c r="O177" s="22">
        <v>19714598</v>
      </c>
      <c r="P177" s="23">
        <v>281104552</v>
      </c>
      <c r="Q177" s="23">
        <v>262868392</v>
      </c>
      <c r="R177" s="23">
        <v>18233792</v>
      </c>
      <c r="S177" s="24"/>
      <c r="T177" s="25">
        <v>113.004</v>
      </c>
      <c r="U177" s="25">
        <v>117.768</v>
      </c>
      <c r="V177" s="25">
        <v>37.665700000000001</v>
      </c>
      <c r="W177" s="25">
        <v>46.442</v>
      </c>
      <c r="X177" s="25">
        <v>47.928600000000003</v>
      </c>
      <c r="Y177" s="26"/>
      <c r="Z177" s="27"/>
      <c r="AA177" s="27"/>
      <c r="AC177" s="19" t="str">
        <f t="shared" si="27"/>
        <v>·</v>
      </c>
      <c r="AD177" s="20">
        <f t="shared" si="28"/>
        <v>13.904783092798754</v>
      </c>
      <c r="AE177" s="20">
        <f t="shared" si="29"/>
        <v>13.333671762222865</v>
      </c>
      <c r="AF177" s="20">
        <f t="shared" si="30"/>
        <v>0.57099162251544266</v>
      </c>
      <c r="AG177" s="21"/>
      <c r="AH177" s="20">
        <f t="shared" si="31"/>
        <v>13.904804957220026</v>
      </c>
      <c r="AI177" s="22">
        <v>19714598</v>
      </c>
      <c r="AJ177" s="23">
        <v>274127640</v>
      </c>
      <c r="AK177" s="23">
        <v>262868392</v>
      </c>
      <c r="AL177" s="23">
        <v>11256888</v>
      </c>
      <c r="AM177" s="24"/>
      <c r="AN177" s="25">
        <v>113.004</v>
      </c>
      <c r="AO177" s="25">
        <v>117.768</v>
      </c>
      <c r="AP177" s="25">
        <v>36.075899999999997</v>
      </c>
      <c r="AQ177" s="25">
        <v>45.174700000000001</v>
      </c>
      <c r="AR177" s="25">
        <v>46.866900000000001</v>
      </c>
      <c r="AS177" s="26"/>
      <c r="AT177" s="27"/>
      <c r="AU177" s="27"/>
      <c r="AW177" s="28">
        <f t="shared" si="32"/>
        <v>2.3800216532293694E-2</v>
      </c>
      <c r="AX177" s="28"/>
      <c r="AZ177" s="29"/>
      <c r="BA177" s="29"/>
      <c r="BB177" s="29"/>
      <c r="BC177" s="29"/>
      <c r="BD177" s="29"/>
      <c r="BE177" s="30"/>
      <c r="BG177" s="29"/>
      <c r="BH177" s="29"/>
      <c r="BI177" s="29"/>
      <c r="BJ177" s="29"/>
      <c r="BK177" s="29"/>
      <c r="BL177" s="30"/>
    </row>
    <row r="178" spans="1:64" outlineLevel="1" x14ac:dyDescent="0.15">
      <c r="A178" s="31"/>
      <c r="B178" s="46" t="s">
        <v>315</v>
      </c>
      <c r="C178" s="47" t="s">
        <v>230</v>
      </c>
      <c r="D178" s="46">
        <v>19714629</v>
      </c>
      <c r="E178" s="48">
        <v>20</v>
      </c>
      <c r="F178" s="47">
        <v>1</v>
      </c>
      <c r="G178" s="47"/>
      <c r="I178" s="49" t="str">
        <f t="shared" si="22"/>
        <v>·</v>
      </c>
      <c r="J178" s="50">
        <f t="shared" si="23"/>
        <v>18.321541429970608</v>
      </c>
      <c r="K178" s="50">
        <f t="shared" si="24"/>
        <v>16.38046224455961</v>
      </c>
      <c r="L178" s="50">
        <f t="shared" si="25"/>
        <v>1.9409586657704794</v>
      </c>
      <c r="M178" s="51"/>
      <c r="N178" s="50">
        <f t="shared" si="26"/>
        <v>18.321542359308022</v>
      </c>
      <c r="O178" s="52">
        <v>19714628</v>
      </c>
      <c r="P178" s="53">
        <v>361202392</v>
      </c>
      <c r="Q178" s="53">
        <v>322934736</v>
      </c>
      <c r="R178" s="53">
        <v>38265280</v>
      </c>
      <c r="S178" s="54"/>
      <c r="T178" s="55">
        <v>118.636</v>
      </c>
      <c r="U178" s="55">
        <v>123.379</v>
      </c>
      <c r="V178" s="55">
        <v>41.846299999999999</v>
      </c>
      <c r="W178" s="55">
        <v>48.087699999999998</v>
      </c>
      <c r="X178" s="55">
        <v>49.243499999999997</v>
      </c>
      <c r="Y178" s="56"/>
      <c r="Z178" s="57"/>
      <c r="AA178" s="57"/>
      <c r="AC178" s="49" t="str">
        <f t="shared" si="27"/>
        <v>·</v>
      </c>
      <c r="AD178" s="50">
        <f t="shared" si="28"/>
        <v>17.711649963080717</v>
      </c>
      <c r="AE178" s="50">
        <f t="shared" si="29"/>
        <v>16.38046224455961</v>
      </c>
      <c r="AF178" s="50">
        <f t="shared" si="30"/>
        <v>1.3310676046706231</v>
      </c>
      <c r="AG178" s="51"/>
      <c r="AH178" s="50">
        <f t="shared" si="31"/>
        <v>17.711650861482145</v>
      </c>
      <c r="AI178" s="52">
        <v>19714628</v>
      </c>
      <c r="AJ178" s="53">
        <v>349178608</v>
      </c>
      <c r="AK178" s="53">
        <v>322934736</v>
      </c>
      <c r="AL178" s="53">
        <v>26241504</v>
      </c>
      <c r="AM178" s="54"/>
      <c r="AN178" s="55">
        <v>118.636</v>
      </c>
      <c r="AO178" s="55">
        <v>123.379</v>
      </c>
      <c r="AP178" s="55">
        <v>40.097999999999999</v>
      </c>
      <c r="AQ178" s="55">
        <v>46.597200000000001</v>
      </c>
      <c r="AR178" s="55">
        <v>47.994100000000003</v>
      </c>
      <c r="AS178" s="56"/>
      <c r="AT178" s="57"/>
      <c r="AU178" s="57"/>
      <c r="AW178" s="58">
        <f t="shared" si="32"/>
        <v>3.0786313006977317E-2</v>
      </c>
      <c r="AX178" s="58"/>
      <c r="AZ178" s="59"/>
      <c r="BA178" s="59"/>
      <c r="BB178" s="59"/>
      <c r="BC178" s="59"/>
      <c r="BD178" s="59"/>
      <c r="BE178" s="60"/>
      <c r="BG178" s="59"/>
      <c r="BH178" s="59"/>
      <c r="BI178" s="59"/>
      <c r="BJ178" s="59"/>
      <c r="BK178" s="59"/>
      <c r="BL178" s="60"/>
    </row>
    <row r="179" spans="1:64" collapsed="1" x14ac:dyDescent="0.15">
      <c r="A179" s="16"/>
      <c r="B179" s="16" t="s">
        <v>318</v>
      </c>
      <c r="C179" s="17" t="s">
        <v>225</v>
      </c>
      <c r="D179" s="16">
        <v>3630907</v>
      </c>
      <c r="E179" s="18">
        <v>20</v>
      </c>
      <c r="F179" s="17">
        <v>1</v>
      </c>
      <c r="G179" s="17"/>
      <c r="I179" s="19" t="str">
        <f t="shared" si="22"/>
        <v>·</v>
      </c>
      <c r="J179" s="20">
        <f t="shared" si="23"/>
        <v>3.1774760411103893</v>
      </c>
      <c r="K179" s="20">
        <f t="shared" si="24"/>
        <v>3.15514112589499</v>
      </c>
      <c r="L179" s="20">
        <f t="shared" si="25"/>
        <v>2.2105771367870342E-2</v>
      </c>
      <c r="M179" s="21"/>
      <c r="N179" s="20">
        <f t="shared" si="26"/>
        <v>3.4742010805836427</v>
      </c>
      <c r="O179" s="22">
        <v>3320798</v>
      </c>
      <c r="P179" s="23">
        <v>11537120</v>
      </c>
      <c r="Q179" s="23">
        <v>11456024</v>
      </c>
      <c r="R179" s="23">
        <v>80264</v>
      </c>
      <c r="S179" s="24"/>
      <c r="T179" s="25">
        <v>77.019199999999998</v>
      </c>
      <c r="U179" s="25">
        <v>81.785300000000007</v>
      </c>
      <c r="V179" s="25">
        <v>28.457000000000001</v>
      </c>
      <c r="W179" s="25">
        <v>40.651699999999998</v>
      </c>
      <c r="X179" s="25">
        <v>45.823500000000003</v>
      </c>
      <c r="Y179" s="26"/>
      <c r="Z179" s="27"/>
      <c r="AA179" s="27"/>
      <c r="AC179" s="19" t="str">
        <f t="shared" si="27"/>
        <v>·</v>
      </c>
      <c r="AD179" s="20">
        <f t="shared" si="28"/>
        <v>3.1642209508533266</v>
      </c>
      <c r="AE179" s="20">
        <f t="shared" si="29"/>
        <v>3.15514112589499</v>
      </c>
      <c r="AF179" s="20">
        <f t="shared" si="30"/>
        <v>8.8528844170340914E-3</v>
      </c>
      <c r="AG179" s="21"/>
      <c r="AH179" s="20">
        <f t="shared" si="31"/>
        <v>3.4597081785763542</v>
      </c>
      <c r="AI179" s="22">
        <v>3320798</v>
      </c>
      <c r="AJ179" s="23">
        <v>11488992</v>
      </c>
      <c r="AK179" s="23">
        <v>11456024</v>
      </c>
      <c r="AL179" s="23">
        <v>32144</v>
      </c>
      <c r="AM179" s="24"/>
      <c r="AN179" s="25">
        <v>77.019199999999998</v>
      </c>
      <c r="AO179" s="25">
        <v>81.785300000000007</v>
      </c>
      <c r="AP179" s="25">
        <v>27.1204</v>
      </c>
      <c r="AQ179" s="25">
        <v>41.689</v>
      </c>
      <c r="AR179" s="25">
        <v>45.501899999999999</v>
      </c>
      <c r="AS179" s="26"/>
      <c r="AT179" s="27"/>
      <c r="AU179" s="27"/>
      <c r="AW179" s="28">
        <f t="shared" si="32"/>
        <v>4.1596078822425664E-3</v>
      </c>
      <c r="AX179" s="28">
        <f t="array" ref="AX179">AVERAGE(AK179:AK184/AJ179:AJ184) - AVERAGE(Q179:Q184/P179:P184)</f>
        <v>9.3607367626239446E-3</v>
      </c>
      <c r="AZ179" s="29">
        <f>IF( OR(ISBLANK(Q179:Q184),ISBLANK(AK179:AK184), ISBLANK(T179:T184),ISBLANK(AN179:AN184)), "·", bdRateExtend( Q179:Q184,T179:T184, AK179:AK184,AN179:AN184))</f>
        <v>0</v>
      </c>
      <c r="BA179" s="29">
        <f>IF( OR(ISBLANK(Q179:Q184),ISBLANK(AK179:AK184), ISBLANK(U179:U184),ISBLANK(AO179:AO184)), "·", bdRateExtend( Q179:Q184,U179:U184, AK179:AK184,AO179:AO184))</f>
        <v>0</v>
      </c>
      <c r="BB179" s="29">
        <f>IF( OR(ISBLANK(R179:R184),ISBLANK(AL179:AL184), ISBLANK(V179:V184),ISBLANK(AP179:AP184)), "·", bdRateExtend( R179:R184,V179:V184, AL179:AL184,AP179:AP184))</f>
        <v>-2.1933089158411301E-2</v>
      </c>
      <c r="BC179" s="29">
        <f>IF( OR(ISBLANK(R179:R184),ISBLANK(AL179:AL184), ISBLANK(W179:W184),ISBLANK(AQ179:AQ184)), "·", bdRateExtend( R179:R184,W179:W184, AL179:AL184,AQ179:AQ184))</f>
        <v>0.12280312735984911</v>
      </c>
      <c r="BD179" s="29">
        <f>IF( OR(ISBLANK(R179:R184),ISBLANK(AL179:AL184), ISBLANK(X179:X184),ISBLANK(AR179:AR184)), "·", bdRateExtend( R179:R184,X179:X184, AL179:AL184,AR179:AR184))</f>
        <v>0.4948739072332895</v>
      </c>
      <c r="BE179" s="30"/>
      <c r="BG179" s="29">
        <f>IF( OR(ISBLANK(P179:P184),ISBLANK(AJ179:AJ184), ISBLANK(T179:T184),ISBLANK(AN179:AN184)), "·", bdRateExtend( P179:P184,T179:T184, AJ179:AJ184,AN179:AN184))</f>
        <v>-8.8733834370483544E-3</v>
      </c>
      <c r="BH179" s="29">
        <f>IF( OR(ISBLANK(P179:P184),ISBLANK(AJ179:AJ184), ISBLANK(U179:U184),ISBLANK(AO179:AO184)), "·", bdRateExtend( P179:P184,U179:U184, AJ179:AJ184,AO179:AO184))</f>
        <v>-8.8414808109439358E-3</v>
      </c>
      <c r="BI179" s="29">
        <f>IF( OR(ISBLANK(P179:P184),ISBLANK(AJ179:AJ184), ISBLANK(V179:V184),ISBLANK(AP179:AP184)), "·", bdRateExtend( P179:P184,V179:V184, AJ179:AJ184,AP179:AP184))</f>
        <v>0.22547263471107537</v>
      </c>
      <c r="BJ179" s="29">
        <f>IF( OR(ISBLANK(P179:P184),ISBLANK(AJ179:AJ184), ISBLANK(W179:W184),ISBLANK(AQ179:AQ184)), "·", bdRateExtend( P179:P184,W179:W184, AJ179:AJ184,AQ179:AQ184))</f>
        <v>0.39067692279336197</v>
      </c>
      <c r="BK179" s="29">
        <f>IF( OR(ISBLANK(P179:P184),ISBLANK(AJ179:AJ184), ISBLANK(X179:X184),ISBLANK(AR179:AR184)), "·", bdRateExtend( P179:P184,X179:X184, AJ179:AJ184,AR179:AR184))</f>
        <v>0.61479625963863604</v>
      </c>
      <c r="BL179" s="30"/>
    </row>
    <row r="180" spans="1:64" outlineLevel="1" x14ac:dyDescent="0.15">
      <c r="A180" s="31"/>
      <c r="B180" s="31" t="s">
        <v>318</v>
      </c>
      <c r="C180" s="32" t="s">
        <v>226</v>
      </c>
      <c r="D180" s="31">
        <v>3630907</v>
      </c>
      <c r="E180" s="33">
        <v>20</v>
      </c>
      <c r="F180" s="32">
        <v>1</v>
      </c>
      <c r="G180" s="32"/>
      <c r="I180" s="34" t="str">
        <f t="shared" si="22"/>
        <v>·</v>
      </c>
      <c r="J180" s="35">
        <f t="shared" si="23"/>
        <v>6.4555858907980843</v>
      </c>
      <c r="K180" s="35">
        <f t="shared" si="24"/>
        <v>6.4010915179044794</v>
      </c>
      <c r="L180" s="35">
        <f t="shared" si="25"/>
        <v>5.4265229046075815E-2</v>
      </c>
      <c r="M180" s="36"/>
      <c r="N180" s="35">
        <f t="shared" si="26"/>
        <v>6.4851224418086693</v>
      </c>
      <c r="O180" s="37">
        <v>3614370</v>
      </c>
      <c r="P180" s="38">
        <v>23439632</v>
      </c>
      <c r="Q180" s="38">
        <v>23241768</v>
      </c>
      <c r="R180" s="38">
        <v>197032</v>
      </c>
      <c r="S180" s="39"/>
      <c r="T180" s="40">
        <v>83.037300000000002</v>
      </c>
      <c r="U180" s="40">
        <v>87.804199999999994</v>
      </c>
      <c r="V180" s="40">
        <v>29.9115</v>
      </c>
      <c r="W180" s="40">
        <v>43.650799999999997</v>
      </c>
      <c r="X180" s="40">
        <v>46.883800000000001</v>
      </c>
      <c r="Y180" s="41"/>
      <c r="Z180" s="42"/>
      <c r="AA180" s="42"/>
      <c r="AC180" s="34" t="str">
        <f t="shared" si="27"/>
        <v>·</v>
      </c>
      <c r="AD180" s="35">
        <f t="shared" si="28"/>
        <v>6.423131190085563</v>
      </c>
      <c r="AE180" s="35">
        <f t="shared" si="29"/>
        <v>6.4010915179044794</v>
      </c>
      <c r="AF180" s="35">
        <f t="shared" si="30"/>
        <v>2.1812731639780363E-2</v>
      </c>
      <c r="AG180" s="36"/>
      <c r="AH180" s="35">
        <f t="shared" si="31"/>
        <v>6.4525192495510977</v>
      </c>
      <c r="AI180" s="37">
        <v>3614370</v>
      </c>
      <c r="AJ180" s="38">
        <v>23321792</v>
      </c>
      <c r="AK180" s="38">
        <v>23241768</v>
      </c>
      <c r="AL180" s="38">
        <v>79200</v>
      </c>
      <c r="AM180" s="39"/>
      <c r="AN180" s="40">
        <v>83.037300000000002</v>
      </c>
      <c r="AO180" s="40">
        <v>87.804199999999994</v>
      </c>
      <c r="AP180" s="40">
        <v>28.4908</v>
      </c>
      <c r="AQ180" s="40">
        <v>42.629399999999997</v>
      </c>
      <c r="AR180" s="40">
        <v>45.935400000000001</v>
      </c>
      <c r="AS180" s="41"/>
      <c r="AT180" s="42"/>
      <c r="AU180" s="42"/>
      <c r="AW180" s="43">
        <f t="shared" si="32"/>
        <v>5.0101322382481994E-3</v>
      </c>
      <c r="AX180" s="43"/>
      <c r="AZ180" s="44"/>
      <c r="BA180" s="44"/>
      <c r="BB180" s="44"/>
      <c r="BC180" s="44"/>
      <c r="BD180" s="44"/>
      <c r="BE180" s="45"/>
      <c r="BG180" s="44"/>
      <c r="BH180" s="44"/>
      <c r="BI180" s="44"/>
      <c r="BJ180" s="44"/>
      <c r="BK180" s="44"/>
      <c r="BL180" s="45"/>
    </row>
    <row r="181" spans="1:64" outlineLevel="1" x14ac:dyDescent="0.15">
      <c r="A181" s="16"/>
      <c r="B181" s="16" t="s">
        <v>318</v>
      </c>
      <c r="C181" s="17" t="s">
        <v>227</v>
      </c>
      <c r="D181" s="16">
        <v>3630907</v>
      </c>
      <c r="E181" s="18">
        <v>20</v>
      </c>
      <c r="F181" s="17">
        <v>1</v>
      </c>
      <c r="G181" s="17"/>
      <c r="I181" s="19" t="str">
        <f t="shared" si="22"/>
        <v>·</v>
      </c>
      <c r="J181" s="20">
        <f t="shared" si="23"/>
        <v>12.340938503795332</v>
      </c>
      <c r="K181" s="20">
        <f t="shared" si="24"/>
        <v>12.178839061424597</v>
      </c>
      <c r="L181" s="20">
        <f t="shared" si="25"/>
        <v>0.16186809521698023</v>
      </c>
      <c r="M181" s="21"/>
      <c r="N181" s="20">
        <f t="shared" si="26"/>
        <v>12.341900455679244</v>
      </c>
      <c r="O181" s="22">
        <v>3630624</v>
      </c>
      <c r="P181" s="23">
        <v>44808800</v>
      </c>
      <c r="Q181" s="23">
        <v>44220232</v>
      </c>
      <c r="R181" s="23">
        <v>587728</v>
      </c>
      <c r="S181" s="24"/>
      <c r="T181" s="25">
        <v>95.071399999999997</v>
      </c>
      <c r="U181" s="25">
        <v>99.837000000000003</v>
      </c>
      <c r="V181" s="25">
        <v>31.878299999999999</v>
      </c>
      <c r="W181" s="25">
        <v>44.672600000000003</v>
      </c>
      <c r="X181" s="25">
        <v>47.573599999999999</v>
      </c>
      <c r="Y181" s="26"/>
      <c r="Z181" s="27"/>
      <c r="AA181" s="27"/>
      <c r="AC181" s="19" t="str">
        <f t="shared" si="27"/>
        <v>·</v>
      </c>
      <c r="AD181" s="20">
        <f t="shared" si="28"/>
        <v>12.253689780542437</v>
      </c>
      <c r="AE181" s="20">
        <f t="shared" si="29"/>
        <v>12.178839061424597</v>
      </c>
      <c r="AF181" s="20">
        <f t="shared" si="30"/>
        <v>7.4621575270311241E-2</v>
      </c>
      <c r="AG181" s="21"/>
      <c r="AH181" s="20">
        <f t="shared" si="31"/>
        <v>12.254644931559975</v>
      </c>
      <c r="AI181" s="22">
        <v>3630624</v>
      </c>
      <c r="AJ181" s="23">
        <v>44492008</v>
      </c>
      <c r="AK181" s="23">
        <v>44220232</v>
      </c>
      <c r="AL181" s="23">
        <v>270944</v>
      </c>
      <c r="AM181" s="24"/>
      <c r="AN181" s="25">
        <v>95.071399999999997</v>
      </c>
      <c r="AO181" s="25">
        <v>99.837000000000003</v>
      </c>
      <c r="AP181" s="25">
        <v>30.290099999999999</v>
      </c>
      <c r="AQ181" s="25">
        <v>43.604500000000002</v>
      </c>
      <c r="AR181" s="25">
        <v>46.756599999999999</v>
      </c>
      <c r="AS181" s="26"/>
      <c r="AT181" s="27"/>
      <c r="AU181" s="27"/>
      <c r="AW181" s="28">
        <f t="shared" si="32"/>
        <v>7.0266755748081833E-3</v>
      </c>
      <c r="AX181" s="28"/>
      <c r="AZ181" s="29"/>
      <c r="BA181" s="29"/>
      <c r="BB181" s="29"/>
      <c r="BC181" s="29"/>
      <c r="BD181" s="29"/>
      <c r="BE181" s="30"/>
      <c r="BG181" s="29"/>
      <c r="BH181" s="29"/>
      <c r="BI181" s="29"/>
      <c r="BJ181" s="29"/>
      <c r="BK181" s="29"/>
      <c r="BL181" s="30"/>
    </row>
    <row r="182" spans="1:64" outlineLevel="1" x14ac:dyDescent="0.15">
      <c r="A182" s="31"/>
      <c r="B182" s="31" t="s">
        <v>318</v>
      </c>
      <c r="C182" s="32" t="s">
        <v>228</v>
      </c>
      <c r="D182" s="31">
        <v>3630907</v>
      </c>
      <c r="E182" s="33">
        <v>20</v>
      </c>
      <c r="F182" s="32">
        <v>1</v>
      </c>
      <c r="G182" s="32"/>
      <c r="I182" s="34" t="str">
        <f t="shared" si="22"/>
        <v>·</v>
      </c>
      <c r="J182" s="35">
        <f t="shared" si="23"/>
        <v>15.571675066312633</v>
      </c>
      <c r="K182" s="35">
        <f t="shared" si="24"/>
        <v>15.156045583100861</v>
      </c>
      <c r="L182" s="35">
        <f t="shared" si="25"/>
        <v>0.41539813605801523</v>
      </c>
      <c r="M182" s="36"/>
      <c r="N182" s="35">
        <f t="shared" si="26"/>
        <v>15.571855191531494</v>
      </c>
      <c r="O182" s="37">
        <v>3630865</v>
      </c>
      <c r="P182" s="38">
        <v>56539304</v>
      </c>
      <c r="Q182" s="38">
        <v>55030192</v>
      </c>
      <c r="R182" s="38">
        <v>1508272</v>
      </c>
      <c r="S182" s="39"/>
      <c r="T182" s="40">
        <v>101.093</v>
      </c>
      <c r="U182" s="40">
        <v>105.864</v>
      </c>
      <c r="V182" s="40">
        <v>34.6083</v>
      </c>
      <c r="W182" s="40">
        <v>45.697200000000002</v>
      </c>
      <c r="X182" s="40">
        <v>48.2423</v>
      </c>
      <c r="Y182" s="41"/>
      <c r="Z182" s="42"/>
      <c r="AA182" s="42"/>
      <c r="AC182" s="34" t="str">
        <f t="shared" si="27"/>
        <v>·</v>
      </c>
      <c r="AD182" s="35">
        <f t="shared" si="28"/>
        <v>15.394978720193054</v>
      </c>
      <c r="AE182" s="35">
        <f t="shared" si="29"/>
        <v>15.156045583100861</v>
      </c>
      <c r="AF182" s="35">
        <f t="shared" si="30"/>
        <v>0.2387039932446631</v>
      </c>
      <c r="AG182" s="36"/>
      <c r="AH182" s="35">
        <f t="shared" si="31"/>
        <v>15.395156801478436</v>
      </c>
      <c r="AI182" s="37">
        <v>3630865</v>
      </c>
      <c r="AJ182" s="38">
        <v>55897736</v>
      </c>
      <c r="AK182" s="38">
        <v>55030192</v>
      </c>
      <c r="AL182" s="38">
        <v>866712</v>
      </c>
      <c r="AM182" s="39"/>
      <c r="AN182" s="40">
        <v>101.093</v>
      </c>
      <c r="AO182" s="40">
        <v>105.864</v>
      </c>
      <c r="AP182" s="40">
        <v>32.9724</v>
      </c>
      <c r="AQ182" s="40">
        <v>44.640700000000002</v>
      </c>
      <c r="AR182" s="40">
        <v>47.499099999999999</v>
      </c>
      <c r="AS182" s="41"/>
      <c r="AT182" s="42"/>
      <c r="AU182" s="42"/>
      <c r="AW182" s="43">
        <f t="shared" si="32"/>
        <v>1.1171179907193851E-2</v>
      </c>
      <c r="AX182" s="43"/>
      <c r="AZ182" s="44"/>
      <c r="BA182" s="44"/>
      <c r="BB182" s="44"/>
      <c r="BC182" s="44"/>
      <c r="BD182" s="44"/>
      <c r="BE182" s="45"/>
      <c r="BG182" s="44"/>
      <c r="BH182" s="44"/>
      <c r="BI182" s="44"/>
      <c r="BJ182" s="44"/>
      <c r="BK182" s="44"/>
      <c r="BL182" s="45"/>
    </row>
    <row r="183" spans="1:64" outlineLevel="1" x14ac:dyDescent="0.15">
      <c r="A183" s="16"/>
      <c r="B183" s="16" t="s">
        <v>318</v>
      </c>
      <c r="C183" s="17" t="s">
        <v>229</v>
      </c>
      <c r="D183" s="16">
        <v>3630907</v>
      </c>
      <c r="E183" s="18">
        <v>20</v>
      </c>
      <c r="F183" s="17">
        <v>1</v>
      </c>
      <c r="G183" s="17"/>
      <c r="I183" s="19" t="str">
        <f t="shared" si="22"/>
        <v>·</v>
      </c>
      <c r="J183" s="20">
        <f t="shared" si="23"/>
        <v>22.099608720355548</v>
      </c>
      <c r="K183" s="20">
        <f t="shared" si="24"/>
        <v>21.195896231988314</v>
      </c>
      <c r="L183" s="20">
        <f t="shared" si="25"/>
        <v>0.9034789379072502</v>
      </c>
      <c r="M183" s="21"/>
      <c r="N183" s="20">
        <f t="shared" si="26"/>
        <v>22.099614806882911</v>
      </c>
      <c r="O183" s="22">
        <v>3630906</v>
      </c>
      <c r="P183" s="23">
        <v>80241624</v>
      </c>
      <c r="Q183" s="23">
        <v>76960328</v>
      </c>
      <c r="R183" s="23">
        <v>3280448</v>
      </c>
      <c r="S183" s="24"/>
      <c r="T183" s="25">
        <v>113.008</v>
      </c>
      <c r="U183" s="25">
        <v>117.706</v>
      </c>
      <c r="V183" s="25">
        <v>38.080399999999997</v>
      </c>
      <c r="W183" s="25">
        <v>46.767699999999998</v>
      </c>
      <c r="X183" s="25">
        <v>48.848100000000002</v>
      </c>
      <c r="Y183" s="26"/>
      <c r="Z183" s="27"/>
      <c r="AA183" s="27"/>
      <c r="AC183" s="19" t="str">
        <f t="shared" si="27"/>
        <v>·</v>
      </c>
      <c r="AD183" s="20">
        <f t="shared" si="28"/>
        <v>21.836511923880177</v>
      </c>
      <c r="AE183" s="20">
        <f t="shared" si="29"/>
        <v>21.195896231988314</v>
      </c>
      <c r="AF183" s="20">
        <f t="shared" si="30"/>
        <v>0.64038434473810535</v>
      </c>
      <c r="AG183" s="21"/>
      <c r="AH183" s="20">
        <f t="shared" si="31"/>
        <v>21.836517937947168</v>
      </c>
      <c r="AI183" s="22">
        <v>3630906</v>
      </c>
      <c r="AJ183" s="23">
        <v>79286344</v>
      </c>
      <c r="AK183" s="23">
        <v>76960328</v>
      </c>
      <c r="AL183" s="23">
        <v>2325176</v>
      </c>
      <c r="AM183" s="24"/>
      <c r="AN183" s="25">
        <v>113.008</v>
      </c>
      <c r="AO183" s="25">
        <v>117.706</v>
      </c>
      <c r="AP183" s="25">
        <v>36.594499999999996</v>
      </c>
      <c r="AQ183" s="25">
        <v>45.713200000000001</v>
      </c>
      <c r="AR183" s="25">
        <v>48.203000000000003</v>
      </c>
      <c r="AS183" s="26"/>
      <c r="AT183" s="27"/>
      <c r="AU183" s="27"/>
      <c r="AW183" s="28">
        <f t="shared" si="32"/>
        <v>1.1555786067957374E-2</v>
      </c>
      <c r="AX183" s="28"/>
      <c r="AZ183" s="29"/>
      <c r="BA183" s="29"/>
      <c r="BB183" s="29"/>
      <c r="BC183" s="29"/>
      <c r="BD183" s="29"/>
      <c r="BE183" s="30"/>
      <c r="BG183" s="29"/>
      <c r="BH183" s="29"/>
      <c r="BI183" s="29"/>
      <c r="BJ183" s="29"/>
      <c r="BK183" s="29"/>
      <c r="BL183" s="30"/>
    </row>
    <row r="184" spans="1:64" outlineLevel="1" x14ac:dyDescent="0.15">
      <c r="A184" s="31"/>
      <c r="B184" s="46" t="s">
        <v>318</v>
      </c>
      <c r="C184" s="47" t="s">
        <v>230</v>
      </c>
      <c r="D184" s="46">
        <v>3630907</v>
      </c>
      <c r="E184" s="48">
        <v>20</v>
      </c>
      <c r="F184" s="47">
        <v>1</v>
      </c>
      <c r="G184" s="47"/>
      <c r="I184" s="49" t="str">
        <f t="shared" si="22"/>
        <v>·</v>
      </c>
      <c r="J184" s="50">
        <f t="shared" si="23"/>
        <v>25.914003305510168</v>
      </c>
      <c r="K184" s="50">
        <f t="shared" si="24"/>
        <v>24.127267374240102</v>
      </c>
      <c r="L184" s="50">
        <f t="shared" si="25"/>
        <v>1.7865001775038578</v>
      </c>
      <c r="M184" s="51"/>
      <c r="N184" s="50">
        <f t="shared" si="26"/>
        <v>25.914003305510168</v>
      </c>
      <c r="O184" s="52">
        <v>3630907</v>
      </c>
      <c r="P184" s="53">
        <v>94091336</v>
      </c>
      <c r="Q184" s="53">
        <v>87603864</v>
      </c>
      <c r="R184" s="53">
        <v>6486616</v>
      </c>
      <c r="S184" s="54"/>
      <c r="T184" s="55">
        <v>118.651</v>
      </c>
      <c r="U184" s="55">
        <v>123.167</v>
      </c>
      <c r="V184" s="55">
        <v>42.128399999999999</v>
      </c>
      <c r="W184" s="55">
        <v>48.158200000000001</v>
      </c>
      <c r="X184" s="55">
        <v>49.695300000000003</v>
      </c>
      <c r="Y184" s="56"/>
      <c r="Z184" s="57"/>
      <c r="AA184" s="57"/>
      <c r="AC184" s="49" t="str">
        <f t="shared" si="27"/>
        <v>·</v>
      </c>
      <c r="AD184" s="50">
        <f t="shared" si="28"/>
        <v>25.442857115315814</v>
      </c>
      <c r="AE184" s="50">
        <f t="shared" si="29"/>
        <v>24.127267374240102</v>
      </c>
      <c r="AF184" s="50">
        <f t="shared" si="30"/>
        <v>1.3153561906157332</v>
      </c>
      <c r="AG184" s="51"/>
      <c r="AH184" s="50">
        <f t="shared" si="31"/>
        <v>25.442857115315814</v>
      </c>
      <c r="AI184" s="52">
        <v>3630907</v>
      </c>
      <c r="AJ184" s="53">
        <v>92380648</v>
      </c>
      <c r="AK184" s="53">
        <v>87603864</v>
      </c>
      <c r="AL184" s="53">
        <v>4775936</v>
      </c>
      <c r="AM184" s="54"/>
      <c r="AN184" s="55">
        <v>118.651</v>
      </c>
      <c r="AO184" s="55">
        <v>123.167</v>
      </c>
      <c r="AP184" s="55">
        <v>40.5458</v>
      </c>
      <c r="AQ184" s="55">
        <v>46.813099999999999</v>
      </c>
      <c r="AR184" s="55">
        <v>48.832099999999997</v>
      </c>
      <c r="AS184" s="56"/>
      <c r="AT184" s="57"/>
      <c r="AU184" s="57"/>
      <c r="AW184" s="58">
        <f t="shared" si="32"/>
        <v>1.7241038905293493E-2</v>
      </c>
      <c r="AX184" s="58"/>
      <c r="AZ184" s="59"/>
      <c r="BA184" s="59"/>
      <c r="BB184" s="59"/>
      <c r="BC184" s="59"/>
      <c r="BD184" s="59"/>
      <c r="BE184" s="60"/>
      <c r="BG184" s="59"/>
      <c r="BH184" s="59"/>
      <c r="BI184" s="59"/>
      <c r="BJ184" s="59"/>
      <c r="BK184" s="59"/>
      <c r="BL184" s="60"/>
    </row>
    <row r="185" spans="1:64" collapsed="1" x14ac:dyDescent="0.15">
      <c r="A185" s="16"/>
      <c r="B185" s="16" t="s">
        <v>321</v>
      </c>
      <c r="C185" s="17" t="s">
        <v>225</v>
      </c>
      <c r="D185" s="16">
        <v>14025709</v>
      </c>
      <c r="E185" s="18">
        <v>20</v>
      </c>
      <c r="F185" s="17">
        <v>1</v>
      </c>
      <c r="G185" s="17"/>
      <c r="I185" s="19" t="str">
        <f t="shared" si="22"/>
        <v>·</v>
      </c>
      <c r="J185" s="20">
        <f t="shared" si="23"/>
        <v>1.7109546476402726</v>
      </c>
      <c r="K185" s="20">
        <f t="shared" si="24"/>
        <v>1.6830801209407666</v>
      </c>
      <c r="L185" s="20">
        <f t="shared" si="25"/>
        <v>2.7780984191244806E-2</v>
      </c>
      <c r="M185" s="21"/>
      <c r="N185" s="20">
        <f t="shared" si="26"/>
        <v>2.4112978554765814</v>
      </c>
      <c r="O185" s="22">
        <v>9952048</v>
      </c>
      <c r="P185" s="23">
        <v>23997352</v>
      </c>
      <c r="Q185" s="23">
        <v>23606392</v>
      </c>
      <c r="R185" s="23">
        <v>389648</v>
      </c>
      <c r="S185" s="24"/>
      <c r="T185" s="25">
        <v>77.017799999999994</v>
      </c>
      <c r="U185" s="25">
        <v>81.543199999999999</v>
      </c>
      <c r="V185" s="25">
        <v>25.647500000000001</v>
      </c>
      <c r="W185" s="25">
        <v>37.5199</v>
      </c>
      <c r="X185" s="25">
        <v>43.001300000000001</v>
      </c>
      <c r="Y185" s="26"/>
      <c r="Z185" s="27"/>
      <c r="AA185" s="27"/>
      <c r="AC185" s="19" t="str">
        <f t="shared" si="27"/>
        <v>·</v>
      </c>
      <c r="AD185" s="20">
        <f t="shared" si="28"/>
        <v>1.6928496092425702</v>
      </c>
      <c r="AE185" s="20">
        <f t="shared" si="29"/>
        <v>1.6830801209407666</v>
      </c>
      <c r="AF185" s="20">
        <f t="shared" si="30"/>
        <v>9.6765161746903486E-3</v>
      </c>
      <c r="AG185" s="21"/>
      <c r="AH185" s="20">
        <f t="shared" si="31"/>
        <v>2.3857819013734662</v>
      </c>
      <c r="AI185" s="22">
        <v>9952048</v>
      </c>
      <c r="AJ185" s="23">
        <v>23743416</v>
      </c>
      <c r="AK185" s="23">
        <v>23606392</v>
      </c>
      <c r="AL185" s="23">
        <v>135720</v>
      </c>
      <c r="AM185" s="24"/>
      <c r="AN185" s="25">
        <v>77.017799999999994</v>
      </c>
      <c r="AO185" s="25">
        <v>81.543199999999999</v>
      </c>
      <c r="AP185" s="25">
        <v>24.432200000000002</v>
      </c>
      <c r="AQ185" s="25">
        <v>37.624000000000002</v>
      </c>
      <c r="AR185" s="25">
        <v>41.968600000000002</v>
      </c>
      <c r="AS185" s="26"/>
      <c r="AT185" s="27"/>
      <c r="AU185" s="27"/>
      <c r="AW185" s="28">
        <f t="shared" si="32"/>
        <v>1.0520766097972034E-2</v>
      </c>
      <c r="AX185" s="28">
        <f t="array" ref="AX185">AVERAGE(AK185:AK190/AJ185:AJ190) - AVERAGE(Q185:Q190/P185:P190)</f>
        <v>1.5378634453165896E-2</v>
      </c>
      <c r="AZ185" s="29">
        <f>IF( OR(ISBLANK(Q185:Q190),ISBLANK(AK185:AK190), ISBLANK(T185:T190),ISBLANK(AN185:AN190)), "·", bdRateExtend( Q185:Q190,T185:T190, AK185:AK190,AN185:AN190))</f>
        <v>0</v>
      </c>
      <c r="BA185" s="29">
        <f>IF( OR(ISBLANK(Q185:Q190),ISBLANK(AK185:AK190), ISBLANK(U185:U190),ISBLANK(AO185:AO190)), "·", bdRateExtend( Q185:Q190,U185:U190, AK185:AK190,AO185:AO190))</f>
        <v>0</v>
      </c>
      <c r="BB185" s="29">
        <f>IF( OR(ISBLANK(R185:R190),ISBLANK(AL185:AL190), ISBLANK(V185:V190),ISBLANK(AP185:AP190)), "·", bdRateExtend( R185:R190,V185:V190, AL185:AL190,AP185:AP190))</f>
        <v>-7.4832034356858701E-2</v>
      </c>
      <c r="BC185" s="29">
        <f>IF( OR(ISBLANK(R185:R190),ISBLANK(AL185:AL190), ISBLANK(W185:W190),ISBLANK(AQ185:AQ190)), "·", bdRateExtend( R185:R190,W185:W190, AL185:AL190,AQ185:AQ190))</f>
        <v>0.13586847655501311</v>
      </c>
      <c r="BD185" s="29">
        <f>IF( OR(ISBLANK(R185:R190),ISBLANK(AL185:AL190), ISBLANK(X185:X190),ISBLANK(AR185:AR190)), "·", bdRateExtend( R185:R190,X185:X190, AL185:AL190,AR185:AR190))</f>
        <v>0.3944631799223981</v>
      </c>
      <c r="BE185" s="30"/>
      <c r="BG185" s="29">
        <f>IF( OR(ISBLANK(P185:P190),ISBLANK(AJ185:AJ190), ISBLANK(T185:T190),ISBLANK(AN185:AN190)), "·", bdRateExtend( P185:P190,T185:T190, AJ185:AJ190,AN185:AN190))</f>
        <v>-1.5471734419249428E-2</v>
      </c>
      <c r="BH185" s="29">
        <f>IF( OR(ISBLANK(P185:P190),ISBLANK(AJ185:AJ190), ISBLANK(U185:U190),ISBLANK(AO185:AO190)), "·", bdRateExtend( P185:P190,U185:U190, AJ185:AJ190,AO185:AO190))</f>
        <v>-1.5444250700225148E-2</v>
      </c>
      <c r="BI185" s="29">
        <f>IF( OR(ISBLANK(P185:P190),ISBLANK(AJ185:AJ190), ISBLANK(V185:V190),ISBLANK(AP185:AP190)), "·", bdRateExtend( P185:P190,V185:V190, AJ185:AJ190,AP185:AP190))</f>
        <v>0.2344427867204586</v>
      </c>
      <c r="BJ185" s="29">
        <f>IF( OR(ISBLANK(P185:P190),ISBLANK(AJ185:AJ190), ISBLANK(W185:W190),ISBLANK(AQ185:AQ190)), "·", bdRateExtend( P185:P190,W185:W190, AJ185:AJ190,AQ185:AQ190))</f>
        <v>0.432904155540349</v>
      </c>
      <c r="BK185" s="29">
        <f>IF( OR(ISBLANK(P185:P190),ISBLANK(AJ185:AJ190), ISBLANK(X185:X190),ISBLANK(AR185:AR190)), "·", bdRateExtend( P185:P190,X185:X190, AJ185:AJ190,AR185:AR190))</f>
        <v>0.59550499827654479</v>
      </c>
      <c r="BL185" s="30"/>
    </row>
    <row r="186" spans="1:64" outlineLevel="1" x14ac:dyDescent="0.15">
      <c r="A186" s="31"/>
      <c r="B186" s="31" t="s">
        <v>321</v>
      </c>
      <c r="C186" s="32" t="s">
        <v>226</v>
      </c>
      <c r="D186" s="31">
        <v>14025709</v>
      </c>
      <c r="E186" s="33">
        <v>20</v>
      </c>
      <c r="F186" s="32">
        <v>1</v>
      </c>
      <c r="G186" s="32"/>
      <c r="I186" s="34" t="str">
        <f t="shared" si="22"/>
        <v>·</v>
      </c>
      <c r="J186" s="35">
        <f t="shared" si="23"/>
        <v>4.9831759663629125</v>
      </c>
      <c r="K186" s="35">
        <f t="shared" si="24"/>
        <v>4.8851610995208867</v>
      </c>
      <c r="L186" s="35">
        <f t="shared" si="25"/>
        <v>9.7898509087847183E-2</v>
      </c>
      <c r="M186" s="36"/>
      <c r="N186" s="35">
        <f t="shared" si="26"/>
        <v>5.0270230108909546</v>
      </c>
      <c r="O186" s="37">
        <v>13903373</v>
      </c>
      <c r="P186" s="38">
        <v>69892576</v>
      </c>
      <c r="Q186" s="38">
        <v>68517848</v>
      </c>
      <c r="R186" s="38">
        <v>1373096</v>
      </c>
      <c r="S186" s="39"/>
      <c r="T186" s="40">
        <v>83.039500000000004</v>
      </c>
      <c r="U186" s="40">
        <v>87.812399999999997</v>
      </c>
      <c r="V186" s="40">
        <v>27.569099999999999</v>
      </c>
      <c r="W186" s="40">
        <v>40.101599999999998</v>
      </c>
      <c r="X186" s="40">
        <v>44.387799999999999</v>
      </c>
      <c r="Y186" s="41"/>
      <c r="Z186" s="42"/>
      <c r="AA186" s="42"/>
      <c r="AC186" s="34" t="str">
        <f t="shared" si="27"/>
        <v>·</v>
      </c>
      <c r="AD186" s="35">
        <f t="shared" si="28"/>
        <v>4.9215382979926359</v>
      </c>
      <c r="AE186" s="35">
        <f t="shared" si="29"/>
        <v>4.8851610995208867</v>
      </c>
      <c r="AF186" s="35">
        <f t="shared" si="30"/>
        <v>3.626141109871879E-2</v>
      </c>
      <c r="AG186" s="36"/>
      <c r="AH186" s="35">
        <f t="shared" si="31"/>
        <v>4.9648429916970507</v>
      </c>
      <c r="AI186" s="37">
        <v>13903373</v>
      </c>
      <c r="AJ186" s="38">
        <v>69028064</v>
      </c>
      <c r="AK186" s="38">
        <v>68517848</v>
      </c>
      <c r="AL186" s="38">
        <v>508592</v>
      </c>
      <c r="AM186" s="39"/>
      <c r="AN186" s="40">
        <v>83.039500000000004</v>
      </c>
      <c r="AO186" s="40">
        <v>87.812399999999997</v>
      </c>
      <c r="AP186" s="40">
        <v>26.1081</v>
      </c>
      <c r="AQ186" s="40">
        <v>38.802500000000002</v>
      </c>
      <c r="AR186" s="40">
        <v>43.146099999999997</v>
      </c>
      <c r="AS186" s="41"/>
      <c r="AT186" s="42"/>
      <c r="AU186" s="42"/>
      <c r="AW186" s="43">
        <f t="shared" si="32"/>
        <v>1.2277727771243807E-2</v>
      </c>
      <c r="AX186" s="43"/>
      <c r="AZ186" s="44"/>
      <c r="BA186" s="44"/>
      <c r="BB186" s="44"/>
      <c r="BC186" s="44"/>
      <c r="BD186" s="44"/>
      <c r="BE186" s="45"/>
      <c r="BG186" s="44"/>
      <c r="BH186" s="44"/>
      <c r="BI186" s="44"/>
      <c r="BJ186" s="44"/>
      <c r="BK186" s="44"/>
      <c r="BL186" s="45"/>
    </row>
    <row r="187" spans="1:64" outlineLevel="1" x14ac:dyDescent="0.15">
      <c r="A187" s="16"/>
      <c r="B187" s="16" t="s">
        <v>321</v>
      </c>
      <c r="C187" s="17" t="s">
        <v>227</v>
      </c>
      <c r="D187" s="16">
        <v>14025709</v>
      </c>
      <c r="E187" s="18">
        <v>20</v>
      </c>
      <c r="F187" s="17">
        <v>1</v>
      </c>
      <c r="G187" s="17"/>
      <c r="I187" s="19" t="str">
        <f t="shared" si="22"/>
        <v>·</v>
      </c>
      <c r="J187" s="20">
        <f t="shared" si="23"/>
        <v>10.729493959984483</v>
      </c>
      <c r="K187" s="20">
        <f t="shared" si="24"/>
        <v>10.442786172164274</v>
      </c>
      <c r="L187" s="20">
        <f t="shared" si="25"/>
        <v>0.28659085968488296</v>
      </c>
      <c r="M187" s="21"/>
      <c r="N187" s="20">
        <f t="shared" si="26"/>
        <v>10.73113204856282</v>
      </c>
      <c r="O187" s="22">
        <v>14023568</v>
      </c>
      <c r="P187" s="23">
        <v>150488760</v>
      </c>
      <c r="Q187" s="23">
        <v>146467480</v>
      </c>
      <c r="R187" s="23">
        <v>4019640</v>
      </c>
      <c r="S187" s="24"/>
      <c r="T187" s="25">
        <v>95.076599999999999</v>
      </c>
      <c r="U187" s="25">
        <v>99.848100000000002</v>
      </c>
      <c r="V187" s="25">
        <v>29.918800000000001</v>
      </c>
      <c r="W187" s="25">
        <v>41.693100000000001</v>
      </c>
      <c r="X187" s="25">
        <v>45.760399999999997</v>
      </c>
      <c r="Y187" s="26"/>
      <c r="Z187" s="27"/>
      <c r="AA187" s="27"/>
      <c r="AC187" s="19" t="str">
        <f t="shared" si="27"/>
        <v>·</v>
      </c>
      <c r="AD187" s="20">
        <f t="shared" si="28"/>
        <v>10.585934728861123</v>
      </c>
      <c r="AE187" s="20">
        <f t="shared" si="29"/>
        <v>10.442786172164274</v>
      </c>
      <c r="AF187" s="20">
        <f t="shared" si="30"/>
        <v>0.14303219894267022</v>
      </c>
      <c r="AG187" s="21"/>
      <c r="AH187" s="20">
        <f t="shared" si="31"/>
        <v>10.587550900027725</v>
      </c>
      <c r="AI187" s="22">
        <v>14023568</v>
      </c>
      <c r="AJ187" s="23">
        <v>148475240</v>
      </c>
      <c r="AK187" s="23">
        <v>146467480</v>
      </c>
      <c r="AL187" s="23">
        <v>2006128</v>
      </c>
      <c r="AM187" s="24"/>
      <c r="AN187" s="25">
        <v>95.076599999999999</v>
      </c>
      <c r="AO187" s="25">
        <v>99.848100000000002</v>
      </c>
      <c r="AP187" s="25">
        <v>28.337399999999999</v>
      </c>
      <c r="AQ187" s="25">
        <v>40.1387</v>
      </c>
      <c r="AR187" s="25">
        <v>44.4146</v>
      </c>
      <c r="AS187" s="26"/>
      <c r="AT187" s="27"/>
      <c r="AU187" s="27"/>
      <c r="AW187" s="28">
        <f t="shared" si="32"/>
        <v>1.3198940089780953E-2</v>
      </c>
      <c r="AX187" s="28"/>
      <c r="AZ187" s="29"/>
      <c r="BA187" s="29"/>
      <c r="BB187" s="29"/>
      <c r="BC187" s="29"/>
      <c r="BD187" s="29"/>
      <c r="BE187" s="30"/>
      <c r="BG187" s="29"/>
      <c r="BH187" s="29"/>
      <c r="BI187" s="29"/>
      <c r="BJ187" s="29"/>
      <c r="BK187" s="29"/>
      <c r="BL187" s="30"/>
    </row>
    <row r="188" spans="1:64" outlineLevel="1" x14ac:dyDescent="0.15">
      <c r="A188" s="31"/>
      <c r="B188" s="31" t="s">
        <v>321</v>
      </c>
      <c r="C188" s="32" t="s">
        <v>228</v>
      </c>
      <c r="D188" s="31">
        <v>14025709</v>
      </c>
      <c r="E188" s="33">
        <v>20</v>
      </c>
      <c r="F188" s="32">
        <v>1</v>
      </c>
      <c r="G188" s="32"/>
      <c r="I188" s="34" t="str">
        <f t="shared" si="22"/>
        <v>·</v>
      </c>
      <c r="J188" s="35">
        <f t="shared" si="23"/>
        <v>14.081144275843737</v>
      </c>
      <c r="K188" s="35">
        <f t="shared" si="24"/>
        <v>13.37349805275441</v>
      </c>
      <c r="L188" s="35">
        <f t="shared" si="25"/>
        <v>0.70752929495400196</v>
      </c>
      <c r="M188" s="36"/>
      <c r="N188" s="35">
        <f t="shared" si="26"/>
        <v>14.081446472002812</v>
      </c>
      <c r="O188" s="37">
        <v>14025408</v>
      </c>
      <c r="P188" s="38">
        <v>197498032</v>
      </c>
      <c r="Q188" s="38">
        <v>187572792</v>
      </c>
      <c r="R188" s="38">
        <v>9923600</v>
      </c>
      <c r="S188" s="39"/>
      <c r="T188" s="40">
        <v>101.093</v>
      </c>
      <c r="U188" s="40">
        <v>105.863</v>
      </c>
      <c r="V188" s="40">
        <v>33.503500000000003</v>
      </c>
      <c r="W188" s="40">
        <v>43.548999999999999</v>
      </c>
      <c r="X188" s="40">
        <v>47.207000000000001</v>
      </c>
      <c r="Y188" s="41"/>
      <c r="Z188" s="42"/>
      <c r="AA188" s="42"/>
      <c r="AC188" s="34" t="str">
        <f t="shared" si="27"/>
        <v>·</v>
      </c>
      <c r="AD188" s="35">
        <f t="shared" si="28"/>
        <v>13.81294193398708</v>
      </c>
      <c r="AE188" s="35">
        <f t="shared" si="29"/>
        <v>13.37349805275441</v>
      </c>
      <c r="AF188" s="35">
        <f t="shared" si="30"/>
        <v>0.43932752347849224</v>
      </c>
      <c r="AG188" s="36"/>
      <c r="AH188" s="35">
        <f t="shared" si="31"/>
        <v>13.813238374241948</v>
      </c>
      <c r="AI188" s="37">
        <v>14025408</v>
      </c>
      <c r="AJ188" s="38">
        <v>193736304</v>
      </c>
      <c r="AK188" s="38">
        <v>187572792</v>
      </c>
      <c r="AL188" s="38">
        <v>6161880</v>
      </c>
      <c r="AM188" s="39"/>
      <c r="AN188" s="40">
        <v>101.093</v>
      </c>
      <c r="AO188" s="40">
        <v>105.863</v>
      </c>
      <c r="AP188" s="40">
        <v>31.782699999999998</v>
      </c>
      <c r="AQ188" s="40">
        <v>41.738500000000002</v>
      </c>
      <c r="AR188" s="40">
        <v>45.741999999999997</v>
      </c>
      <c r="AS188" s="41"/>
      <c r="AT188" s="42"/>
      <c r="AU188" s="42"/>
      <c r="AW188" s="43">
        <f t="shared" si="32"/>
        <v>1.8440956780264139E-2</v>
      </c>
      <c r="AX188" s="43"/>
      <c r="AZ188" s="44"/>
      <c r="BA188" s="44"/>
      <c r="BB188" s="44"/>
      <c r="BC188" s="44"/>
      <c r="BD188" s="44"/>
      <c r="BE188" s="45"/>
      <c r="BG188" s="44"/>
      <c r="BH188" s="44"/>
      <c r="BI188" s="44"/>
      <c r="BJ188" s="44"/>
      <c r="BK188" s="44"/>
      <c r="BL188" s="45"/>
    </row>
    <row r="189" spans="1:64" outlineLevel="1" x14ac:dyDescent="0.15">
      <c r="A189" s="16"/>
      <c r="B189" s="16" t="s">
        <v>321</v>
      </c>
      <c r="C189" s="17" t="s">
        <v>229</v>
      </c>
      <c r="D189" s="16">
        <v>14025709</v>
      </c>
      <c r="E189" s="18">
        <v>20</v>
      </c>
      <c r="F189" s="17">
        <v>1</v>
      </c>
      <c r="G189" s="17"/>
      <c r="I189" s="19" t="str">
        <f t="shared" si="22"/>
        <v>·</v>
      </c>
      <c r="J189" s="20">
        <f t="shared" si="23"/>
        <v>20.954560514552242</v>
      </c>
      <c r="K189" s="20">
        <f t="shared" si="24"/>
        <v>19.574653374029079</v>
      </c>
      <c r="L189" s="20">
        <f t="shared" si="25"/>
        <v>1.3797896420066893</v>
      </c>
      <c r="M189" s="21"/>
      <c r="N189" s="20">
        <f t="shared" si="26"/>
        <v>20.954573960657935</v>
      </c>
      <c r="O189" s="22">
        <v>14025700</v>
      </c>
      <c r="P189" s="23">
        <v>293902568</v>
      </c>
      <c r="Q189" s="23">
        <v>274548392</v>
      </c>
      <c r="R189" s="23">
        <v>19352528</v>
      </c>
      <c r="S189" s="24"/>
      <c r="T189" s="25">
        <v>113.009</v>
      </c>
      <c r="U189" s="25">
        <v>117.768</v>
      </c>
      <c r="V189" s="25">
        <v>37.787999999999997</v>
      </c>
      <c r="W189" s="25">
        <v>45.566099999999999</v>
      </c>
      <c r="X189" s="25">
        <v>48.709299999999999</v>
      </c>
      <c r="Y189" s="26"/>
      <c r="Z189" s="27"/>
      <c r="AA189" s="27"/>
      <c r="AC189" s="19" t="str">
        <f t="shared" si="27"/>
        <v>·</v>
      </c>
      <c r="AD189" s="20">
        <f t="shared" si="28"/>
        <v>20.585193661154669</v>
      </c>
      <c r="AE189" s="20">
        <f t="shared" si="29"/>
        <v>19.574653374029079</v>
      </c>
      <c r="AF189" s="20">
        <f t="shared" si="30"/>
        <v>1.0104233589902656</v>
      </c>
      <c r="AG189" s="21"/>
      <c r="AH189" s="20">
        <f t="shared" si="31"/>
        <v>20.585206870245337</v>
      </c>
      <c r="AI189" s="22">
        <v>14025700</v>
      </c>
      <c r="AJ189" s="23">
        <v>288721936</v>
      </c>
      <c r="AK189" s="23">
        <v>274548392</v>
      </c>
      <c r="AL189" s="23">
        <v>14171904</v>
      </c>
      <c r="AM189" s="24"/>
      <c r="AN189" s="25">
        <v>113.009</v>
      </c>
      <c r="AO189" s="25">
        <v>117.768</v>
      </c>
      <c r="AP189" s="25">
        <v>36.160299999999999</v>
      </c>
      <c r="AQ189" s="25">
        <v>43.823300000000003</v>
      </c>
      <c r="AR189" s="25">
        <v>47.253799999999998</v>
      </c>
      <c r="AS189" s="26"/>
      <c r="AT189" s="27"/>
      <c r="AU189" s="27"/>
      <c r="AW189" s="28">
        <f t="shared" si="32"/>
        <v>1.6761716320373821E-2</v>
      </c>
      <c r="AX189" s="28"/>
      <c r="AZ189" s="29"/>
      <c r="BA189" s="29"/>
      <c r="BB189" s="29"/>
      <c r="BC189" s="29"/>
      <c r="BD189" s="29"/>
      <c r="BE189" s="30"/>
      <c r="BG189" s="29"/>
      <c r="BH189" s="29"/>
      <c r="BI189" s="29"/>
      <c r="BJ189" s="29"/>
      <c r="BK189" s="29"/>
      <c r="BL189" s="30"/>
    </row>
    <row r="190" spans="1:64" outlineLevel="1" x14ac:dyDescent="0.15">
      <c r="A190" s="31"/>
      <c r="B190" s="46" t="s">
        <v>321</v>
      </c>
      <c r="C190" s="47" t="s">
        <v>230</v>
      </c>
      <c r="D190" s="46">
        <v>14025709</v>
      </c>
      <c r="E190" s="48">
        <v>20</v>
      </c>
      <c r="F190" s="47">
        <v>1</v>
      </c>
      <c r="G190" s="47"/>
      <c r="I190" s="49" t="str">
        <f t="shared" si="22"/>
        <v>·</v>
      </c>
      <c r="J190" s="50">
        <f t="shared" si="23"/>
        <v>24.169283420895159</v>
      </c>
      <c r="K190" s="50">
        <f t="shared" si="24"/>
        <v>21.805479637428668</v>
      </c>
      <c r="L190" s="50">
        <f t="shared" si="25"/>
        <v>2.3636857145688679</v>
      </c>
      <c r="M190" s="51"/>
      <c r="N190" s="50">
        <f t="shared" si="26"/>
        <v>24.169288590535121</v>
      </c>
      <c r="O190" s="52">
        <v>14025706</v>
      </c>
      <c r="P190" s="53">
        <v>338991336</v>
      </c>
      <c r="Q190" s="53">
        <v>305837312</v>
      </c>
      <c r="R190" s="53">
        <v>33152368</v>
      </c>
      <c r="S190" s="54"/>
      <c r="T190" s="55">
        <v>118.649</v>
      </c>
      <c r="U190" s="55">
        <v>123.381</v>
      </c>
      <c r="V190" s="55">
        <v>42.328000000000003</v>
      </c>
      <c r="W190" s="55">
        <v>47.846899999999998</v>
      </c>
      <c r="X190" s="55">
        <v>50.202500000000001</v>
      </c>
      <c r="Y190" s="56"/>
      <c r="Z190" s="57"/>
      <c r="AA190" s="57"/>
      <c r="AC190" s="49" t="str">
        <f t="shared" si="27"/>
        <v>·</v>
      </c>
      <c r="AD190" s="50">
        <f t="shared" si="28"/>
        <v>23.617670094253345</v>
      </c>
      <c r="AE190" s="50">
        <f t="shared" si="29"/>
        <v>21.805479637428668</v>
      </c>
      <c r="AF190" s="50">
        <f t="shared" si="30"/>
        <v>1.8120729583082038</v>
      </c>
      <c r="AG190" s="51"/>
      <c r="AH190" s="50">
        <f t="shared" si="31"/>
        <v>23.617675145907093</v>
      </c>
      <c r="AI190" s="52">
        <v>14025706</v>
      </c>
      <c r="AJ190" s="53">
        <v>331254568</v>
      </c>
      <c r="AK190" s="53">
        <v>305837312</v>
      </c>
      <c r="AL190" s="53">
        <v>25415608</v>
      </c>
      <c r="AM190" s="54"/>
      <c r="AN190" s="55">
        <v>118.649</v>
      </c>
      <c r="AO190" s="55">
        <v>123.381</v>
      </c>
      <c r="AP190" s="55">
        <v>40.555399999999999</v>
      </c>
      <c r="AQ190" s="55">
        <v>46.1203</v>
      </c>
      <c r="AR190" s="55">
        <v>48.749699999999997</v>
      </c>
      <c r="AS190" s="56"/>
      <c r="AT190" s="57"/>
      <c r="AU190" s="57"/>
      <c r="AW190" s="58">
        <f t="shared" si="32"/>
        <v>2.1071699659360954E-2</v>
      </c>
      <c r="AX190" s="58"/>
      <c r="AZ190" s="59"/>
      <c r="BA190" s="59"/>
      <c r="BB190" s="59"/>
      <c r="BC190" s="59"/>
      <c r="BD190" s="59"/>
      <c r="BE190" s="60"/>
      <c r="BG190" s="59"/>
      <c r="BH190" s="59"/>
      <c r="BI190" s="59"/>
      <c r="BJ190" s="59"/>
      <c r="BK190" s="59"/>
      <c r="BL190" s="60"/>
    </row>
    <row r="191" spans="1:64" collapsed="1" x14ac:dyDescent="0.15">
      <c r="A191" s="16"/>
      <c r="B191" s="16" t="s">
        <v>324</v>
      </c>
      <c r="C191" s="17" t="s">
        <v>225</v>
      </c>
      <c r="D191" s="16">
        <v>5001077</v>
      </c>
      <c r="E191" s="18">
        <v>20</v>
      </c>
      <c r="F191" s="17">
        <v>1</v>
      </c>
      <c r="G191" s="17"/>
      <c r="I191" s="19" t="str">
        <f t="shared" si="22"/>
        <v>·</v>
      </c>
      <c r="J191" s="20">
        <f t="shared" si="23"/>
        <v>2.379697013263343</v>
      </c>
      <c r="K191" s="20">
        <f t="shared" si="24"/>
        <v>2.3520149759741753</v>
      </c>
      <c r="L191" s="20">
        <f t="shared" si="25"/>
        <v>2.7515673124009089E-2</v>
      </c>
      <c r="M191" s="21"/>
      <c r="N191" s="20">
        <f t="shared" si="26"/>
        <v>3.2700262540751517</v>
      </c>
      <c r="O191" s="22">
        <v>3639435</v>
      </c>
      <c r="P191" s="23">
        <v>11901048</v>
      </c>
      <c r="Q191" s="23">
        <v>11762608</v>
      </c>
      <c r="R191" s="23">
        <v>137608</v>
      </c>
      <c r="S191" s="24"/>
      <c r="T191" s="25">
        <v>77.018799999999999</v>
      </c>
      <c r="U191" s="25">
        <v>81.738200000000006</v>
      </c>
      <c r="V191" s="25">
        <v>26.767900000000001</v>
      </c>
      <c r="W191" s="25">
        <v>37.173499999999997</v>
      </c>
      <c r="X191" s="25">
        <v>40.531599999999997</v>
      </c>
      <c r="Y191" s="26"/>
      <c r="Z191" s="27"/>
      <c r="AA191" s="27"/>
      <c r="AC191" s="19" t="str">
        <f t="shared" si="27"/>
        <v>·</v>
      </c>
      <c r="AD191" s="20">
        <f t="shared" si="28"/>
        <v>2.3633837271451728</v>
      </c>
      <c r="AE191" s="20">
        <f t="shared" si="29"/>
        <v>2.3520149759741753</v>
      </c>
      <c r="AF191" s="20">
        <f t="shared" si="30"/>
        <v>1.1203986661273162E-2</v>
      </c>
      <c r="AG191" s="21"/>
      <c r="AH191" s="20">
        <f t="shared" si="31"/>
        <v>3.2476095877519451</v>
      </c>
      <c r="AI191" s="22">
        <v>3639435</v>
      </c>
      <c r="AJ191" s="23">
        <v>11819464</v>
      </c>
      <c r="AK191" s="23">
        <v>11762608</v>
      </c>
      <c r="AL191" s="23">
        <v>56032</v>
      </c>
      <c r="AM191" s="24"/>
      <c r="AN191" s="25">
        <v>77.018799999999999</v>
      </c>
      <c r="AO191" s="25">
        <v>81.738200000000006</v>
      </c>
      <c r="AP191" s="25">
        <v>25.6388</v>
      </c>
      <c r="AQ191" s="25">
        <v>37.462200000000003</v>
      </c>
      <c r="AR191" s="25">
        <v>40.045699999999997</v>
      </c>
      <c r="AS191" s="26"/>
      <c r="AT191" s="27"/>
      <c r="AU191" s="27"/>
      <c r="AW191" s="28">
        <f t="shared" si="32"/>
        <v>6.8222185760191678E-3</v>
      </c>
      <c r="AX191" s="28">
        <f t="array" ref="AX191">AVERAGE(AK191:AK196/AJ191:AJ196) - AVERAGE(Q191:Q196/P191:P196)</f>
        <v>1.2453953064035184E-2</v>
      </c>
      <c r="AZ191" s="29">
        <f>IF( OR(ISBLANK(Q191:Q196),ISBLANK(AK191:AK196), ISBLANK(T191:T196),ISBLANK(AN191:AN196)), "·", bdRateExtend( Q191:Q196,T191:T196, AK191:AK196,AN191:AN196))</f>
        <v>0</v>
      </c>
      <c r="BA191" s="29">
        <f>IF( OR(ISBLANK(Q191:Q196),ISBLANK(AK191:AK196), ISBLANK(U191:U196),ISBLANK(AO191:AO196)), "·", bdRateExtend( Q191:Q196,U191:U196, AK191:AK196,AO191:AO196))</f>
        <v>0</v>
      </c>
      <c r="BB191" s="29">
        <f>IF( OR(ISBLANK(R191:R196),ISBLANK(AL191:AL196), ISBLANK(V191:V196),ISBLANK(AP191:AP196)), "·", bdRateExtend( R191:R196,V191:V196, AL191:AL196,AP191:AP196))</f>
        <v>-0.10439565316569144</v>
      </c>
      <c r="BC191" s="29">
        <f>IF( OR(ISBLANK(R191:R196),ISBLANK(AL191:AL196), ISBLANK(W191:W196),ISBLANK(AQ191:AQ196)), "·", bdRateExtend( R191:R196,W191:W196, AL191:AL196,AQ191:AQ196))</f>
        <v>-1.0666794392348411E-2</v>
      </c>
      <c r="BD191" s="29">
        <f>IF( OR(ISBLANK(R191:R196),ISBLANK(AL191:AL196), ISBLANK(X191:X196),ISBLANK(AR191:AR196)), "·", bdRateExtend( R191:R196,X191:X196, AL191:AL196,AR191:AR196))</f>
        <v>3.5899036407357698E-2</v>
      </c>
      <c r="BE191" s="30"/>
      <c r="BG191" s="29">
        <f>IF( OR(ISBLANK(P191:P196),ISBLANK(AJ191:AJ196), ISBLANK(T191:T196),ISBLANK(AN191:AN196)), "·", bdRateExtend( P191:P196,T191:T196, AJ191:AJ196,AN191:AN196))</f>
        <v>-1.1884309152343286E-2</v>
      </c>
      <c r="BH191" s="29">
        <f>IF( OR(ISBLANK(P191:P196),ISBLANK(AJ191:AJ196), ISBLANK(U191:U196),ISBLANK(AO191:AO196)), "·", bdRateExtend( P191:P196,U191:U196, AJ191:AJ196,AO191:AO196))</f>
        <v>-1.1872068501610045E-2</v>
      </c>
      <c r="BI191" s="29">
        <f>IF( OR(ISBLANK(P191:P196),ISBLANK(AJ191:AJ196), ISBLANK(V191:V196),ISBLANK(AP191:AP196)), "·", bdRateExtend( P191:P196,V191:V196, AJ191:AJ196,AP191:AP196))</f>
        <v>0.20050424194091754</v>
      </c>
      <c r="BJ191" s="29">
        <f>IF( OR(ISBLANK(P191:P196),ISBLANK(AJ191:AJ196), ISBLANK(W191:W196),ISBLANK(AQ191:AQ196)), "·", bdRateExtend( P191:P196,W191:W196, AJ191:AJ196,AQ191:AQ196))</f>
        <v>0.30864290228835034</v>
      </c>
      <c r="BK191" s="29">
        <f>IF( OR(ISBLANK(P191:P196),ISBLANK(AJ191:AJ196), ISBLANK(X191:X196),ISBLANK(AR191:AR196)), "·", bdRateExtend( P191:P196,X191:X196, AJ191:AJ196,AR191:AR196))</f>
        <v>0.27454207383829443</v>
      </c>
      <c r="BL191" s="30"/>
    </row>
    <row r="192" spans="1:64" outlineLevel="1" x14ac:dyDescent="0.15">
      <c r="A192" s="31"/>
      <c r="B192" s="31" t="s">
        <v>324</v>
      </c>
      <c r="C192" s="32" t="s">
        <v>226</v>
      </c>
      <c r="D192" s="31">
        <v>5001077</v>
      </c>
      <c r="E192" s="33">
        <v>20</v>
      </c>
      <c r="F192" s="32">
        <v>1</v>
      </c>
      <c r="G192" s="32"/>
      <c r="I192" s="34" t="str">
        <f t="shared" si="22"/>
        <v>·</v>
      </c>
      <c r="J192" s="35">
        <f t="shared" si="23"/>
        <v>5.1752820442476688</v>
      </c>
      <c r="K192" s="35">
        <f t="shared" si="24"/>
        <v>5.0950369290454836</v>
      </c>
      <c r="L192" s="35">
        <f t="shared" si="25"/>
        <v>8.0062754482684434E-2</v>
      </c>
      <c r="M192" s="36"/>
      <c r="N192" s="35">
        <f t="shared" si="26"/>
        <v>5.3373455216752204</v>
      </c>
      <c r="O192" s="37">
        <v>4849224</v>
      </c>
      <c r="P192" s="38">
        <v>25881984</v>
      </c>
      <c r="Q192" s="38">
        <v>25480672</v>
      </c>
      <c r="R192" s="38">
        <v>400400</v>
      </c>
      <c r="S192" s="39"/>
      <c r="T192" s="40">
        <v>83.037400000000005</v>
      </c>
      <c r="U192" s="40">
        <v>87.811999999999998</v>
      </c>
      <c r="V192" s="40">
        <v>28.6997</v>
      </c>
      <c r="W192" s="40">
        <v>39.921599999999998</v>
      </c>
      <c r="X192" s="40">
        <v>41.533299999999997</v>
      </c>
      <c r="Y192" s="41"/>
      <c r="Z192" s="42"/>
      <c r="AA192" s="42"/>
      <c r="AC192" s="34" t="str">
        <f t="shared" si="27"/>
        <v>·</v>
      </c>
      <c r="AD192" s="35">
        <f t="shared" si="28"/>
        <v>5.1289848166704894</v>
      </c>
      <c r="AE192" s="35">
        <f t="shared" si="29"/>
        <v>5.0950369290454836</v>
      </c>
      <c r="AF192" s="35">
        <f t="shared" si="30"/>
        <v>3.3767126560938776E-2</v>
      </c>
      <c r="AG192" s="36"/>
      <c r="AH192" s="35">
        <f t="shared" si="31"/>
        <v>5.2895985007085669</v>
      </c>
      <c r="AI192" s="37">
        <v>4849224</v>
      </c>
      <c r="AJ192" s="38">
        <v>25650448</v>
      </c>
      <c r="AK192" s="38">
        <v>25480672</v>
      </c>
      <c r="AL192" s="38">
        <v>168872</v>
      </c>
      <c r="AM192" s="39"/>
      <c r="AN192" s="40">
        <v>83.037400000000005</v>
      </c>
      <c r="AO192" s="40">
        <v>87.811999999999998</v>
      </c>
      <c r="AP192" s="40">
        <v>27.3338</v>
      </c>
      <c r="AQ192" s="40">
        <v>38.932000000000002</v>
      </c>
      <c r="AR192" s="40">
        <v>41.043500000000002</v>
      </c>
      <c r="AS192" s="41"/>
      <c r="AT192" s="42"/>
      <c r="AU192" s="42"/>
      <c r="AW192" s="43">
        <f t="shared" si="32"/>
        <v>8.886625622229638E-3</v>
      </c>
      <c r="AX192" s="43"/>
      <c r="AZ192" s="44"/>
      <c r="BA192" s="44"/>
      <c r="BB192" s="44"/>
      <c r="BC192" s="44"/>
      <c r="BD192" s="44"/>
      <c r="BE192" s="45"/>
      <c r="BG192" s="44"/>
      <c r="BH192" s="44"/>
      <c r="BI192" s="44"/>
      <c r="BJ192" s="44"/>
      <c r="BK192" s="44"/>
      <c r="BL192" s="45"/>
    </row>
    <row r="193" spans="1:64" outlineLevel="1" x14ac:dyDescent="0.15">
      <c r="A193" s="16"/>
      <c r="B193" s="16" t="s">
        <v>324</v>
      </c>
      <c r="C193" s="17" t="s">
        <v>227</v>
      </c>
      <c r="D193" s="16">
        <v>5001077</v>
      </c>
      <c r="E193" s="18">
        <v>20</v>
      </c>
      <c r="F193" s="17">
        <v>1</v>
      </c>
      <c r="G193" s="17"/>
      <c r="I193" s="19" t="str">
        <f t="shared" si="22"/>
        <v>·</v>
      </c>
      <c r="J193" s="20">
        <f t="shared" si="23"/>
        <v>11.275398479167587</v>
      </c>
      <c r="K193" s="20">
        <f t="shared" si="24"/>
        <v>11.056240885713217</v>
      </c>
      <c r="L193" s="20">
        <f t="shared" si="25"/>
        <v>0.21895763652509251</v>
      </c>
      <c r="M193" s="21"/>
      <c r="N193" s="20">
        <f t="shared" si="26"/>
        <v>11.277457299400579</v>
      </c>
      <c r="O193" s="22">
        <v>5000164</v>
      </c>
      <c r="P193" s="23">
        <v>56389136</v>
      </c>
      <c r="Q193" s="23">
        <v>55293112</v>
      </c>
      <c r="R193" s="23">
        <v>1095024</v>
      </c>
      <c r="S193" s="24"/>
      <c r="T193" s="25">
        <v>95.077299999999994</v>
      </c>
      <c r="U193" s="25">
        <v>99.847800000000007</v>
      </c>
      <c r="V193" s="25">
        <v>30.9147</v>
      </c>
      <c r="W193" s="25">
        <v>41.138800000000003</v>
      </c>
      <c r="X193" s="25">
        <v>42.348700000000001</v>
      </c>
      <c r="Y193" s="26"/>
      <c r="Z193" s="27"/>
      <c r="AA193" s="27"/>
      <c r="AC193" s="19" t="str">
        <f t="shared" si="27"/>
        <v>·</v>
      </c>
      <c r="AD193" s="20">
        <f t="shared" si="28"/>
        <v>11.170539465799067</v>
      </c>
      <c r="AE193" s="20">
        <f t="shared" si="29"/>
        <v>11.056240885713217</v>
      </c>
      <c r="AF193" s="20">
        <f t="shared" si="30"/>
        <v>0.1141002228120063</v>
      </c>
      <c r="AG193" s="21"/>
      <c r="AH193" s="20">
        <f t="shared" si="31"/>
        <v>11.172579139404228</v>
      </c>
      <c r="AI193" s="22">
        <v>5000164</v>
      </c>
      <c r="AJ193" s="23">
        <v>55864728</v>
      </c>
      <c r="AK193" s="23">
        <v>55293112</v>
      </c>
      <c r="AL193" s="23">
        <v>570624</v>
      </c>
      <c r="AM193" s="24"/>
      <c r="AN193" s="25">
        <v>95.077299999999994</v>
      </c>
      <c r="AO193" s="25">
        <v>99.847800000000007</v>
      </c>
      <c r="AP193" s="25">
        <v>29.52</v>
      </c>
      <c r="AQ193" s="25">
        <v>40.128300000000003</v>
      </c>
      <c r="AR193" s="25">
        <v>41.773200000000003</v>
      </c>
      <c r="AS193" s="26"/>
      <c r="AT193" s="27"/>
      <c r="AU193" s="27"/>
      <c r="AW193" s="28">
        <f t="shared" si="32"/>
        <v>9.204648591872755E-3</v>
      </c>
      <c r="AX193" s="28"/>
      <c r="AZ193" s="29"/>
      <c r="BA193" s="29"/>
      <c r="BB193" s="29"/>
      <c r="BC193" s="29"/>
      <c r="BD193" s="29"/>
      <c r="BE193" s="30"/>
      <c r="BG193" s="29"/>
      <c r="BH193" s="29"/>
      <c r="BI193" s="29"/>
      <c r="BJ193" s="29"/>
      <c r="BK193" s="29"/>
      <c r="BL193" s="30"/>
    </row>
    <row r="194" spans="1:64" outlineLevel="1" x14ac:dyDescent="0.15">
      <c r="A194" s="31"/>
      <c r="B194" s="31" t="s">
        <v>324</v>
      </c>
      <c r="C194" s="32" t="s">
        <v>228</v>
      </c>
      <c r="D194" s="31">
        <v>5001077</v>
      </c>
      <c r="E194" s="33">
        <v>20</v>
      </c>
      <c r="F194" s="32">
        <v>1</v>
      </c>
      <c r="G194" s="32"/>
      <c r="I194" s="34" t="str">
        <f t="shared" si="22"/>
        <v>·</v>
      </c>
      <c r="J194" s="35">
        <f t="shared" si="23"/>
        <v>14.642217266400817</v>
      </c>
      <c r="K194" s="35">
        <f t="shared" si="24"/>
        <v>14.101730487253045</v>
      </c>
      <c r="L194" s="35">
        <f t="shared" si="25"/>
        <v>0.54028682221849411</v>
      </c>
      <c r="M194" s="36"/>
      <c r="N194" s="35">
        <f t="shared" si="26"/>
        <v>14.642583252148791</v>
      </c>
      <c r="O194" s="37">
        <v>5000952</v>
      </c>
      <c r="P194" s="38">
        <v>73226856</v>
      </c>
      <c r="Q194" s="38">
        <v>70523840</v>
      </c>
      <c r="R194" s="38">
        <v>2702016</v>
      </c>
      <c r="S194" s="39"/>
      <c r="T194" s="40">
        <v>101.09399999999999</v>
      </c>
      <c r="U194" s="40">
        <v>105.86499999999999</v>
      </c>
      <c r="V194" s="40">
        <v>33.967599999999997</v>
      </c>
      <c r="W194" s="40">
        <v>42.555</v>
      </c>
      <c r="X194" s="40">
        <v>43.441899999999997</v>
      </c>
      <c r="Y194" s="41"/>
      <c r="Z194" s="42"/>
      <c r="AA194" s="42"/>
      <c r="AC194" s="34" t="str">
        <f t="shared" si="27"/>
        <v>·</v>
      </c>
      <c r="AD194" s="35">
        <f t="shared" si="28"/>
        <v>14.440539107876164</v>
      </c>
      <c r="AE194" s="35">
        <f t="shared" si="29"/>
        <v>14.101730487253045</v>
      </c>
      <c r="AF194" s="35">
        <f t="shared" si="30"/>
        <v>0.33861026334927458</v>
      </c>
      <c r="AG194" s="36"/>
      <c r="AH194" s="35">
        <f t="shared" si="31"/>
        <v>14.44090005262998</v>
      </c>
      <c r="AI194" s="37">
        <v>5000952</v>
      </c>
      <c r="AJ194" s="38">
        <v>72218248</v>
      </c>
      <c r="AK194" s="38">
        <v>70523840</v>
      </c>
      <c r="AL194" s="38">
        <v>1693416</v>
      </c>
      <c r="AM194" s="39"/>
      <c r="AN194" s="40">
        <v>101.09399999999999</v>
      </c>
      <c r="AO194" s="40">
        <v>105.86499999999999</v>
      </c>
      <c r="AP194" s="40">
        <v>32.591299999999997</v>
      </c>
      <c r="AQ194" s="40">
        <v>41.3523</v>
      </c>
      <c r="AR194" s="40">
        <v>42.593400000000003</v>
      </c>
      <c r="AS194" s="41"/>
      <c r="AT194" s="42"/>
      <c r="AU194" s="42"/>
      <c r="AW194" s="43">
        <f t="shared" si="32"/>
        <v>1.3450580363347897E-2</v>
      </c>
      <c r="AX194" s="43"/>
      <c r="AZ194" s="44"/>
      <c r="BA194" s="44"/>
      <c r="BB194" s="44"/>
      <c r="BC194" s="44"/>
      <c r="BD194" s="44"/>
      <c r="BE194" s="45"/>
      <c r="BG194" s="44"/>
      <c r="BH194" s="44"/>
      <c r="BI194" s="44"/>
      <c r="BJ194" s="44"/>
      <c r="BK194" s="44"/>
      <c r="BL194" s="45"/>
    </row>
    <row r="195" spans="1:64" outlineLevel="1" x14ac:dyDescent="0.15">
      <c r="A195" s="16"/>
      <c r="B195" s="16" t="s">
        <v>324</v>
      </c>
      <c r="C195" s="17" t="s">
        <v>229</v>
      </c>
      <c r="D195" s="16">
        <v>5001077</v>
      </c>
      <c r="E195" s="18">
        <v>20</v>
      </c>
      <c r="F195" s="17">
        <v>1</v>
      </c>
      <c r="G195" s="17"/>
      <c r="I195" s="19" t="str">
        <f t="shared" si="22"/>
        <v>·</v>
      </c>
      <c r="J195" s="20">
        <f t="shared" si="23"/>
        <v>21.468804419528034</v>
      </c>
      <c r="K195" s="20">
        <f t="shared" si="24"/>
        <v>20.325532280346813</v>
      </c>
      <c r="L195" s="20">
        <f t="shared" si="25"/>
        <v>1.1430705825965086</v>
      </c>
      <c r="M195" s="21"/>
      <c r="N195" s="20">
        <f t="shared" si="26"/>
        <v>21.468808712365099</v>
      </c>
      <c r="O195" s="22">
        <v>5001076</v>
      </c>
      <c r="P195" s="23">
        <v>107367144</v>
      </c>
      <c r="Q195" s="23">
        <v>101649552</v>
      </c>
      <c r="R195" s="23">
        <v>5716584</v>
      </c>
      <c r="S195" s="24"/>
      <c r="T195" s="25">
        <v>113.00700000000001</v>
      </c>
      <c r="U195" s="25">
        <v>117.765</v>
      </c>
      <c r="V195" s="25">
        <v>37.927300000000002</v>
      </c>
      <c r="W195" s="25">
        <v>44.338000000000001</v>
      </c>
      <c r="X195" s="25">
        <v>44.953200000000002</v>
      </c>
      <c r="Y195" s="26"/>
      <c r="Z195" s="27"/>
      <c r="AA195" s="27"/>
      <c r="AC195" s="19" t="str">
        <f t="shared" si="27"/>
        <v>·</v>
      </c>
      <c r="AD195" s="20">
        <f t="shared" si="28"/>
        <v>21.141287766615072</v>
      </c>
      <c r="AE195" s="20">
        <f t="shared" si="29"/>
        <v>20.325532280346813</v>
      </c>
      <c r="AF195" s="20">
        <f t="shared" si="30"/>
        <v>0.81555552933898035</v>
      </c>
      <c r="AG195" s="21"/>
      <c r="AH195" s="20">
        <f t="shared" si="31"/>
        <v>21.141291993962898</v>
      </c>
      <c r="AI195" s="22">
        <v>5001076</v>
      </c>
      <c r="AJ195" s="23">
        <v>105729208</v>
      </c>
      <c r="AK195" s="23">
        <v>101649552</v>
      </c>
      <c r="AL195" s="23">
        <v>4078656</v>
      </c>
      <c r="AM195" s="24"/>
      <c r="AN195" s="25">
        <v>113.00700000000001</v>
      </c>
      <c r="AO195" s="25">
        <v>117.765</v>
      </c>
      <c r="AP195" s="25">
        <v>36.704900000000002</v>
      </c>
      <c r="AQ195" s="25">
        <v>43.1051</v>
      </c>
      <c r="AR195" s="25">
        <v>43.9512</v>
      </c>
      <c r="AS195" s="26"/>
      <c r="AT195" s="27"/>
      <c r="AU195" s="27"/>
      <c r="AW195" s="28">
        <f t="shared" si="32"/>
        <v>1.4666821866103574E-2</v>
      </c>
      <c r="AX195" s="28"/>
      <c r="AZ195" s="29"/>
      <c r="BA195" s="29"/>
      <c r="BB195" s="29"/>
      <c r="BC195" s="29"/>
      <c r="BD195" s="29"/>
      <c r="BE195" s="30"/>
      <c r="BG195" s="29"/>
      <c r="BH195" s="29"/>
      <c r="BI195" s="29"/>
      <c r="BJ195" s="29"/>
      <c r="BK195" s="29"/>
      <c r="BL195" s="30"/>
    </row>
    <row r="196" spans="1:64" outlineLevel="1" x14ac:dyDescent="0.15">
      <c r="A196" s="31"/>
      <c r="B196" s="46" t="s">
        <v>324</v>
      </c>
      <c r="C196" s="47" t="s">
        <v>230</v>
      </c>
      <c r="D196" s="46">
        <v>5001077</v>
      </c>
      <c r="E196" s="48">
        <v>20</v>
      </c>
      <c r="F196" s="47">
        <v>1</v>
      </c>
      <c r="G196" s="47"/>
      <c r="I196" s="49" t="str">
        <f t="shared" si="22"/>
        <v>·</v>
      </c>
      <c r="J196" s="50">
        <f t="shared" si="23"/>
        <v>24.696155648073404</v>
      </c>
      <c r="K196" s="50">
        <f t="shared" si="24"/>
        <v>22.535272302346076</v>
      </c>
      <c r="L196" s="50">
        <f t="shared" si="25"/>
        <v>2.1606801894871843</v>
      </c>
      <c r="M196" s="51"/>
      <c r="N196" s="50">
        <f t="shared" si="26"/>
        <v>24.696155648073404</v>
      </c>
      <c r="O196" s="52">
        <v>5001077</v>
      </c>
      <c r="P196" s="53">
        <v>123507376</v>
      </c>
      <c r="Q196" s="53">
        <v>112700632</v>
      </c>
      <c r="R196" s="53">
        <v>10805728</v>
      </c>
      <c r="S196" s="54"/>
      <c r="T196" s="55">
        <v>118.64700000000001</v>
      </c>
      <c r="U196" s="55">
        <v>123.369</v>
      </c>
      <c r="V196" s="55">
        <v>42.3264</v>
      </c>
      <c r="W196" s="55">
        <v>46.547600000000003</v>
      </c>
      <c r="X196" s="55">
        <v>46.974299999999999</v>
      </c>
      <c r="Y196" s="56"/>
      <c r="Z196" s="57"/>
      <c r="AA196" s="57"/>
      <c r="AC196" s="49" t="str">
        <f t="shared" si="27"/>
        <v>·</v>
      </c>
      <c r="AD196" s="50">
        <f t="shared" si="28"/>
        <v>24.12268877283833</v>
      </c>
      <c r="AE196" s="50">
        <f t="shared" si="29"/>
        <v>22.535272302346076</v>
      </c>
      <c r="AF196" s="50">
        <f t="shared" si="30"/>
        <v>1.5872149139075442</v>
      </c>
      <c r="AG196" s="51"/>
      <c r="AH196" s="50">
        <f t="shared" si="31"/>
        <v>24.12268877283833</v>
      </c>
      <c r="AI196" s="52">
        <v>5001077</v>
      </c>
      <c r="AJ196" s="53">
        <v>120639424</v>
      </c>
      <c r="AK196" s="53">
        <v>112700632</v>
      </c>
      <c r="AL196" s="53">
        <v>7937784</v>
      </c>
      <c r="AM196" s="54"/>
      <c r="AN196" s="55">
        <v>118.64700000000001</v>
      </c>
      <c r="AO196" s="55">
        <v>123.369</v>
      </c>
      <c r="AP196" s="55">
        <v>40.879100000000001</v>
      </c>
      <c r="AQ196" s="55">
        <v>45.215800000000002</v>
      </c>
      <c r="AR196" s="55">
        <v>45.827500000000001</v>
      </c>
      <c r="AS196" s="56"/>
      <c r="AT196" s="57"/>
      <c r="AU196" s="57"/>
      <c r="AW196" s="58">
        <f t="shared" si="32"/>
        <v>2.1692823364638514E-2</v>
      </c>
      <c r="AX196" s="58"/>
      <c r="AZ196" s="59"/>
      <c r="BA196" s="59"/>
      <c r="BB196" s="59"/>
      <c r="BC196" s="59"/>
      <c r="BD196" s="59"/>
      <c r="BE196" s="60"/>
      <c r="BG196" s="59"/>
      <c r="BH196" s="59"/>
      <c r="BI196" s="59"/>
      <c r="BJ196" s="59"/>
      <c r="BK196" s="59"/>
      <c r="BL196" s="60"/>
    </row>
    <row r="197" spans="1:64" collapsed="1" x14ac:dyDescent="0.15">
      <c r="A197" s="16"/>
      <c r="B197" s="16" t="s">
        <v>327</v>
      </c>
      <c r="C197" s="17" t="s">
        <v>225</v>
      </c>
      <c r="D197" s="16">
        <v>71948094</v>
      </c>
      <c r="E197" s="18">
        <v>14</v>
      </c>
      <c r="F197" s="17">
        <v>1</v>
      </c>
      <c r="G197" s="17"/>
      <c r="I197" s="19" t="str">
        <f t="shared" ref="I197:I260" si="33">IF(OR(ISBLANK(P197),ISBLANK(G197)),"·",P197*G197/F197/1000000)</f>
        <v>·</v>
      </c>
      <c r="J197" s="20">
        <f t="shared" ref="J197:J260" si="34">IF(ISBLANK(P197),"·",P197/D197)</f>
        <v>7.2274325988399353E-5</v>
      </c>
      <c r="K197" s="20">
        <f t="shared" ref="K197:K260" si="35">IF(Q197="","·",Q197/D197)</f>
        <v>5.6373974270951503E-5</v>
      </c>
      <c r="L197" s="20">
        <f t="shared" ref="L197:L260" si="36">IF(ISBLANK(R197),"·",R197/D197)</f>
        <v>9.0064929308620742E-6</v>
      </c>
      <c r="M197" s="21"/>
      <c r="N197" s="20">
        <f t="shared" ref="N197:N260" si="37">IF(ISBLANK(P197),"·",P197/O197)</f>
        <v>1.4258294488620784</v>
      </c>
      <c r="O197" s="22">
        <v>3647</v>
      </c>
      <c r="P197" s="23">
        <v>5200</v>
      </c>
      <c r="Q197" s="23">
        <v>4056</v>
      </c>
      <c r="R197" s="23">
        <v>648</v>
      </c>
      <c r="S197" s="24"/>
      <c r="T197" s="25">
        <v>46.969200000000001</v>
      </c>
      <c r="U197" s="25">
        <v>51.777799999999999</v>
      </c>
      <c r="V197" s="25">
        <v>17.604600000000001</v>
      </c>
      <c r="W197" s="25">
        <v>27.1404</v>
      </c>
      <c r="X197" s="25">
        <v>33.018000000000001</v>
      </c>
      <c r="Y197" s="26"/>
      <c r="Z197" s="27"/>
      <c r="AA197" s="27"/>
      <c r="AC197" s="19" t="str">
        <f t="shared" ref="AC197:AC260" si="38">IF(OR(ISBLANK(AJ197),ISBLANK(G197)),"·",AJ197*G197/F197/1000000)</f>
        <v>·</v>
      </c>
      <c r="AD197" s="20">
        <f t="shared" ref="AD197:AD260" si="39">IF(ISBLANK(AJ197),"·",AJ197/D197)</f>
        <v>6.6825953721581566E-5</v>
      </c>
      <c r="AE197" s="20">
        <f t="shared" ref="AE197:AE260" si="40">IF(AK197="","·",AK197/D197)</f>
        <v>5.6373974270951503E-5</v>
      </c>
      <c r="AF197" s="20">
        <f t="shared" ref="AF197:AF260" si="41">IF(ISBLANK(AL197),"·",AL197/D197)</f>
        <v>3.6693119347956596E-6</v>
      </c>
      <c r="AG197" s="21"/>
      <c r="AH197" s="20">
        <f t="shared" ref="AH197:AH260" si="42">IF(ISBLANK(AJ197),"·",AJ197/AI197)</f>
        <v>1.3183438442555524</v>
      </c>
      <c r="AI197" s="22">
        <v>3647</v>
      </c>
      <c r="AJ197" s="23">
        <v>4808</v>
      </c>
      <c r="AK197" s="23">
        <v>4056</v>
      </c>
      <c r="AL197" s="23">
        <v>264</v>
      </c>
      <c r="AM197" s="24"/>
      <c r="AN197" s="25">
        <v>46.969200000000001</v>
      </c>
      <c r="AO197" s="25">
        <v>51.777799999999999</v>
      </c>
      <c r="AP197" s="25">
        <v>16.818100000000001</v>
      </c>
      <c r="AQ197" s="25">
        <v>27.165400000000002</v>
      </c>
      <c r="AR197" s="25">
        <v>32.862200000000001</v>
      </c>
      <c r="AS197" s="26"/>
      <c r="AT197" s="27"/>
      <c r="AU197" s="27"/>
      <c r="AW197" s="28">
        <f t="shared" ref="AW197:AW260" si="43">(AK197/AJ197) - (Q197/P197)</f>
        <v>6.3594009983361066E-2</v>
      </c>
      <c r="AX197" s="28">
        <f t="array" ref="AX197">AVERAGE(AK197:AK202/AJ197:AJ202) - AVERAGE(Q197:Q202/P197:P202)</f>
        <v>8.2379837650012E-2</v>
      </c>
      <c r="AZ197" s="29">
        <f>IF( OR(ISBLANK(Q197:Q202),ISBLANK(AK197:AK202), ISBLANK(T197:T202),ISBLANK(AN197:AN202)), "·", bdRateExtend( Q197:Q202,T197:T202, AK197:AK202,AN197:AN202))</f>
        <v>0</v>
      </c>
      <c r="BA197" s="29">
        <f>IF( OR(ISBLANK(Q197:Q202),ISBLANK(AK197:AK202), ISBLANK(U197:U202),ISBLANK(AO197:AO202)), "·", bdRateExtend( Q197:Q202,U197:U202, AK197:AK202,AO197:AO202))</f>
        <v>0</v>
      </c>
      <c r="BB197" s="29">
        <f>IF( OR(ISBLANK(R197:R202),ISBLANK(AL197:AL202), ISBLANK(V197:V202),ISBLANK(AP197:AP202)), "·", bdRateExtend( R197:R202,V197:V202, AL197:AL202,AP197:AP202))</f>
        <v>-0.18678541459068498</v>
      </c>
      <c r="BC197" s="29">
        <f>IF( OR(ISBLANK(R197:R202),ISBLANK(AL197:AL202), ISBLANK(W197:W202),ISBLANK(AQ197:AQ202)), "·", bdRateExtend( R197:R202,W197:W202, AL197:AL202,AQ197:AQ202))</f>
        <v>0.10618649793841217</v>
      </c>
      <c r="BD197" s="29">
        <f>IF( OR(ISBLANK(R197:R202),ISBLANK(AL197:AL202), ISBLANK(X197:X202),ISBLANK(AR197:AR202)), "·", bdRateExtend( R197:R202,X197:X202, AL197:AL202,AR197:AR202))</f>
        <v>0.48029712422970827</v>
      </c>
      <c r="BE197" s="30"/>
      <c r="BG197" s="29">
        <f>IF( OR(ISBLANK(P197:P202),ISBLANK(AJ197:AJ202), ISBLANK(T197:T202),ISBLANK(AN197:AN202)), "·", bdRateExtend( P197:P202,T197:T202, AJ197:AJ202,AN197:AN202))</f>
        <v>-0.15173190515318491</v>
      </c>
      <c r="BH197" s="29">
        <f>IF( OR(ISBLANK(P197:P202),ISBLANK(AJ197:AJ202), ISBLANK(U197:U202),ISBLANK(AO197:AO202)), "·", bdRateExtend( P197:P202,U197:U202, AJ197:AJ202,AO197:AO202))</f>
        <v>-0.15191808312305277</v>
      </c>
      <c r="BI197" s="29">
        <f>IF( OR(ISBLANK(P197:P202),ISBLANK(AJ197:AJ202), ISBLANK(V197:V202),ISBLANK(AP197:AP202)), "·", bdRateExtend( P197:P202,V197:V202, AJ197:AJ202,AP197:AP202))</f>
        <v>1.871690492180722E-2</v>
      </c>
      <c r="BJ197" s="29">
        <f>IF( OR(ISBLANK(P197:P202),ISBLANK(AJ197:AJ202), ISBLANK(W197:W202),ISBLANK(AQ197:AQ202)), "·", bdRateExtend( P197:P202,W197:W202, AJ197:AJ202,AQ197:AQ202))</f>
        <v>0.39098784611229709</v>
      </c>
      <c r="BK197" s="29">
        <f>IF( OR(ISBLANK(P197:P202),ISBLANK(AJ197:AJ202), ISBLANK(X197:X202),ISBLANK(AR197:AR202)), "·", bdRateExtend( P197:P202,X197:X202, AJ197:AJ202,AR197:AR202))</f>
        <v>0.67594865508611335</v>
      </c>
      <c r="BL197" s="30"/>
    </row>
    <row r="198" spans="1:64" outlineLevel="1" x14ac:dyDescent="0.15">
      <c r="A198" s="31"/>
      <c r="B198" s="31" t="s">
        <v>327</v>
      </c>
      <c r="C198" s="32" t="s">
        <v>226</v>
      </c>
      <c r="D198" s="31">
        <v>71948094</v>
      </c>
      <c r="E198" s="33">
        <v>14</v>
      </c>
      <c r="F198" s="32">
        <v>1</v>
      </c>
      <c r="G198" s="32"/>
      <c r="I198" s="34" t="str">
        <f t="shared" si="33"/>
        <v>·</v>
      </c>
      <c r="J198" s="35">
        <f t="shared" si="34"/>
        <v>2.33612859848657E-4</v>
      </c>
      <c r="K198" s="35">
        <f t="shared" si="35"/>
        <v>1.7190170458163909E-4</v>
      </c>
      <c r="L198" s="35">
        <f t="shared" si="36"/>
        <v>5.4817296480432131E-5</v>
      </c>
      <c r="M198" s="36"/>
      <c r="N198" s="35">
        <f t="shared" si="37"/>
        <v>1.1781858965372214</v>
      </c>
      <c r="O198" s="37">
        <v>14266</v>
      </c>
      <c r="P198" s="38">
        <v>16808</v>
      </c>
      <c r="Q198" s="38">
        <v>12368</v>
      </c>
      <c r="R198" s="38">
        <v>3944</v>
      </c>
      <c r="S198" s="39"/>
      <c r="T198" s="40">
        <v>52.981900000000003</v>
      </c>
      <c r="U198" s="40">
        <v>57.541600000000003</v>
      </c>
      <c r="V198" s="40">
        <v>19.609100000000002</v>
      </c>
      <c r="W198" s="40">
        <v>31.033200000000001</v>
      </c>
      <c r="X198" s="40">
        <v>33.610100000000003</v>
      </c>
      <c r="Y198" s="41"/>
      <c r="Z198" s="42"/>
      <c r="AA198" s="42"/>
      <c r="AC198" s="34" t="str">
        <f t="shared" si="38"/>
        <v>·</v>
      </c>
      <c r="AD198" s="35">
        <f t="shared" si="39"/>
        <v>2.072605286805791E-4</v>
      </c>
      <c r="AE198" s="35">
        <f t="shared" si="40"/>
        <v>1.7190170458163909E-4</v>
      </c>
      <c r="AF198" s="35">
        <f t="shared" si="41"/>
        <v>2.8576156583105594E-5</v>
      </c>
      <c r="AG198" s="36"/>
      <c r="AH198" s="35">
        <f t="shared" si="42"/>
        <v>1.0452824898359736</v>
      </c>
      <c r="AI198" s="37">
        <v>14266</v>
      </c>
      <c r="AJ198" s="38">
        <v>14912</v>
      </c>
      <c r="AK198" s="38">
        <v>12368</v>
      </c>
      <c r="AL198" s="38">
        <v>2056</v>
      </c>
      <c r="AM198" s="39"/>
      <c r="AN198" s="40">
        <v>52.981900000000003</v>
      </c>
      <c r="AO198" s="40">
        <v>57.541600000000003</v>
      </c>
      <c r="AP198" s="40">
        <v>19.116599999999998</v>
      </c>
      <c r="AQ198" s="40">
        <v>29.741199999999999</v>
      </c>
      <c r="AR198" s="40">
        <v>33.241700000000002</v>
      </c>
      <c r="AS198" s="41"/>
      <c r="AT198" s="42"/>
      <c r="AU198" s="42"/>
      <c r="AW198" s="43">
        <f t="shared" si="43"/>
        <v>9.3559065476689018E-2</v>
      </c>
      <c r="AX198" s="43"/>
      <c r="AZ198" s="44"/>
      <c r="BA198" s="44"/>
      <c r="BB198" s="44"/>
      <c r="BC198" s="44"/>
      <c r="BD198" s="44"/>
      <c r="BE198" s="45"/>
      <c r="BG198" s="44"/>
      <c r="BH198" s="44"/>
      <c r="BI198" s="44"/>
      <c r="BJ198" s="44"/>
      <c r="BK198" s="44"/>
      <c r="BL198" s="45"/>
    </row>
    <row r="199" spans="1:64" outlineLevel="1" x14ac:dyDescent="0.15">
      <c r="A199" s="16"/>
      <c r="B199" s="16" t="s">
        <v>327</v>
      </c>
      <c r="C199" s="17" t="s">
        <v>227</v>
      </c>
      <c r="D199" s="16">
        <v>71948094</v>
      </c>
      <c r="E199" s="18">
        <v>14</v>
      </c>
      <c r="F199" s="17">
        <v>1</v>
      </c>
      <c r="G199" s="17"/>
      <c r="I199" s="19" t="str">
        <f t="shared" si="33"/>
        <v>·</v>
      </c>
      <c r="J199" s="20">
        <f t="shared" si="34"/>
        <v>1.0111734162130826E-3</v>
      </c>
      <c r="K199" s="20">
        <f t="shared" si="35"/>
        <v>6.1299747565237794E-4</v>
      </c>
      <c r="L199" s="20">
        <f t="shared" si="36"/>
        <v>3.9117089050336759E-4</v>
      </c>
      <c r="M199" s="21"/>
      <c r="N199" s="20">
        <f t="shared" si="37"/>
        <v>1.2413957853425475</v>
      </c>
      <c r="O199" s="22">
        <v>58605</v>
      </c>
      <c r="P199" s="23">
        <v>72752</v>
      </c>
      <c r="Q199" s="23">
        <v>44104</v>
      </c>
      <c r="R199" s="23">
        <v>28144</v>
      </c>
      <c r="S199" s="24"/>
      <c r="T199" s="25">
        <v>58.900700000000001</v>
      </c>
      <c r="U199" s="25">
        <v>63.101700000000001</v>
      </c>
      <c r="V199" s="25">
        <v>21.029800000000002</v>
      </c>
      <c r="W199" s="25">
        <v>34.071300000000001</v>
      </c>
      <c r="X199" s="25">
        <v>35.5075</v>
      </c>
      <c r="Y199" s="26"/>
      <c r="Z199" s="27"/>
      <c r="AA199" s="27"/>
      <c r="AC199" s="19" t="str">
        <f t="shared" si="38"/>
        <v>·</v>
      </c>
      <c r="AD199" s="20">
        <f t="shared" si="39"/>
        <v>8.4416412754450448E-4</v>
      </c>
      <c r="AE199" s="20">
        <f t="shared" si="40"/>
        <v>6.1299747565237794E-4</v>
      </c>
      <c r="AF199" s="20">
        <f t="shared" si="41"/>
        <v>2.2427279310554079E-4</v>
      </c>
      <c r="AG199" s="21"/>
      <c r="AH199" s="20">
        <f t="shared" si="42"/>
        <v>1.0363620851463187</v>
      </c>
      <c r="AI199" s="22">
        <v>58605</v>
      </c>
      <c r="AJ199" s="23">
        <v>60736</v>
      </c>
      <c r="AK199" s="23">
        <v>44104</v>
      </c>
      <c r="AL199" s="23">
        <v>16136</v>
      </c>
      <c r="AM199" s="24"/>
      <c r="AN199" s="25">
        <v>58.900700000000001</v>
      </c>
      <c r="AO199" s="25">
        <v>63.101700000000001</v>
      </c>
      <c r="AP199" s="25">
        <v>20.887799999999999</v>
      </c>
      <c r="AQ199" s="25">
        <v>33.053800000000003</v>
      </c>
      <c r="AR199" s="25">
        <v>34.724200000000003</v>
      </c>
      <c r="AS199" s="26"/>
      <c r="AT199" s="27"/>
      <c r="AU199" s="27"/>
      <c r="AW199" s="28">
        <f t="shared" si="43"/>
        <v>0.11993523097826397</v>
      </c>
      <c r="AX199" s="28"/>
      <c r="AZ199" s="29"/>
      <c r="BA199" s="29"/>
      <c r="BB199" s="29"/>
      <c r="BC199" s="29"/>
      <c r="BD199" s="29"/>
      <c r="BE199" s="30"/>
      <c r="BG199" s="29"/>
      <c r="BH199" s="29"/>
      <c r="BI199" s="29"/>
      <c r="BJ199" s="29"/>
      <c r="BK199" s="29"/>
      <c r="BL199" s="30"/>
    </row>
    <row r="200" spans="1:64" outlineLevel="1" x14ac:dyDescent="0.15">
      <c r="A200" s="31"/>
      <c r="B200" s="31" t="s">
        <v>327</v>
      </c>
      <c r="C200" s="32" t="s">
        <v>228</v>
      </c>
      <c r="D200" s="31">
        <v>71948094</v>
      </c>
      <c r="E200" s="33">
        <v>14</v>
      </c>
      <c r="F200" s="32">
        <v>1</v>
      </c>
      <c r="G200" s="32"/>
      <c r="I200" s="34" t="str">
        <f t="shared" si="33"/>
        <v>·</v>
      </c>
      <c r="J200" s="35">
        <f t="shared" si="34"/>
        <v>2.4017092099757362E-2</v>
      </c>
      <c r="K200" s="35">
        <f t="shared" si="35"/>
        <v>1.1312933460058025E-2</v>
      </c>
      <c r="L200" s="35">
        <f t="shared" si="36"/>
        <v>1.2697153589641999E-2</v>
      </c>
      <c r="M200" s="36"/>
      <c r="N200" s="35">
        <f t="shared" si="37"/>
        <v>1.7399303618645621</v>
      </c>
      <c r="O200" s="37">
        <v>993134</v>
      </c>
      <c r="P200" s="38">
        <v>1727984</v>
      </c>
      <c r="Q200" s="38">
        <v>813944</v>
      </c>
      <c r="R200" s="38">
        <v>913536</v>
      </c>
      <c r="S200" s="39"/>
      <c r="T200" s="40">
        <v>70.966899999999995</v>
      </c>
      <c r="U200" s="40">
        <v>74.829700000000003</v>
      </c>
      <c r="V200" s="40">
        <v>23.083300000000001</v>
      </c>
      <c r="W200" s="40">
        <v>37.483199999999997</v>
      </c>
      <c r="X200" s="40">
        <v>38.357599999999998</v>
      </c>
      <c r="Y200" s="41"/>
      <c r="Z200" s="42"/>
      <c r="AA200" s="42"/>
      <c r="AC200" s="34" t="str">
        <f t="shared" si="38"/>
        <v>·</v>
      </c>
      <c r="AD200" s="35">
        <f t="shared" si="39"/>
        <v>1.9692641197694549E-2</v>
      </c>
      <c r="AE200" s="35">
        <f t="shared" si="40"/>
        <v>1.1312933460058025E-2</v>
      </c>
      <c r="AF200" s="35">
        <f t="shared" si="41"/>
        <v>8.3728138788499388E-3</v>
      </c>
      <c r="AG200" s="36"/>
      <c r="AH200" s="35">
        <f t="shared" si="42"/>
        <v>1.4266433331252379</v>
      </c>
      <c r="AI200" s="37">
        <v>993134</v>
      </c>
      <c r="AJ200" s="38">
        <v>1416848</v>
      </c>
      <c r="AK200" s="38">
        <v>813944</v>
      </c>
      <c r="AL200" s="38">
        <v>602408</v>
      </c>
      <c r="AM200" s="39"/>
      <c r="AN200" s="40">
        <v>70.966899999999995</v>
      </c>
      <c r="AO200" s="40">
        <v>74.829700000000003</v>
      </c>
      <c r="AP200" s="40">
        <v>22.920100000000001</v>
      </c>
      <c r="AQ200" s="40">
        <v>36.839599999999997</v>
      </c>
      <c r="AR200" s="40">
        <v>37.465400000000002</v>
      </c>
      <c r="AS200" s="41"/>
      <c r="AT200" s="42"/>
      <c r="AU200" s="42"/>
      <c r="AW200" s="43">
        <f t="shared" si="43"/>
        <v>0.10343840420123035</v>
      </c>
      <c r="AX200" s="43"/>
      <c r="AZ200" s="44"/>
      <c r="BA200" s="44"/>
      <c r="BB200" s="44"/>
      <c r="BC200" s="44"/>
      <c r="BD200" s="44"/>
      <c r="BE200" s="45"/>
      <c r="BG200" s="44"/>
      <c r="BH200" s="44"/>
      <c r="BI200" s="44"/>
      <c r="BJ200" s="44"/>
      <c r="BK200" s="44"/>
      <c r="BL200" s="45"/>
    </row>
    <row r="201" spans="1:64" outlineLevel="1" x14ac:dyDescent="0.15">
      <c r="A201" s="16"/>
      <c r="B201" s="16" t="s">
        <v>327</v>
      </c>
      <c r="C201" s="17" t="s">
        <v>229</v>
      </c>
      <c r="D201" s="16">
        <v>71948094</v>
      </c>
      <c r="E201" s="18">
        <v>14</v>
      </c>
      <c r="F201" s="17">
        <v>1</v>
      </c>
      <c r="G201" s="17"/>
      <c r="I201" s="19" t="str">
        <f t="shared" si="33"/>
        <v>·</v>
      </c>
      <c r="J201" s="20">
        <f t="shared" si="34"/>
        <v>0.15862724591425592</v>
      </c>
      <c r="K201" s="20">
        <f t="shared" si="35"/>
        <v>5.6358963449400064E-2</v>
      </c>
      <c r="L201" s="20">
        <f t="shared" si="36"/>
        <v>0.10225560665999019</v>
      </c>
      <c r="M201" s="21"/>
      <c r="N201" s="20">
        <f t="shared" si="37"/>
        <v>2.8201105071214849</v>
      </c>
      <c r="O201" s="22">
        <v>4046979</v>
      </c>
      <c r="P201" s="23">
        <v>11412928</v>
      </c>
      <c r="Q201" s="23">
        <v>4054920</v>
      </c>
      <c r="R201" s="23">
        <v>7357096</v>
      </c>
      <c r="S201" s="24"/>
      <c r="T201" s="25">
        <v>76.885300000000001</v>
      </c>
      <c r="U201" s="25">
        <v>80.825400000000002</v>
      </c>
      <c r="V201" s="25">
        <v>25.118400000000001</v>
      </c>
      <c r="W201" s="25">
        <v>39.7361</v>
      </c>
      <c r="X201" s="25">
        <v>41.058</v>
      </c>
      <c r="Y201" s="26"/>
      <c r="Z201" s="27"/>
      <c r="AA201" s="27"/>
      <c r="AC201" s="19" t="str">
        <f t="shared" si="38"/>
        <v>·</v>
      </c>
      <c r="AD201" s="20">
        <f t="shared" si="39"/>
        <v>0.13422009483670269</v>
      </c>
      <c r="AE201" s="20">
        <f t="shared" si="40"/>
        <v>5.6358963449400064E-2</v>
      </c>
      <c r="AF201" s="20">
        <f t="shared" si="41"/>
        <v>7.7848566773707717E-2</v>
      </c>
      <c r="AG201" s="21"/>
      <c r="AH201" s="20">
        <f t="shared" si="42"/>
        <v>2.3861947393351928</v>
      </c>
      <c r="AI201" s="22">
        <v>4046979</v>
      </c>
      <c r="AJ201" s="23">
        <v>9656880</v>
      </c>
      <c r="AK201" s="23">
        <v>4054920</v>
      </c>
      <c r="AL201" s="23">
        <v>5601056</v>
      </c>
      <c r="AM201" s="24"/>
      <c r="AN201" s="25">
        <v>76.885300000000001</v>
      </c>
      <c r="AO201" s="25">
        <v>80.825400000000002</v>
      </c>
      <c r="AP201" s="25">
        <v>25.0382</v>
      </c>
      <c r="AQ201" s="25">
        <v>39.212600000000002</v>
      </c>
      <c r="AR201" s="25">
        <v>40.083500000000001</v>
      </c>
      <c r="AS201" s="26"/>
      <c r="AT201" s="27"/>
      <c r="AU201" s="27"/>
      <c r="AW201" s="28">
        <f t="shared" si="43"/>
        <v>6.4607771452280693E-2</v>
      </c>
      <c r="AX201" s="28"/>
      <c r="AZ201" s="29"/>
      <c r="BA201" s="29"/>
      <c r="BB201" s="29"/>
      <c r="BC201" s="29"/>
      <c r="BD201" s="29"/>
      <c r="BE201" s="30"/>
      <c r="BG201" s="29"/>
      <c r="BH201" s="29"/>
      <c r="BI201" s="29"/>
      <c r="BJ201" s="29"/>
      <c r="BK201" s="29"/>
      <c r="BL201" s="30"/>
    </row>
    <row r="202" spans="1:64" outlineLevel="1" x14ac:dyDescent="0.15">
      <c r="A202" s="31"/>
      <c r="B202" s="46" t="s">
        <v>327</v>
      </c>
      <c r="C202" s="47" t="s">
        <v>230</v>
      </c>
      <c r="D202" s="46">
        <v>71948094</v>
      </c>
      <c r="E202" s="48">
        <v>14</v>
      </c>
      <c r="F202" s="47">
        <v>1</v>
      </c>
      <c r="G202" s="47"/>
      <c r="I202" s="49" t="str">
        <f t="shared" si="33"/>
        <v>·</v>
      </c>
      <c r="J202" s="50">
        <f t="shared" si="34"/>
        <v>0.92422462226726954</v>
      </c>
      <c r="K202" s="50">
        <f t="shared" si="35"/>
        <v>0.27446052983696828</v>
      </c>
      <c r="L202" s="50">
        <f t="shared" si="36"/>
        <v>0.64973473793482284</v>
      </c>
      <c r="M202" s="51"/>
      <c r="N202" s="50">
        <f t="shared" si="37"/>
        <v>4.3576313891114067</v>
      </c>
      <c r="O202" s="52">
        <v>15259712</v>
      </c>
      <c r="P202" s="53">
        <v>66496200</v>
      </c>
      <c r="Q202" s="53">
        <v>19746912</v>
      </c>
      <c r="R202" s="53">
        <v>46747176</v>
      </c>
      <c r="S202" s="54"/>
      <c r="T202" s="55">
        <v>82.528599999999997</v>
      </c>
      <c r="U202" s="55">
        <v>86.977000000000004</v>
      </c>
      <c r="V202" s="55">
        <v>28.057300000000001</v>
      </c>
      <c r="W202" s="55">
        <v>42.689300000000003</v>
      </c>
      <c r="X202" s="55">
        <v>44.351100000000002</v>
      </c>
      <c r="Y202" s="56"/>
      <c r="Z202" s="57"/>
      <c r="AA202" s="57"/>
      <c r="AC202" s="49" t="str">
        <f t="shared" si="38"/>
        <v>·</v>
      </c>
      <c r="AD202" s="50">
        <f t="shared" si="39"/>
        <v>0.79299201449311496</v>
      </c>
      <c r="AE202" s="50">
        <f t="shared" si="40"/>
        <v>0.27446052983696828</v>
      </c>
      <c r="AF202" s="50">
        <f t="shared" si="41"/>
        <v>0.51850224135193912</v>
      </c>
      <c r="AG202" s="51"/>
      <c r="AH202" s="50">
        <f t="shared" si="42"/>
        <v>3.7388820968573979</v>
      </c>
      <c r="AI202" s="52">
        <v>15259712</v>
      </c>
      <c r="AJ202" s="53">
        <v>57054264</v>
      </c>
      <c r="AK202" s="53">
        <v>19746912</v>
      </c>
      <c r="AL202" s="53">
        <v>37305248</v>
      </c>
      <c r="AM202" s="54"/>
      <c r="AN202" s="55">
        <v>82.528599999999997</v>
      </c>
      <c r="AO202" s="55">
        <v>86.977000000000004</v>
      </c>
      <c r="AP202" s="55">
        <v>27.9787</v>
      </c>
      <c r="AQ202" s="55">
        <v>42.030099999999997</v>
      </c>
      <c r="AR202" s="55">
        <v>43.3613</v>
      </c>
      <c r="AS202" s="56"/>
      <c r="AT202" s="57"/>
      <c r="AU202" s="57"/>
      <c r="AW202" s="58">
        <f t="shared" si="43"/>
        <v>4.9144543808246011E-2</v>
      </c>
      <c r="AX202" s="58"/>
      <c r="AZ202" s="59"/>
      <c r="BA202" s="59"/>
      <c r="BB202" s="59"/>
      <c r="BC202" s="59"/>
      <c r="BD202" s="59"/>
      <c r="BE202" s="60"/>
      <c r="BG202" s="59"/>
      <c r="BH202" s="59"/>
      <c r="BI202" s="59"/>
      <c r="BJ202" s="59"/>
      <c r="BK202" s="59"/>
      <c r="BL202" s="60"/>
    </row>
    <row r="203" spans="1:64" collapsed="1" x14ac:dyDescent="0.15">
      <c r="A203" s="16"/>
      <c r="B203" s="16" t="s">
        <v>330</v>
      </c>
      <c r="C203" s="17" t="s">
        <v>225</v>
      </c>
      <c r="D203" s="16">
        <v>72145549</v>
      </c>
      <c r="E203" s="18">
        <v>20</v>
      </c>
      <c r="F203" s="17">
        <v>1</v>
      </c>
      <c r="G203" s="17"/>
      <c r="I203" s="19" t="str">
        <f t="shared" si="33"/>
        <v>·</v>
      </c>
      <c r="J203" s="20">
        <f t="shared" si="34"/>
        <v>5.8932090183415199E-2</v>
      </c>
      <c r="K203" s="20">
        <f t="shared" si="35"/>
        <v>5.6198726826515659E-2</v>
      </c>
      <c r="L203" s="20">
        <f t="shared" si="36"/>
        <v>2.7207222444173237E-3</v>
      </c>
      <c r="M203" s="21"/>
      <c r="N203" s="20">
        <f t="shared" si="37"/>
        <v>1.0507033705044042</v>
      </c>
      <c r="O203" s="22">
        <v>4046516</v>
      </c>
      <c r="P203" s="23">
        <v>4251688</v>
      </c>
      <c r="Q203" s="23">
        <v>4054488</v>
      </c>
      <c r="R203" s="23">
        <v>196288</v>
      </c>
      <c r="S203" s="24"/>
      <c r="T203" s="25">
        <v>77.019300000000001</v>
      </c>
      <c r="U203" s="25">
        <v>80.509799999999998</v>
      </c>
      <c r="V203" s="25">
        <v>22.1478</v>
      </c>
      <c r="W203" s="25">
        <v>35.568399999999997</v>
      </c>
      <c r="X203" s="25">
        <v>36.633200000000002</v>
      </c>
      <c r="Y203" s="26"/>
      <c r="Z203" s="27"/>
      <c r="AA203" s="27"/>
      <c r="AC203" s="19" t="str">
        <f t="shared" si="38"/>
        <v>·</v>
      </c>
      <c r="AD203" s="20">
        <f t="shared" si="39"/>
        <v>5.7003987869022936E-2</v>
      </c>
      <c r="AE203" s="20">
        <f t="shared" si="40"/>
        <v>5.6198726826515659E-2</v>
      </c>
      <c r="AF203" s="20">
        <f t="shared" si="41"/>
        <v>7.9273081697666477E-4</v>
      </c>
      <c r="AG203" s="21"/>
      <c r="AH203" s="20">
        <f t="shared" si="42"/>
        <v>1.0163271317844782</v>
      </c>
      <c r="AI203" s="22">
        <v>4046516</v>
      </c>
      <c r="AJ203" s="23">
        <v>4112584</v>
      </c>
      <c r="AK203" s="23">
        <v>4054488</v>
      </c>
      <c r="AL203" s="23">
        <v>57192</v>
      </c>
      <c r="AM203" s="24"/>
      <c r="AN203" s="25">
        <v>77.019300000000001</v>
      </c>
      <c r="AO203" s="25">
        <v>80.509799999999998</v>
      </c>
      <c r="AP203" s="25">
        <v>21.535900000000002</v>
      </c>
      <c r="AQ203" s="25">
        <v>35.225200000000001</v>
      </c>
      <c r="AR203" s="25">
        <v>35.793399999999998</v>
      </c>
      <c r="AS203" s="26"/>
      <c r="AT203" s="27"/>
      <c r="AU203" s="27"/>
      <c r="AW203" s="28">
        <f t="shared" si="43"/>
        <v>3.2255179937529133E-2</v>
      </c>
      <c r="AX203" s="28">
        <f t="array" ref="AX203">AVERAGE(AK203:AK208/AJ203:AJ208) - AVERAGE(Q203:Q208/P203:P208)</f>
        <v>3.7209162779749949E-2</v>
      </c>
      <c r="AZ203" s="29">
        <f>IF( OR(ISBLANK(Q203:Q208),ISBLANK(AK203:AK208), ISBLANK(T203:T208),ISBLANK(AN203:AN208)), "·", bdRateExtend( Q203:Q208,T203:T208, AK203:AK208,AN203:AN208))</f>
        <v>0</v>
      </c>
      <c r="BA203" s="29">
        <f>IF( OR(ISBLANK(Q203:Q208),ISBLANK(AK203:AK208), ISBLANK(U203:U208),ISBLANK(AO203:AO208)), "·", bdRateExtend( Q203:Q208,U203:U208, AK203:AK208,AO203:AO208))</f>
        <v>0</v>
      </c>
      <c r="BB203" s="29">
        <f>IF( OR(ISBLANK(R203:R208),ISBLANK(AL203:AL208), ISBLANK(V203:V208),ISBLANK(AP203:AP208)), "·", bdRateExtend( R203:R208,V203:V208, AL203:AL208,AP203:AP208))</f>
        <v>-9.6460965805271859E-2</v>
      </c>
      <c r="BC203" s="29">
        <f>IF( OR(ISBLANK(R203:R208),ISBLANK(AL203:AL208), ISBLANK(W203:W208),ISBLANK(AQ203:AQ208)), "·", bdRateExtend( R203:R208,W203:W208, AL203:AL208,AQ203:AQ208))</f>
        <v>0.16731704129524849</v>
      </c>
      <c r="BD203" s="29">
        <f>IF( OR(ISBLANK(R203:R208),ISBLANK(AL203:AL208), ISBLANK(X203:X208),ISBLANK(AR203:AR208)), "·", bdRateExtend( R203:R208,X203:X208, AL203:AL208,AR203:AR208))</f>
        <v>0.39995662539542698</v>
      </c>
      <c r="BE203" s="30"/>
      <c r="BG203" s="29">
        <f>IF( OR(ISBLANK(P203:P208),ISBLANK(AJ203:AJ208), ISBLANK(T203:T208),ISBLANK(AN203:AN208)), "·", bdRateExtend( P203:P208,T203:T208, AJ203:AJ208,AN203:AN208))</f>
        <v>-4.0627379191408464E-2</v>
      </c>
      <c r="BH203" s="29">
        <f>IF( OR(ISBLANK(P203:P208),ISBLANK(AJ203:AJ208), ISBLANK(U203:U208),ISBLANK(AO203:AO208)), "·", bdRateExtend( P203:P208,U203:U208, AJ203:AJ208,AO203:AO208))</f>
        <v>-4.0607089724701728E-2</v>
      </c>
      <c r="BI203" s="29">
        <f>IF( OR(ISBLANK(P203:P208),ISBLANK(AJ203:AJ208), ISBLANK(V203:V208),ISBLANK(AP203:AP208)), "·", bdRateExtend( P203:P208,V203:V208, AJ203:AJ208,AP203:AP208))</f>
        <v>0.35085046951683263</v>
      </c>
      <c r="BJ203" s="29">
        <f>IF( OR(ISBLANK(P203:P208),ISBLANK(AJ203:AJ208), ISBLANK(W203:W208),ISBLANK(AQ203:AQ208)), "·", bdRateExtend( P203:P208,W203:W208, AJ203:AJ208,AQ203:AQ208))</f>
        <v>0.75779993122164302</v>
      </c>
      <c r="BK203" s="29">
        <f>IF( OR(ISBLANK(P203:P208),ISBLANK(AJ203:AJ208), ISBLANK(X203:X208),ISBLANK(AR203:AR208)), "·", bdRateExtend( P203:P208,X203:X208, AJ203:AJ208,AR203:AR208))</f>
        <v>1.0253869966060534</v>
      </c>
      <c r="BL203" s="30"/>
    </row>
    <row r="204" spans="1:64" outlineLevel="1" x14ac:dyDescent="0.15">
      <c r="A204" s="31"/>
      <c r="B204" s="31" t="s">
        <v>330</v>
      </c>
      <c r="C204" s="32" t="s">
        <v>226</v>
      </c>
      <c r="D204" s="31">
        <v>72145549</v>
      </c>
      <c r="E204" s="33">
        <v>20</v>
      </c>
      <c r="F204" s="32">
        <v>1</v>
      </c>
      <c r="G204" s="32"/>
      <c r="I204" s="34" t="str">
        <f t="shared" si="33"/>
        <v>·</v>
      </c>
      <c r="J204" s="35">
        <f t="shared" si="34"/>
        <v>0.29830574856392039</v>
      </c>
      <c r="K204" s="35">
        <f t="shared" si="35"/>
        <v>0.27369727271740629</v>
      </c>
      <c r="L204" s="35">
        <f t="shared" si="36"/>
        <v>2.457920169129214E-2</v>
      </c>
      <c r="M204" s="36"/>
      <c r="N204" s="35">
        <f t="shared" si="37"/>
        <v>1.4101866230289253</v>
      </c>
      <c r="O204" s="37">
        <v>15261407</v>
      </c>
      <c r="P204" s="38">
        <v>21521432</v>
      </c>
      <c r="Q204" s="38">
        <v>19746040</v>
      </c>
      <c r="R204" s="38">
        <v>1773280</v>
      </c>
      <c r="S204" s="39"/>
      <c r="T204" s="40">
        <v>83.040700000000001</v>
      </c>
      <c r="U204" s="40">
        <v>86.787599999999998</v>
      </c>
      <c r="V204" s="40">
        <v>24.143999999999998</v>
      </c>
      <c r="W204" s="40">
        <v>37.942599999999999</v>
      </c>
      <c r="X204" s="40">
        <v>38.578899999999997</v>
      </c>
      <c r="Y204" s="41"/>
      <c r="Z204" s="42"/>
      <c r="AA204" s="42"/>
      <c r="AC204" s="34" t="str">
        <f t="shared" si="38"/>
        <v>·</v>
      </c>
      <c r="AD204" s="35">
        <f t="shared" si="39"/>
        <v>0.28457860927775325</v>
      </c>
      <c r="AE204" s="35">
        <f t="shared" si="40"/>
        <v>0.27369727271740629</v>
      </c>
      <c r="AF204" s="35">
        <f t="shared" si="41"/>
        <v>1.085217329207655E-2</v>
      </c>
      <c r="AG204" s="36"/>
      <c r="AH204" s="35">
        <f t="shared" si="42"/>
        <v>1.3452940479210076</v>
      </c>
      <c r="AI204" s="37">
        <v>15261407</v>
      </c>
      <c r="AJ204" s="38">
        <v>20531080</v>
      </c>
      <c r="AK204" s="38">
        <v>19746040</v>
      </c>
      <c r="AL204" s="38">
        <v>782936</v>
      </c>
      <c r="AM204" s="39"/>
      <c r="AN204" s="40">
        <v>83.040700000000001</v>
      </c>
      <c r="AO204" s="40">
        <v>86.787599999999998</v>
      </c>
      <c r="AP204" s="40">
        <v>23.3537</v>
      </c>
      <c r="AQ204" s="40">
        <v>37.084899999999998</v>
      </c>
      <c r="AR204" s="40">
        <v>37.464799999999997</v>
      </c>
      <c r="AS204" s="41"/>
      <c r="AT204" s="42"/>
      <c r="AU204" s="42"/>
      <c r="AW204" s="43">
        <f t="shared" si="43"/>
        <v>4.4257475231986088E-2</v>
      </c>
      <c r="AX204" s="43"/>
      <c r="AZ204" s="44"/>
      <c r="BA204" s="44"/>
      <c r="BB204" s="44"/>
      <c r="BC204" s="44"/>
      <c r="BD204" s="44"/>
      <c r="BE204" s="45"/>
      <c r="BG204" s="44"/>
      <c r="BH204" s="44"/>
      <c r="BI204" s="44"/>
      <c r="BJ204" s="44"/>
      <c r="BK204" s="44"/>
      <c r="BL204" s="45"/>
    </row>
    <row r="205" spans="1:64" outlineLevel="1" x14ac:dyDescent="0.15">
      <c r="A205" s="16"/>
      <c r="B205" s="16" t="s">
        <v>330</v>
      </c>
      <c r="C205" s="17" t="s">
        <v>227</v>
      </c>
      <c r="D205" s="16">
        <v>72145549</v>
      </c>
      <c r="E205" s="18">
        <v>20</v>
      </c>
      <c r="F205" s="17">
        <v>1</v>
      </c>
      <c r="G205" s="17"/>
      <c r="I205" s="19" t="str">
        <f t="shared" si="33"/>
        <v>·</v>
      </c>
      <c r="J205" s="20">
        <f t="shared" si="34"/>
        <v>4.3080412348099255</v>
      </c>
      <c r="K205" s="20">
        <f t="shared" si="35"/>
        <v>3.9901826791837149</v>
      </c>
      <c r="L205" s="20">
        <f t="shared" si="36"/>
        <v>0.31775931180453004</v>
      </c>
      <c r="M205" s="21"/>
      <c r="N205" s="20">
        <f t="shared" si="37"/>
        <v>4.3198444485733276</v>
      </c>
      <c r="O205" s="22">
        <v>71948424</v>
      </c>
      <c r="P205" s="23">
        <v>310806000</v>
      </c>
      <c r="Q205" s="23">
        <v>287873920</v>
      </c>
      <c r="R205" s="23">
        <v>22924920</v>
      </c>
      <c r="S205" s="24"/>
      <c r="T205" s="25">
        <v>95.0779</v>
      </c>
      <c r="U205" s="25">
        <v>99.849599999999995</v>
      </c>
      <c r="V205" s="25">
        <v>28.844899999999999</v>
      </c>
      <c r="W205" s="25">
        <v>40.822800000000001</v>
      </c>
      <c r="X205" s="25">
        <v>41.820300000000003</v>
      </c>
      <c r="Y205" s="26"/>
      <c r="Z205" s="27"/>
      <c r="AA205" s="27"/>
      <c r="AC205" s="19" t="str">
        <f t="shared" si="38"/>
        <v>·</v>
      </c>
      <c r="AD205" s="20">
        <f t="shared" si="39"/>
        <v>4.14728598156485</v>
      </c>
      <c r="AE205" s="20">
        <f t="shared" si="40"/>
        <v>3.9901826791837149</v>
      </c>
      <c r="AF205" s="20">
        <f t="shared" si="41"/>
        <v>0.15700416944640619</v>
      </c>
      <c r="AG205" s="21"/>
      <c r="AH205" s="20">
        <f t="shared" si="42"/>
        <v>4.1586487565036867</v>
      </c>
      <c r="AI205" s="22">
        <v>71948424</v>
      </c>
      <c r="AJ205" s="23">
        <v>299208224</v>
      </c>
      <c r="AK205" s="23">
        <v>287873920</v>
      </c>
      <c r="AL205" s="23">
        <v>11327152</v>
      </c>
      <c r="AM205" s="24"/>
      <c r="AN205" s="25">
        <v>95.0779</v>
      </c>
      <c r="AO205" s="25">
        <v>99.849599999999995</v>
      </c>
      <c r="AP205" s="25">
        <v>27.4207</v>
      </c>
      <c r="AQ205" s="25">
        <v>39.512500000000003</v>
      </c>
      <c r="AR205" s="25">
        <v>40.305</v>
      </c>
      <c r="AS205" s="26"/>
      <c r="AT205" s="27"/>
      <c r="AU205" s="27"/>
      <c r="AW205" s="28">
        <f t="shared" si="43"/>
        <v>3.5901625944456228E-2</v>
      </c>
      <c r="AX205" s="28"/>
      <c r="AZ205" s="29"/>
      <c r="BA205" s="29"/>
      <c r="BB205" s="29"/>
      <c r="BC205" s="29"/>
      <c r="BD205" s="29"/>
      <c r="BE205" s="30"/>
      <c r="BG205" s="29"/>
      <c r="BH205" s="29"/>
      <c r="BI205" s="29"/>
      <c r="BJ205" s="29"/>
      <c r="BK205" s="29"/>
      <c r="BL205" s="30"/>
    </row>
    <row r="206" spans="1:64" outlineLevel="1" x14ac:dyDescent="0.15">
      <c r="A206" s="31"/>
      <c r="B206" s="31" t="s">
        <v>330</v>
      </c>
      <c r="C206" s="32" t="s">
        <v>228</v>
      </c>
      <c r="D206" s="31">
        <v>72145549</v>
      </c>
      <c r="E206" s="33">
        <v>20</v>
      </c>
      <c r="F206" s="32">
        <v>1</v>
      </c>
      <c r="G206" s="32"/>
      <c r="I206" s="34" t="str">
        <f t="shared" si="33"/>
        <v>·</v>
      </c>
      <c r="J206" s="35">
        <f t="shared" si="34"/>
        <v>7.0737793678720218</v>
      </c>
      <c r="K206" s="35">
        <f t="shared" si="35"/>
        <v>6.2881574024753766</v>
      </c>
      <c r="L206" s="35">
        <f t="shared" si="36"/>
        <v>0.78552272157496505</v>
      </c>
      <c r="M206" s="36"/>
      <c r="N206" s="35">
        <f t="shared" si="37"/>
        <v>7.075522613521942</v>
      </c>
      <c r="O206" s="37">
        <v>72127774</v>
      </c>
      <c r="P206" s="38">
        <v>510341696</v>
      </c>
      <c r="Q206" s="38">
        <v>453662568</v>
      </c>
      <c r="R206" s="38">
        <v>56671968</v>
      </c>
      <c r="S206" s="39"/>
      <c r="T206" s="40">
        <v>101.093</v>
      </c>
      <c r="U206" s="40">
        <v>105.864</v>
      </c>
      <c r="V206" s="40">
        <v>31.926500000000001</v>
      </c>
      <c r="W206" s="40">
        <v>42.653300000000002</v>
      </c>
      <c r="X206" s="40">
        <v>43.6706</v>
      </c>
      <c r="Y206" s="41"/>
      <c r="Z206" s="42"/>
      <c r="AA206" s="42"/>
      <c r="AC206" s="34" t="str">
        <f t="shared" si="38"/>
        <v>·</v>
      </c>
      <c r="AD206" s="35">
        <f t="shared" si="39"/>
        <v>6.7481578385383134</v>
      </c>
      <c r="AE206" s="35">
        <f t="shared" si="40"/>
        <v>6.2881574024753766</v>
      </c>
      <c r="AF206" s="35">
        <f t="shared" si="41"/>
        <v>0.45990130312820821</v>
      </c>
      <c r="AG206" s="36"/>
      <c r="AH206" s="35">
        <f t="shared" si="42"/>
        <v>6.7498208387798018</v>
      </c>
      <c r="AI206" s="37">
        <v>72127774</v>
      </c>
      <c r="AJ206" s="38">
        <v>486849552</v>
      </c>
      <c r="AK206" s="38">
        <v>453662568</v>
      </c>
      <c r="AL206" s="38">
        <v>33179832</v>
      </c>
      <c r="AM206" s="39"/>
      <c r="AN206" s="40">
        <v>101.093</v>
      </c>
      <c r="AO206" s="40">
        <v>105.864</v>
      </c>
      <c r="AP206" s="40">
        <v>30.262699999999999</v>
      </c>
      <c r="AQ206" s="40">
        <v>41.0548</v>
      </c>
      <c r="AR206" s="40">
        <v>41.929000000000002</v>
      </c>
      <c r="AS206" s="41"/>
      <c r="AT206" s="42"/>
      <c r="AU206" s="42"/>
      <c r="AW206" s="43">
        <f t="shared" si="43"/>
        <v>4.2894318661246933E-2</v>
      </c>
      <c r="AX206" s="43"/>
      <c r="AZ206" s="44"/>
      <c r="BA206" s="44"/>
      <c r="BB206" s="44"/>
      <c r="BC206" s="44"/>
      <c r="BD206" s="44"/>
      <c r="BE206" s="45"/>
      <c r="BG206" s="44"/>
      <c r="BH206" s="44"/>
      <c r="BI206" s="44"/>
      <c r="BJ206" s="44"/>
      <c r="BK206" s="44"/>
      <c r="BL206" s="45"/>
    </row>
    <row r="207" spans="1:64" outlineLevel="1" x14ac:dyDescent="0.15">
      <c r="A207" s="16"/>
      <c r="B207" s="16" t="s">
        <v>330</v>
      </c>
      <c r="C207" s="17" t="s">
        <v>229</v>
      </c>
      <c r="D207" s="16">
        <v>72145549</v>
      </c>
      <c r="E207" s="18">
        <v>20</v>
      </c>
      <c r="F207" s="17">
        <v>1</v>
      </c>
      <c r="G207" s="17"/>
      <c r="I207" s="19" t="str">
        <f t="shared" si="33"/>
        <v>·</v>
      </c>
      <c r="J207" s="20">
        <f t="shared" si="34"/>
        <v>13.280406362976045</v>
      </c>
      <c r="K207" s="20">
        <f t="shared" si="35"/>
        <v>11.572861854582325</v>
      </c>
      <c r="L207" s="20">
        <f t="shared" si="36"/>
        <v>1.7074451536850874</v>
      </c>
      <c r="M207" s="21"/>
      <c r="N207" s="20">
        <f t="shared" si="37"/>
        <v>13.280463979631309</v>
      </c>
      <c r="O207" s="22">
        <v>72145236</v>
      </c>
      <c r="P207" s="23">
        <v>958122208</v>
      </c>
      <c r="Q207" s="23">
        <v>834930472</v>
      </c>
      <c r="R207" s="23">
        <v>123184568</v>
      </c>
      <c r="S207" s="24"/>
      <c r="T207" s="25">
        <v>113.009</v>
      </c>
      <c r="U207" s="25">
        <v>117.779</v>
      </c>
      <c r="V207" s="25">
        <v>36.147500000000001</v>
      </c>
      <c r="W207" s="25">
        <v>44.764400000000002</v>
      </c>
      <c r="X207" s="25">
        <v>45.713299999999997</v>
      </c>
      <c r="Y207" s="26"/>
      <c r="Z207" s="27"/>
      <c r="AA207" s="27"/>
      <c r="AC207" s="19" t="str">
        <f t="shared" si="38"/>
        <v>·</v>
      </c>
      <c r="AD207" s="20">
        <f t="shared" si="39"/>
        <v>12.802917280454821</v>
      </c>
      <c r="AE207" s="20">
        <f t="shared" si="40"/>
        <v>11.572861854582325</v>
      </c>
      <c r="AF207" s="20">
        <f t="shared" si="41"/>
        <v>1.2299561820508151</v>
      </c>
      <c r="AG207" s="21"/>
      <c r="AH207" s="20">
        <f t="shared" si="42"/>
        <v>12.802972825537642</v>
      </c>
      <c r="AI207" s="22">
        <v>72145236</v>
      </c>
      <c r="AJ207" s="23">
        <v>923673496</v>
      </c>
      <c r="AK207" s="23">
        <v>834930472</v>
      </c>
      <c r="AL207" s="23">
        <v>88735864</v>
      </c>
      <c r="AM207" s="24"/>
      <c r="AN207" s="25">
        <v>113.009</v>
      </c>
      <c r="AO207" s="25">
        <v>117.779</v>
      </c>
      <c r="AP207" s="25">
        <v>34.653700000000001</v>
      </c>
      <c r="AQ207" s="25">
        <v>43.089599999999997</v>
      </c>
      <c r="AR207" s="25">
        <v>43.877299999999998</v>
      </c>
      <c r="AS207" s="26"/>
      <c r="AT207" s="27"/>
      <c r="AU207" s="27"/>
      <c r="AW207" s="28">
        <f t="shared" si="43"/>
        <v>3.250004120098704E-2</v>
      </c>
      <c r="AX207" s="28"/>
      <c r="AZ207" s="29"/>
      <c r="BA207" s="29"/>
      <c r="BB207" s="29"/>
      <c r="BC207" s="29"/>
      <c r="BD207" s="29"/>
      <c r="BE207" s="30"/>
      <c r="BG207" s="29"/>
      <c r="BH207" s="29"/>
      <c r="BI207" s="29"/>
      <c r="BJ207" s="29"/>
      <c r="BK207" s="29"/>
      <c r="BL207" s="30"/>
    </row>
    <row r="208" spans="1:64" outlineLevel="1" x14ac:dyDescent="0.15">
      <c r="A208" s="31"/>
      <c r="B208" s="46" t="s">
        <v>330</v>
      </c>
      <c r="C208" s="47" t="s">
        <v>230</v>
      </c>
      <c r="D208" s="46">
        <v>72145549</v>
      </c>
      <c r="E208" s="48">
        <v>20</v>
      </c>
      <c r="F208" s="47">
        <v>1</v>
      </c>
      <c r="G208" s="47"/>
      <c r="I208" s="49" t="str">
        <f t="shared" si="33"/>
        <v>·</v>
      </c>
      <c r="J208" s="50">
        <f t="shared" si="34"/>
        <v>17.568437160274435</v>
      </c>
      <c r="K208" s="50">
        <f t="shared" si="35"/>
        <v>14.521709828557823</v>
      </c>
      <c r="L208" s="50">
        <f t="shared" si="36"/>
        <v>3.0466278661210269</v>
      </c>
      <c r="M208" s="51"/>
      <c r="N208" s="50">
        <f t="shared" si="37"/>
        <v>17.568445196233679</v>
      </c>
      <c r="O208" s="52">
        <v>72145516</v>
      </c>
      <c r="P208" s="53">
        <v>1267484544</v>
      </c>
      <c r="Q208" s="53">
        <v>1047676728</v>
      </c>
      <c r="R208" s="53">
        <v>219800640</v>
      </c>
      <c r="S208" s="54"/>
      <c r="T208" s="55">
        <v>118.65</v>
      </c>
      <c r="U208" s="55">
        <v>123.42100000000001</v>
      </c>
      <c r="V208" s="55">
        <v>41.2926</v>
      </c>
      <c r="W208" s="55">
        <v>47.250900000000001</v>
      </c>
      <c r="X208" s="55">
        <v>47.904800000000002</v>
      </c>
      <c r="Y208" s="56"/>
      <c r="Z208" s="57"/>
      <c r="AA208" s="57"/>
      <c r="AC208" s="49" t="str">
        <f t="shared" si="38"/>
        <v>·</v>
      </c>
      <c r="AD208" s="50">
        <f t="shared" si="39"/>
        <v>16.846026412523383</v>
      </c>
      <c r="AE208" s="50">
        <f t="shared" si="40"/>
        <v>14.521709828557823</v>
      </c>
      <c r="AF208" s="50">
        <f t="shared" si="41"/>
        <v>2.324217229256929</v>
      </c>
      <c r="AG208" s="51"/>
      <c r="AH208" s="50">
        <f t="shared" si="42"/>
        <v>16.846034118045534</v>
      </c>
      <c r="AI208" s="52">
        <v>72145516</v>
      </c>
      <c r="AJ208" s="53">
        <v>1215365824</v>
      </c>
      <c r="AK208" s="53">
        <v>1047676728</v>
      </c>
      <c r="AL208" s="53">
        <v>167681928</v>
      </c>
      <c r="AM208" s="54"/>
      <c r="AN208" s="55">
        <v>118.65</v>
      </c>
      <c r="AO208" s="55">
        <v>123.42100000000001</v>
      </c>
      <c r="AP208" s="55">
        <v>39.545099999999998</v>
      </c>
      <c r="AQ208" s="55">
        <v>45.4086</v>
      </c>
      <c r="AR208" s="55">
        <v>45.995199999999997</v>
      </c>
      <c r="AS208" s="56"/>
      <c r="AT208" s="57"/>
      <c r="AU208" s="57"/>
      <c r="AW208" s="58">
        <f t="shared" si="43"/>
        <v>3.5446335702293719E-2</v>
      </c>
      <c r="AX208" s="58"/>
      <c r="AZ208" s="59"/>
      <c r="BA208" s="59"/>
      <c r="BB208" s="59"/>
      <c r="BC208" s="59"/>
      <c r="BD208" s="59"/>
      <c r="BE208" s="60"/>
      <c r="BG208" s="59"/>
      <c r="BH208" s="59"/>
      <c r="BI208" s="59"/>
      <c r="BJ208" s="59"/>
      <c r="BK208" s="59"/>
      <c r="BL208" s="60"/>
    </row>
    <row r="209" spans="1:64" collapsed="1" x14ac:dyDescent="0.15">
      <c r="A209" s="16"/>
      <c r="B209" s="16" t="s">
        <v>333</v>
      </c>
      <c r="C209" s="17" t="s">
        <v>225</v>
      </c>
      <c r="D209" s="16">
        <v>4187594</v>
      </c>
      <c r="E209" s="18">
        <v>14</v>
      </c>
      <c r="F209" s="17">
        <v>1</v>
      </c>
      <c r="G209" s="17"/>
      <c r="I209" s="19" t="str">
        <f t="shared" si="33"/>
        <v>·</v>
      </c>
      <c r="J209" s="20">
        <f t="shared" si="34"/>
        <v>3.5820091441529432E-3</v>
      </c>
      <c r="K209" s="20">
        <f t="shared" si="35"/>
        <v>3.0375437542416958E-3</v>
      </c>
      <c r="L209" s="20">
        <f t="shared" si="36"/>
        <v>4.2602028754459002E-4</v>
      </c>
      <c r="M209" s="21"/>
      <c r="N209" s="20">
        <f t="shared" si="37"/>
        <v>1.3584495562398116</v>
      </c>
      <c r="O209" s="22">
        <v>11042</v>
      </c>
      <c r="P209" s="23">
        <v>15000</v>
      </c>
      <c r="Q209" s="23">
        <v>12720</v>
      </c>
      <c r="R209" s="23">
        <v>1784</v>
      </c>
      <c r="S209" s="24"/>
      <c r="T209" s="25">
        <v>46.768000000000001</v>
      </c>
      <c r="U209" s="25">
        <v>53.086399999999998</v>
      </c>
      <c r="V209" s="25">
        <v>13.564</v>
      </c>
      <c r="W209" s="25">
        <v>31.468499999999999</v>
      </c>
      <c r="X209" s="25">
        <v>29.883099999999999</v>
      </c>
      <c r="Y209" s="26"/>
      <c r="Z209" s="27"/>
      <c r="AA209" s="27"/>
      <c r="AC209" s="19" t="str">
        <f t="shared" si="38"/>
        <v>·</v>
      </c>
      <c r="AD209" s="20">
        <f t="shared" si="39"/>
        <v>3.3030900321282339E-3</v>
      </c>
      <c r="AE209" s="20">
        <f t="shared" si="40"/>
        <v>3.0375437542416958E-3</v>
      </c>
      <c r="AF209" s="20">
        <f t="shared" si="41"/>
        <v>1.4901158039676244E-4</v>
      </c>
      <c r="AG209" s="21"/>
      <c r="AH209" s="20">
        <f t="shared" si="42"/>
        <v>1.252671617460605</v>
      </c>
      <c r="AI209" s="22">
        <v>11042</v>
      </c>
      <c r="AJ209" s="23">
        <v>13832</v>
      </c>
      <c r="AK209" s="23">
        <v>12720</v>
      </c>
      <c r="AL209" s="23">
        <v>624</v>
      </c>
      <c r="AM209" s="24"/>
      <c r="AN209" s="25">
        <v>46.768000000000001</v>
      </c>
      <c r="AO209" s="25">
        <v>53.086399999999998</v>
      </c>
      <c r="AP209" s="25">
        <v>13.315</v>
      </c>
      <c r="AQ209" s="25">
        <v>32.429400000000001</v>
      </c>
      <c r="AR209" s="25">
        <v>29.4742</v>
      </c>
      <c r="AS209" s="26"/>
      <c r="AT209" s="27"/>
      <c r="AU209" s="27"/>
      <c r="AW209" s="28">
        <f t="shared" si="43"/>
        <v>7.1606709080393349E-2</v>
      </c>
      <c r="AX209" s="28">
        <f t="array" ref="AX209">AVERAGE(AK209:AK214/AJ209:AJ214) - AVERAGE(Q209:Q214/P209:P214)</f>
        <v>6.9811829154096006E-2</v>
      </c>
      <c r="AZ209" s="29">
        <f>IF( OR(ISBLANK(Q209:Q214),ISBLANK(AK209:AK214), ISBLANK(T209:T214),ISBLANK(AN209:AN214)), "·", bdRateExtend( Q209:Q214,T209:T214, AK209:AK214,AN209:AN214))</f>
        <v>0</v>
      </c>
      <c r="BA209" s="29">
        <f>IF( OR(ISBLANK(Q209:Q214),ISBLANK(AK209:AK214), ISBLANK(U209:U214),ISBLANK(AO209:AO214)), "·", bdRateExtend( Q209:Q214,U209:U214, AK209:AK214,AO209:AO214))</f>
        <v>0</v>
      </c>
      <c r="BB209" s="29">
        <f>IF( OR(ISBLANK(R209:R214),ISBLANK(AL209:AL214), ISBLANK(V209:V214),ISBLANK(AP209:AP214)), "·", bdRateExtend( R209:R214,V209:V214, AL209:AL214,AP209:AP214))</f>
        <v>-0.19536203324976764</v>
      </c>
      <c r="BC209" s="29">
        <f>IF( OR(ISBLANK(R209:R214),ISBLANK(AL209:AL214), ISBLANK(W209:W214),ISBLANK(AQ209:AQ214)), "·", bdRateExtend( R209:R214,W209:W214, AL209:AL214,AQ209:AQ214))</f>
        <v>4.8978616795167795E-3</v>
      </c>
      <c r="BD209" s="29">
        <f>IF( OR(ISBLANK(R209:R214),ISBLANK(AL209:AL214), ISBLANK(X209:X214),ISBLANK(AR209:AR214)), "·", bdRateExtend( R209:R214,X209:X214, AL209:AL214,AR209:AR214))</f>
        <v>0.13946643193472452</v>
      </c>
      <c r="BE209" s="30"/>
      <c r="BG209" s="29">
        <f>IF( OR(ISBLANK(P209:P214),ISBLANK(AJ209:AJ214), ISBLANK(T209:T214),ISBLANK(AN209:AN214)), "·", bdRateExtend( P209:P214,T209:T214, AJ209:AJ214,AN209:AN214))</f>
        <v>-0.10911321203380886</v>
      </c>
      <c r="BH209" s="29">
        <f>IF( OR(ISBLANK(P209:P214),ISBLANK(AJ209:AJ214), ISBLANK(U209:U214),ISBLANK(AO209:AO214)), "·", bdRateExtend( P209:P214,U209:U214, AJ209:AJ214,AO209:AO214))</f>
        <v>-0.10923880872578384</v>
      </c>
      <c r="BI209" s="29">
        <f>IF( OR(ISBLANK(P209:P214),ISBLANK(AJ209:AJ214), ISBLANK(V209:V214),ISBLANK(AP209:AP214)), "·", bdRateExtend( P209:P214,V209:V214, AJ209:AJ214,AP209:AP214))</f>
        <v>-5.3530093052389982E-2</v>
      </c>
      <c r="BJ209" s="29">
        <f>IF( OR(ISBLANK(P209:P214),ISBLANK(AJ209:AJ214), ISBLANK(W209:W214),ISBLANK(AQ209:AQ214)), "·", bdRateExtend( P209:P214,W209:W214, AJ209:AJ214,AQ209:AQ214))</f>
        <v>0.25279741017944146</v>
      </c>
      <c r="BK209" s="29">
        <f>IF( OR(ISBLANK(P209:P214),ISBLANK(AJ209:AJ214), ISBLANK(X209:X214),ISBLANK(AR209:AR214)), "·", bdRateExtend( P209:P214,X209:X214, AJ209:AJ214,AR209:AR214))</f>
        <v>0.32732182803310539</v>
      </c>
      <c r="BL209" s="30"/>
    </row>
    <row r="210" spans="1:64" outlineLevel="1" x14ac:dyDescent="0.15">
      <c r="A210" s="31"/>
      <c r="B210" s="31" t="s">
        <v>333</v>
      </c>
      <c r="C210" s="32" t="s">
        <v>226</v>
      </c>
      <c r="D210" s="31">
        <v>4187594</v>
      </c>
      <c r="E210" s="33">
        <v>14</v>
      </c>
      <c r="F210" s="32">
        <v>1</v>
      </c>
      <c r="G210" s="32"/>
      <c r="I210" s="34" t="str">
        <f t="shared" si="33"/>
        <v>·</v>
      </c>
      <c r="J210" s="35">
        <f t="shared" si="34"/>
        <v>2.1134809152940807E-2</v>
      </c>
      <c r="K210" s="35">
        <f t="shared" si="35"/>
        <v>1.5250762132145572E-2</v>
      </c>
      <c r="L210" s="35">
        <f t="shared" si="36"/>
        <v>5.7656019184285775E-3</v>
      </c>
      <c r="M210" s="36"/>
      <c r="N210" s="35">
        <f t="shared" si="37"/>
        <v>1.7389527458492975</v>
      </c>
      <c r="O210" s="37">
        <v>50895</v>
      </c>
      <c r="P210" s="38">
        <v>88504</v>
      </c>
      <c r="Q210" s="38">
        <v>63864</v>
      </c>
      <c r="R210" s="38">
        <v>24144</v>
      </c>
      <c r="S210" s="39"/>
      <c r="T210" s="40">
        <v>52.935200000000002</v>
      </c>
      <c r="U210" s="40">
        <v>58.7654</v>
      </c>
      <c r="V210" s="40">
        <v>14.6534</v>
      </c>
      <c r="W210" s="40">
        <v>33.877899999999997</v>
      </c>
      <c r="X210" s="40">
        <v>30.742100000000001</v>
      </c>
      <c r="Y210" s="41"/>
      <c r="Z210" s="42"/>
      <c r="AA210" s="42"/>
      <c r="AC210" s="34" t="str">
        <f t="shared" si="38"/>
        <v>·</v>
      </c>
      <c r="AD210" s="35">
        <f t="shared" si="39"/>
        <v>1.841439260826145E-2</v>
      </c>
      <c r="AE210" s="35">
        <f t="shared" si="40"/>
        <v>1.5250762132145572E-2</v>
      </c>
      <c r="AF210" s="35">
        <f t="shared" si="41"/>
        <v>3.0470957786261038E-3</v>
      </c>
      <c r="AG210" s="36"/>
      <c r="AH210" s="35">
        <f t="shared" si="42"/>
        <v>1.5151193633952256</v>
      </c>
      <c r="AI210" s="37">
        <v>50895</v>
      </c>
      <c r="AJ210" s="38">
        <v>77112</v>
      </c>
      <c r="AK210" s="38">
        <v>63864</v>
      </c>
      <c r="AL210" s="38">
        <v>12760</v>
      </c>
      <c r="AM210" s="39"/>
      <c r="AN210" s="40">
        <v>52.935200000000002</v>
      </c>
      <c r="AO210" s="40">
        <v>58.7654</v>
      </c>
      <c r="AP210" s="40">
        <v>14.448600000000001</v>
      </c>
      <c r="AQ210" s="40">
        <v>33.571100000000001</v>
      </c>
      <c r="AR210" s="40">
        <v>30.4816</v>
      </c>
      <c r="AS210" s="41"/>
      <c r="AT210" s="42"/>
      <c r="AU210" s="42"/>
      <c r="AW210" s="43">
        <f t="shared" si="43"/>
        <v>0.10660344164180491</v>
      </c>
      <c r="AX210" s="43"/>
      <c r="AZ210" s="44"/>
      <c r="BA210" s="44"/>
      <c r="BB210" s="44"/>
      <c r="BC210" s="44"/>
      <c r="BD210" s="44"/>
      <c r="BE210" s="45"/>
      <c r="BG210" s="44"/>
      <c r="BH210" s="44"/>
      <c r="BI210" s="44"/>
      <c r="BJ210" s="44"/>
      <c r="BK210" s="44"/>
      <c r="BL210" s="45"/>
    </row>
    <row r="211" spans="1:64" outlineLevel="1" x14ac:dyDescent="0.15">
      <c r="A211" s="16"/>
      <c r="B211" s="16" t="s">
        <v>333</v>
      </c>
      <c r="C211" s="17" t="s">
        <v>227</v>
      </c>
      <c r="D211" s="16">
        <v>4187594</v>
      </c>
      <c r="E211" s="18">
        <v>14</v>
      </c>
      <c r="F211" s="17">
        <v>1</v>
      </c>
      <c r="G211" s="17"/>
      <c r="I211" s="19" t="str">
        <f t="shared" si="33"/>
        <v>·</v>
      </c>
      <c r="J211" s="20">
        <f t="shared" si="34"/>
        <v>0.14312371256621345</v>
      </c>
      <c r="K211" s="20">
        <f t="shared" si="35"/>
        <v>7.7075284757786924E-2</v>
      </c>
      <c r="L211" s="20">
        <f t="shared" si="36"/>
        <v>6.5928072301182972E-2</v>
      </c>
      <c r="M211" s="21"/>
      <c r="N211" s="20">
        <f t="shared" si="37"/>
        <v>2.8607895829653991</v>
      </c>
      <c r="O211" s="22">
        <v>209503</v>
      </c>
      <c r="P211" s="23">
        <v>599344</v>
      </c>
      <c r="Q211" s="23">
        <v>322760</v>
      </c>
      <c r="R211" s="23">
        <v>276080</v>
      </c>
      <c r="S211" s="24"/>
      <c r="T211" s="25">
        <v>58.939100000000003</v>
      </c>
      <c r="U211" s="25">
        <v>64.72</v>
      </c>
      <c r="V211" s="25">
        <v>16.119599999999998</v>
      </c>
      <c r="W211" s="25">
        <v>35.063400000000001</v>
      </c>
      <c r="X211" s="25">
        <v>32.148000000000003</v>
      </c>
      <c r="Y211" s="26"/>
      <c r="Z211" s="27"/>
      <c r="AA211" s="27"/>
      <c r="AC211" s="19" t="str">
        <f t="shared" si="38"/>
        <v>·</v>
      </c>
      <c r="AD211" s="20">
        <f t="shared" si="39"/>
        <v>0.12431959736306815</v>
      </c>
      <c r="AE211" s="20">
        <f t="shared" si="40"/>
        <v>7.7075284757786924E-2</v>
      </c>
      <c r="AF211" s="20">
        <f t="shared" si="41"/>
        <v>4.7125867502914559E-2</v>
      </c>
      <c r="AG211" s="21"/>
      <c r="AH211" s="20">
        <f t="shared" si="42"/>
        <v>2.4849286167739844</v>
      </c>
      <c r="AI211" s="22">
        <v>209503</v>
      </c>
      <c r="AJ211" s="23">
        <v>520600</v>
      </c>
      <c r="AK211" s="23">
        <v>322760</v>
      </c>
      <c r="AL211" s="23">
        <v>197344</v>
      </c>
      <c r="AM211" s="24"/>
      <c r="AN211" s="25">
        <v>58.939100000000003</v>
      </c>
      <c r="AO211" s="25">
        <v>64.72</v>
      </c>
      <c r="AP211" s="25">
        <v>16.1173</v>
      </c>
      <c r="AQ211" s="25">
        <v>34.740299999999998</v>
      </c>
      <c r="AR211" s="25">
        <v>31.698599999999999</v>
      </c>
      <c r="AS211" s="26"/>
      <c r="AT211" s="27"/>
      <c r="AU211" s="27"/>
      <c r="AW211" s="28">
        <f t="shared" si="43"/>
        <v>8.1454832158303847E-2</v>
      </c>
      <c r="AX211" s="28"/>
      <c r="AZ211" s="29"/>
      <c r="BA211" s="29"/>
      <c r="BB211" s="29"/>
      <c r="BC211" s="29"/>
      <c r="BD211" s="29"/>
      <c r="BE211" s="30"/>
      <c r="BG211" s="29"/>
      <c r="BH211" s="29"/>
      <c r="BI211" s="29"/>
      <c r="BJ211" s="29"/>
      <c r="BK211" s="29"/>
      <c r="BL211" s="30"/>
    </row>
    <row r="212" spans="1:64" outlineLevel="1" x14ac:dyDescent="0.15">
      <c r="A212" s="31"/>
      <c r="B212" s="31" t="s">
        <v>333</v>
      </c>
      <c r="C212" s="32" t="s">
        <v>228</v>
      </c>
      <c r="D212" s="31">
        <v>4187594</v>
      </c>
      <c r="E212" s="33">
        <v>14</v>
      </c>
      <c r="F212" s="32">
        <v>1</v>
      </c>
      <c r="G212" s="32"/>
      <c r="I212" s="34" t="str">
        <f t="shared" si="33"/>
        <v>·</v>
      </c>
      <c r="J212" s="35">
        <f t="shared" si="34"/>
        <v>2.5722665568820666</v>
      </c>
      <c r="K212" s="35">
        <f t="shared" si="35"/>
        <v>1.3942478664359534</v>
      </c>
      <c r="L212" s="35">
        <f t="shared" si="36"/>
        <v>1.1778601268413318</v>
      </c>
      <c r="M212" s="36"/>
      <c r="N212" s="35">
        <f t="shared" si="37"/>
        <v>5.6831791928557749</v>
      </c>
      <c r="O212" s="37">
        <v>1895349</v>
      </c>
      <c r="P212" s="38">
        <v>10771608</v>
      </c>
      <c r="Q212" s="38">
        <v>5838544</v>
      </c>
      <c r="R212" s="38">
        <v>4932400</v>
      </c>
      <c r="S212" s="39"/>
      <c r="T212" s="40">
        <v>70.962500000000006</v>
      </c>
      <c r="U212" s="40">
        <v>76.239900000000006</v>
      </c>
      <c r="V212" s="40">
        <v>20.264500000000002</v>
      </c>
      <c r="W212" s="40">
        <v>37.826900000000002</v>
      </c>
      <c r="X212" s="40">
        <v>35.281300000000002</v>
      </c>
      <c r="Y212" s="41"/>
      <c r="Z212" s="42"/>
      <c r="AA212" s="42"/>
      <c r="AC212" s="34" t="str">
        <f t="shared" si="38"/>
        <v>·</v>
      </c>
      <c r="AD212" s="35">
        <f t="shared" si="39"/>
        <v>2.3091006434721226</v>
      </c>
      <c r="AE212" s="35">
        <f t="shared" si="40"/>
        <v>1.3942478664359534</v>
      </c>
      <c r="AF212" s="35">
        <f t="shared" si="41"/>
        <v>0.91469612383626497</v>
      </c>
      <c r="AG212" s="36"/>
      <c r="AH212" s="35">
        <f t="shared" si="42"/>
        <v>5.1017390464764008</v>
      </c>
      <c r="AI212" s="37">
        <v>1895349</v>
      </c>
      <c r="AJ212" s="38">
        <v>9669576</v>
      </c>
      <c r="AK212" s="38">
        <v>5838544</v>
      </c>
      <c r="AL212" s="38">
        <v>3830376</v>
      </c>
      <c r="AM212" s="39"/>
      <c r="AN212" s="40">
        <v>70.962500000000006</v>
      </c>
      <c r="AO212" s="40">
        <v>76.239900000000006</v>
      </c>
      <c r="AP212" s="40">
        <v>20.132000000000001</v>
      </c>
      <c r="AQ212" s="40">
        <v>37.217700000000001</v>
      </c>
      <c r="AR212" s="40">
        <v>34.592100000000002</v>
      </c>
      <c r="AS212" s="41"/>
      <c r="AT212" s="42"/>
      <c r="AU212" s="42"/>
      <c r="AW212" s="43">
        <f t="shared" si="43"/>
        <v>6.1774720840469866E-2</v>
      </c>
      <c r="AX212" s="43"/>
      <c r="AZ212" s="44"/>
      <c r="BA212" s="44"/>
      <c r="BB212" s="44"/>
      <c r="BC212" s="44"/>
      <c r="BD212" s="44"/>
      <c r="BE212" s="45"/>
      <c r="BG212" s="44"/>
      <c r="BH212" s="44"/>
      <c r="BI212" s="44"/>
      <c r="BJ212" s="44"/>
      <c r="BK212" s="44"/>
      <c r="BL212" s="45"/>
    </row>
    <row r="213" spans="1:64" outlineLevel="1" x14ac:dyDescent="0.15">
      <c r="A213" s="16"/>
      <c r="B213" s="16" t="s">
        <v>333</v>
      </c>
      <c r="C213" s="17" t="s">
        <v>229</v>
      </c>
      <c r="D213" s="16">
        <v>4187594</v>
      </c>
      <c r="E213" s="18">
        <v>14</v>
      </c>
      <c r="F213" s="17">
        <v>1</v>
      </c>
      <c r="G213" s="17"/>
      <c r="I213" s="19" t="str">
        <f t="shared" si="33"/>
        <v>·</v>
      </c>
      <c r="J213" s="20">
        <f t="shared" si="34"/>
        <v>6.9933465374150403</v>
      </c>
      <c r="K213" s="20">
        <f t="shared" si="35"/>
        <v>3.8153842039127959</v>
      </c>
      <c r="L213" s="20">
        <f t="shared" si="36"/>
        <v>3.1777636513950491</v>
      </c>
      <c r="M213" s="21"/>
      <c r="N213" s="20">
        <f t="shared" si="37"/>
        <v>8.991621005393382</v>
      </c>
      <c r="O213" s="22">
        <v>3256954</v>
      </c>
      <c r="P213" s="23">
        <v>29285296</v>
      </c>
      <c r="Q213" s="23">
        <v>15977280</v>
      </c>
      <c r="R213" s="23">
        <v>13307184</v>
      </c>
      <c r="S213" s="24"/>
      <c r="T213" s="25">
        <v>76.883399999999995</v>
      </c>
      <c r="U213" s="25">
        <v>81.8018</v>
      </c>
      <c r="V213" s="25">
        <v>25.2822</v>
      </c>
      <c r="W213" s="25">
        <v>39.897199999999998</v>
      </c>
      <c r="X213" s="25">
        <v>37.5578</v>
      </c>
      <c r="Y213" s="26"/>
      <c r="Z213" s="27"/>
      <c r="AA213" s="27"/>
      <c r="AC213" s="19" t="str">
        <f t="shared" si="38"/>
        <v>·</v>
      </c>
      <c r="AD213" s="20">
        <f t="shared" si="39"/>
        <v>6.3921994348067175</v>
      </c>
      <c r="AE213" s="20">
        <f t="shared" si="40"/>
        <v>3.8153842039127959</v>
      </c>
      <c r="AF213" s="20">
        <f t="shared" si="41"/>
        <v>2.5766184591916028</v>
      </c>
      <c r="AG213" s="21"/>
      <c r="AH213" s="20">
        <f t="shared" si="42"/>
        <v>8.2187025054698353</v>
      </c>
      <c r="AI213" s="22">
        <v>3256954</v>
      </c>
      <c r="AJ213" s="23">
        <v>26767936</v>
      </c>
      <c r="AK213" s="23">
        <v>15977280</v>
      </c>
      <c r="AL213" s="23">
        <v>10789832</v>
      </c>
      <c r="AM213" s="24"/>
      <c r="AN213" s="25">
        <v>76.883399999999995</v>
      </c>
      <c r="AO213" s="25">
        <v>81.8018</v>
      </c>
      <c r="AP213" s="25">
        <v>25.1584</v>
      </c>
      <c r="AQ213" s="25">
        <v>39.1706</v>
      </c>
      <c r="AR213" s="25">
        <v>36.839399999999998</v>
      </c>
      <c r="AS213" s="26"/>
      <c r="AT213" s="27"/>
      <c r="AU213" s="27"/>
      <c r="AW213" s="28">
        <f t="shared" si="43"/>
        <v>5.1307832714994284E-2</v>
      </c>
      <c r="AX213" s="28"/>
      <c r="AZ213" s="29"/>
      <c r="BA213" s="29"/>
      <c r="BB213" s="29"/>
      <c r="BC213" s="29"/>
      <c r="BD213" s="29"/>
      <c r="BE213" s="30"/>
      <c r="BG213" s="29"/>
      <c r="BH213" s="29"/>
      <c r="BI213" s="29"/>
      <c r="BJ213" s="29"/>
      <c r="BK213" s="29"/>
      <c r="BL213" s="30"/>
    </row>
    <row r="214" spans="1:64" outlineLevel="1" x14ac:dyDescent="0.15">
      <c r="A214" s="31"/>
      <c r="B214" s="46" t="s">
        <v>333</v>
      </c>
      <c r="C214" s="47" t="s">
        <v>230</v>
      </c>
      <c r="D214" s="46">
        <v>4187594</v>
      </c>
      <c r="E214" s="48">
        <v>14</v>
      </c>
      <c r="F214" s="47">
        <v>1</v>
      </c>
      <c r="G214" s="47"/>
      <c r="I214" s="49" t="str">
        <f t="shared" si="33"/>
        <v>·</v>
      </c>
      <c r="J214" s="50">
        <f t="shared" si="34"/>
        <v>12.680919879052267</v>
      </c>
      <c r="K214" s="50">
        <f t="shared" si="35"/>
        <v>7.0793586961868797</v>
      </c>
      <c r="L214" s="50">
        <f t="shared" si="36"/>
        <v>5.6013625007581922</v>
      </c>
      <c r="M214" s="51"/>
      <c r="N214" s="50">
        <f t="shared" si="37"/>
        <v>13.560002819119761</v>
      </c>
      <c r="O214" s="52">
        <v>3916116</v>
      </c>
      <c r="P214" s="53">
        <v>53102544</v>
      </c>
      <c r="Q214" s="53">
        <v>29645480</v>
      </c>
      <c r="R214" s="53">
        <v>23456232</v>
      </c>
      <c r="S214" s="54"/>
      <c r="T214" s="55">
        <v>82.525999999999996</v>
      </c>
      <c r="U214" s="55">
        <v>87.342200000000005</v>
      </c>
      <c r="V214" s="55">
        <v>31.037099999999999</v>
      </c>
      <c r="W214" s="55">
        <v>42.3369</v>
      </c>
      <c r="X214" s="55">
        <v>40.596200000000003</v>
      </c>
      <c r="Y214" s="56"/>
      <c r="Z214" s="57"/>
      <c r="AA214" s="57"/>
      <c r="AC214" s="49" t="str">
        <f t="shared" si="38"/>
        <v>·</v>
      </c>
      <c r="AD214" s="50">
        <f t="shared" si="39"/>
        <v>11.713190915833771</v>
      </c>
      <c r="AE214" s="50">
        <f t="shared" si="40"/>
        <v>7.0793586961868797</v>
      </c>
      <c r="AF214" s="50">
        <f t="shared" si="41"/>
        <v>4.6336354479445712</v>
      </c>
      <c r="AG214" s="51"/>
      <c r="AH214" s="50">
        <f t="shared" si="42"/>
        <v>12.525187711497821</v>
      </c>
      <c r="AI214" s="52">
        <v>3916116</v>
      </c>
      <c r="AJ214" s="53">
        <v>49050088</v>
      </c>
      <c r="AK214" s="53">
        <v>29645480</v>
      </c>
      <c r="AL214" s="53">
        <v>19403784</v>
      </c>
      <c r="AM214" s="54"/>
      <c r="AN214" s="55">
        <v>82.525999999999996</v>
      </c>
      <c r="AO214" s="55">
        <v>87.342200000000005</v>
      </c>
      <c r="AP214" s="55">
        <v>30.846499999999999</v>
      </c>
      <c r="AQ214" s="55">
        <v>41.458399999999997</v>
      </c>
      <c r="AR214" s="55">
        <v>39.662799999999997</v>
      </c>
      <c r="AS214" s="56"/>
      <c r="AT214" s="57"/>
      <c r="AU214" s="57"/>
      <c r="AW214" s="58">
        <f t="shared" si="43"/>
        <v>4.6123438488609891E-2</v>
      </c>
      <c r="AX214" s="58"/>
      <c r="AZ214" s="59"/>
      <c r="BA214" s="59"/>
      <c r="BB214" s="59"/>
      <c r="BC214" s="59"/>
      <c r="BD214" s="59"/>
      <c r="BE214" s="60"/>
      <c r="BG214" s="59"/>
      <c r="BH214" s="59"/>
      <c r="BI214" s="59"/>
      <c r="BJ214" s="59"/>
      <c r="BK214" s="59"/>
      <c r="BL214" s="60"/>
    </row>
    <row r="215" spans="1:64" collapsed="1" x14ac:dyDescent="0.15">
      <c r="A215" s="16"/>
      <c r="B215" s="16" t="s">
        <v>336</v>
      </c>
      <c r="C215" s="17" t="s">
        <v>225</v>
      </c>
      <c r="D215" s="16">
        <v>4203962</v>
      </c>
      <c r="E215" s="18">
        <v>20</v>
      </c>
      <c r="F215" s="17">
        <v>1</v>
      </c>
      <c r="G215" s="17"/>
      <c r="I215" s="19" t="str">
        <f t="shared" si="33"/>
        <v>·</v>
      </c>
      <c r="J215" s="20">
        <f t="shared" si="34"/>
        <v>3.9598873633967195</v>
      </c>
      <c r="K215" s="20">
        <f t="shared" si="35"/>
        <v>3.8003978152038482</v>
      </c>
      <c r="L215" s="20">
        <f t="shared" si="36"/>
        <v>0.15929163964850301</v>
      </c>
      <c r="M215" s="21"/>
      <c r="N215" s="20">
        <f t="shared" si="37"/>
        <v>5.1110420655378945</v>
      </c>
      <c r="O215" s="22">
        <v>3257108</v>
      </c>
      <c r="P215" s="23">
        <v>16647216</v>
      </c>
      <c r="Q215" s="23">
        <v>15976728</v>
      </c>
      <c r="R215" s="23">
        <v>669656</v>
      </c>
      <c r="S215" s="24"/>
      <c r="T215" s="25">
        <v>77.017499999999998</v>
      </c>
      <c r="U215" s="25">
        <v>81.882099999999994</v>
      </c>
      <c r="V215" s="25">
        <v>16.927499999999998</v>
      </c>
      <c r="W215" s="25">
        <v>35.764600000000002</v>
      </c>
      <c r="X215" s="25">
        <v>33.420400000000001</v>
      </c>
      <c r="Y215" s="26"/>
      <c r="Z215" s="27"/>
      <c r="AA215" s="27"/>
      <c r="AC215" s="19" t="str">
        <f t="shared" si="38"/>
        <v>·</v>
      </c>
      <c r="AD215" s="20">
        <f t="shared" si="39"/>
        <v>3.8420366311588925</v>
      </c>
      <c r="AE215" s="20">
        <f t="shared" si="40"/>
        <v>3.8003978152038482</v>
      </c>
      <c r="AF215" s="20">
        <f t="shared" si="41"/>
        <v>4.1442810377448701E-2</v>
      </c>
      <c r="AG215" s="21"/>
      <c r="AH215" s="20">
        <f t="shared" si="42"/>
        <v>4.9589316657599314</v>
      </c>
      <c r="AI215" s="22">
        <v>3257108</v>
      </c>
      <c r="AJ215" s="23">
        <v>16151776</v>
      </c>
      <c r="AK215" s="23">
        <v>15976728</v>
      </c>
      <c r="AL215" s="23">
        <v>174224</v>
      </c>
      <c r="AM215" s="24"/>
      <c r="AN215" s="25">
        <v>77.017499999999998</v>
      </c>
      <c r="AO215" s="25">
        <v>81.882099999999994</v>
      </c>
      <c r="AP215" s="25">
        <v>16.343800000000002</v>
      </c>
      <c r="AQ215" s="25">
        <v>36.105600000000003</v>
      </c>
      <c r="AR215" s="25">
        <v>32.812600000000003</v>
      </c>
      <c r="AS215" s="26"/>
      <c r="AT215" s="27"/>
      <c r="AU215" s="27"/>
      <c r="AW215" s="28">
        <f t="shared" si="43"/>
        <v>2.9438590396371089E-2</v>
      </c>
      <c r="AX215" s="28">
        <f t="array" ref="AX215">AVERAGE(AK215:AK220/AJ215:AJ220) - AVERAGE(Q215:Q220/P215:P220)</f>
        <v>2.9084237313947603E-2</v>
      </c>
      <c r="AZ215" s="29">
        <f>IF( OR(ISBLANK(Q215:Q220),ISBLANK(AK215:AK220), ISBLANK(T215:T220),ISBLANK(AN215:AN220)), "·", bdRateExtend( Q215:Q220,T215:T220, AK215:AK220,AN215:AN220))</f>
        <v>0</v>
      </c>
      <c r="BA215" s="29">
        <f>IF( OR(ISBLANK(Q215:Q220),ISBLANK(AK215:AK220), ISBLANK(U215:U220),ISBLANK(AO215:AO220)), "·", bdRateExtend( Q215:Q220,U215:U220, AK215:AK220,AO215:AO220))</f>
        <v>0</v>
      </c>
      <c r="BB215" s="29">
        <f>IF( OR(ISBLANK(R215:R220),ISBLANK(AL215:AL220), ISBLANK(V215:V220),ISBLANK(AP215:AP220)), "·", bdRateExtend( R215:R220,V215:V220, AL215:AL220,AP215:AP220))</f>
        <v>-0.19158004331042588</v>
      </c>
      <c r="BC215" s="29">
        <f>IF( OR(ISBLANK(R215:R220),ISBLANK(AL215:AL220), ISBLANK(W215:W220),ISBLANK(AQ215:AQ220)), "·", bdRateExtend( R215:R220,W215:W220, AL215:AL220,AQ215:AQ220))</f>
        <v>-5.7289292901914646E-2</v>
      </c>
      <c r="BD215" s="29">
        <f>IF( OR(ISBLANK(R215:R220),ISBLANK(AL215:AL220), ISBLANK(X215:X220),ISBLANK(AR215:AR220)), "·", bdRateExtend( R215:R220,X215:X220, AL215:AL220,AR215:AR220))</f>
        <v>1.3904082321088085E-2</v>
      </c>
      <c r="BE215" s="30"/>
      <c r="BG215" s="29">
        <f>IF( OR(ISBLANK(P215:P220),ISBLANK(AJ215:AJ220), ISBLANK(T215:T220),ISBLANK(AN215:AN220)), "·", bdRateExtend( P215:P220,T215:T220, AJ215:AJ220,AN215:AN220))</f>
        <v>-3.149912573640079E-2</v>
      </c>
      <c r="BH215" s="29">
        <f>IF( OR(ISBLANK(P215:P220),ISBLANK(AJ215:AJ220), ISBLANK(U215:U220),ISBLANK(AO215:AO220)), "·", bdRateExtend( P215:P220,U215:U220, AJ215:AJ220,AO215:AO220))</f>
        <v>-3.1493190286842609E-2</v>
      </c>
      <c r="BI215" s="29">
        <f>IF( OR(ISBLANK(P215:P220),ISBLANK(AJ215:AJ220), ISBLANK(V215:V220),ISBLANK(AP215:AP220)), "·", bdRateExtend( P215:P220,V215:V220, AJ215:AJ220,AP215:AP220))</f>
        <v>3.5990537186542326E-2</v>
      </c>
      <c r="BJ215" s="29">
        <f>IF( OR(ISBLANK(P215:P220),ISBLANK(AJ215:AJ220), ISBLANK(W215:W220),ISBLANK(AQ215:AQ220)), "·", bdRateExtend( P215:P220,W215:W220, AJ215:AJ220,AQ215:AQ220))</f>
        <v>0.15176588512736244</v>
      </c>
      <c r="BK215" s="29">
        <f>IF( OR(ISBLANK(P215:P220),ISBLANK(AJ215:AJ220), ISBLANK(X215:X220),ISBLANK(AR215:AR220)), "·", bdRateExtend( P215:P220,X215:X220, AJ215:AJ220,AR215:AR220))</f>
        <v>0.14937580776142734</v>
      </c>
      <c r="BL215" s="30"/>
    </row>
    <row r="216" spans="1:64" outlineLevel="1" x14ac:dyDescent="0.15">
      <c r="A216" s="31"/>
      <c r="B216" s="31" t="s">
        <v>336</v>
      </c>
      <c r="C216" s="32" t="s">
        <v>226</v>
      </c>
      <c r="D216" s="31">
        <v>4203962</v>
      </c>
      <c r="E216" s="33">
        <v>20</v>
      </c>
      <c r="F216" s="32">
        <v>1</v>
      </c>
      <c r="G216" s="32"/>
      <c r="I216" s="34" t="str">
        <f t="shared" si="33"/>
        <v>·</v>
      </c>
      <c r="J216" s="35">
        <f t="shared" si="34"/>
        <v>7.5922931748669473</v>
      </c>
      <c r="K216" s="35">
        <f t="shared" si="35"/>
        <v>7.0528553778554608</v>
      </c>
      <c r="L216" s="35">
        <f t="shared" si="36"/>
        <v>0.53923988846711746</v>
      </c>
      <c r="M216" s="36"/>
      <c r="N216" s="35">
        <f t="shared" si="37"/>
        <v>8.1494021173112916</v>
      </c>
      <c r="O216" s="37">
        <v>3916571</v>
      </c>
      <c r="P216" s="38">
        <v>31917712</v>
      </c>
      <c r="Q216" s="38">
        <v>29649936</v>
      </c>
      <c r="R216" s="38">
        <v>2266944</v>
      </c>
      <c r="S216" s="39"/>
      <c r="T216" s="40">
        <v>83.038200000000003</v>
      </c>
      <c r="U216" s="40">
        <v>87.824200000000005</v>
      </c>
      <c r="V216" s="40">
        <v>18.977599999999999</v>
      </c>
      <c r="W216" s="40">
        <v>37.299799999999998</v>
      </c>
      <c r="X216" s="40">
        <v>34.315199999999997</v>
      </c>
      <c r="Y216" s="41"/>
      <c r="Z216" s="42"/>
      <c r="AA216" s="42"/>
      <c r="AC216" s="34" t="str">
        <f t="shared" si="38"/>
        <v>·</v>
      </c>
      <c r="AD216" s="35">
        <f t="shared" si="39"/>
        <v>7.3194515078870834</v>
      </c>
      <c r="AE216" s="35">
        <f t="shared" si="40"/>
        <v>7.0528553778554608</v>
      </c>
      <c r="AF216" s="35">
        <f t="shared" si="41"/>
        <v>0.26640012445402694</v>
      </c>
      <c r="AG216" s="36"/>
      <c r="AH216" s="35">
        <f t="shared" si="42"/>
        <v>7.8565398150576105</v>
      </c>
      <c r="AI216" s="37">
        <v>3916571</v>
      </c>
      <c r="AJ216" s="38">
        <v>30770696</v>
      </c>
      <c r="AK216" s="38">
        <v>29649936</v>
      </c>
      <c r="AL216" s="38">
        <v>1119936</v>
      </c>
      <c r="AM216" s="39"/>
      <c r="AN216" s="40">
        <v>83.038200000000003</v>
      </c>
      <c r="AO216" s="40">
        <v>87.824200000000005</v>
      </c>
      <c r="AP216" s="40">
        <v>18.213200000000001</v>
      </c>
      <c r="AQ216" s="40">
        <v>36.791899999999998</v>
      </c>
      <c r="AR216" s="40">
        <v>33.668399999999998</v>
      </c>
      <c r="AS216" s="41"/>
      <c r="AT216" s="42"/>
      <c r="AU216" s="42"/>
      <c r="AW216" s="43">
        <f t="shared" si="43"/>
        <v>3.4627741354393726E-2</v>
      </c>
      <c r="AX216" s="43"/>
      <c r="AZ216" s="44"/>
      <c r="BA216" s="44"/>
      <c r="BB216" s="44"/>
      <c r="BC216" s="44"/>
      <c r="BD216" s="44"/>
      <c r="BE216" s="45"/>
      <c r="BG216" s="44"/>
      <c r="BH216" s="44"/>
      <c r="BI216" s="44"/>
      <c r="BJ216" s="44"/>
      <c r="BK216" s="44"/>
      <c r="BL216" s="45"/>
    </row>
    <row r="217" spans="1:64" outlineLevel="1" x14ac:dyDescent="0.15">
      <c r="A217" s="16"/>
      <c r="B217" s="16" t="s">
        <v>336</v>
      </c>
      <c r="C217" s="17" t="s">
        <v>227</v>
      </c>
      <c r="D217" s="16">
        <v>4203962</v>
      </c>
      <c r="E217" s="18">
        <v>20</v>
      </c>
      <c r="F217" s="17">
        <v>1</v>
      </c>
      <c r="G217" s="17"/>
      <c r="I217" s="19" t="str">
        <f t="shared" si="33"/>
        <v>·</v>
      </c>
      <c r="J217" s="20">
        <f t="shared" si="34"/>
        <v>14.903030997901503</v>
      </c>
      <c r="K217" s="20">
        <f t="shared" si="35"/>
        <v>13.458125454035978</v>
      </c>
      <c r="L217" s="20">
        <f t="shared" si="36"/>
        <v>1.4446867026866561</v>
      </c>
      <c r="M217" s="21"/>
      <c r="N217" s="20">
        <f t="shared" si="37"/>
        <v>14.960885735743085</v>
      </c>
      <c r="O217" s="22">
        <v>4187705</v>
      </c>
      <c r="P217" s="23">
        <v>62651776</v>
      </c>
      <c r="Q217" s="23">
        <v>56577448</v>
      </c>
      <c r="R217" s="23">
        <v>6073408</v>
      </c>
      <c r="S217" s="24"/>
      <c r="T217" s="25">
        <v>95.077200000000005</v>
      </c>
      <c r="U217" s="25">
        <v>99.849199999999996</v>
      </c>
      <c r="V217" s="25">
        <v>23.3598</v>
      </c>
      <c r="W217" s="25">
        <v>38.075299999999999</v>
      </c>
      <c r="X217" s="25">
        <v>35.193899999999999</v>
      </c>
      <c r="Y217" s="26"/>
      <c r="Z217" s="27"/>
      <c r="AA217" s="27"/>
      <c r="AC217" s="19" t="str">
        <f t="shared" si="38"/>
        <v>·</v>
      </c>
      <c r="AD217" s="20">
        <f t="shared" si="39"/>
        <v>14.473063267460553</v>
      </c>
      <c r="AE217" s="20">
        <f t="shared" si="40"/>
        <v>13.458125454035978</v>
      </c>
      <c r="AF217" s="20">
        <f t="shared" si="41"/>
        <v>1.0147208752124781</v>
      </c>
      <c r="AG217" s="21"/>
      <c r="AH217" s="20">
        <f t="shared" si="42"/>
        <v>14.529248836773364</v>
      </c>
      <c r="AI217" s="22">
        <v>4187705</v>
      </c>
      <c r="AJ217" s="23">
        <v>60844208</v>
      </c>
      <c r="AK217" s="23">
        <v>56577448</v>
      </c>
      <c r="AL217" s="23">
        <v>4265848</v>
      </c>
      <c r="AM217" s="24"/>
      <c r="AN217" s="25">
        <v>95.077200000000005</v>
      </c>
      <c r="AO217" s="25">
        <v>99.849199999999996</v>
      </c>
      <c r="AP217" s="25">
        <v>22.5915</v>
      </c>
      <c r="AQ217" s="25">
        <v>37.511099999999999</v>
      </c>
      <c r="AR217" s="25">
        <v>34.566200000000002</v>
      </c>
      <c r="AS217" s="26"/>
      <c r="AT217" s="27"/>
      <c r="AU217" s="27"/>
      <c r="AW217" s="28">
        <f t="shared" si="43"/>
        <v>2.6827819119872087E-2</v>
      </c>
      <c r="AX217" s="28"/>
      <c r="AZ217" s="29"/>
      <c r="BA217" s="29"/>
      <c r="BB217" s="29"/>
      <c r="BC217" s="29"/>
      <c r="BD217" s="29"/>
      <c r="BE217" s="30"/>
      <c r="BG217" s="29"/>
      <c r="BH217" s="29"/>
      <c r="BI217" s="29"/>
      <c r="BJ217" s="29"/>
      <c r="BK217" s="29"/>
      <c r="BL217" s="30"/>
    </row>
    <row r="218" spans="1:64" outlineLevel="1" x14ac:dyDescent="0.15">
      <c r="A218" s="31"/>
      <c r="B218" s="31" t="s">
        <v>336</v>
      </c>
      <c r="C218" s="32" t="s">
        <v>228</v>
      </c>
      <c r="D218" s="31">
        <v>4203962</v>
      </c>
      <c r="E218" s="33">
        <v>20</v>
      </c>
      <c r="F218" s="32">
        <v>1</v>
      </c>
      <c r="G218" s="32"/>
      <c r="I218" s="34" t="str">
        <f t="shared" si="33"/>
        <v>·</v>
      </c>
      <c r="J218" s="35">
        <f t="shared" si="34"/>
        <v>19.15541006317374</v>
      </c>
      <c r="K218" s="35">
        <f t="shared" si="35"/>
        <v>16.55164913479237</v>
      </c>
      <c r="L218" s="35">
        <f t="shared" si="36"/>
        <v>2.6035420872025008</v>
      </c>
      <c r="M218" s="36"/>
      <c r="N218" s="35">
        <f t="shared" si="37"/>
        <v>19.168537255750483</v>
      </c>
      <c r="O218" s="37">
        <v>4201083</v>
      </c>
      <c r="P218" s="38">
        <v>80528616</v>
      </c>
      <c r="Q218" s="38">
        <v>69582504</v>
      </c>
      <c r="R218" s="38">
        <v>10945192</v>
      </c>
      <c r="S218" s="39"/>
      <c r="T218" s="40">
        <v>101.092</v>
      </c>
      <c r="U218" s="40">
        <v>105.864</v>
      </c>
      <c r="V218" s="40">
        <v>28.806100000000001</v>
      </c>
      <c r="W218" s="40">
        <v>38.922600000000003</v>
      </c>
      <c r="X218" s="40">
        <v>36.229599999999998</v>
      </c>
      <c r="Y218" s="41"/>
      <c r="Z218" s="42"/>
      <c r="AA218" s="42"/>
      <c r="AC218" s="34" t="str">
        <f t="shared" si="38"/>
        <v>·</v>
      </c>
      <c r="AD218" s="35">
        <f t="shared" si="39"/>
        <v>18.552156275437312</v>
      </c>
      <c r="AE218" s="35">
        <f t="shared" si="40"/>
        <v>16.55164913479237</v>
      </c>
      <c r="AF218" s="35">
        <f t="shared" si="41"/>
        <v>2.0002902024328479</v>
      </c>
      <c r="AG218" s="36"/>
      <c r="AH218" s="35">
        <f t="shared" si="42"/>
        <v>18.564870058506344</v>
      </c>
      <c r="AI218" s="37">
        <v>4201083</v>
      </c>
      <c r="AJ218" s="38">
        <v>77992560</v>
      </c>
      <c r="AK218" s="38">
        <v>69582504</v>
      </c>
      <c r="AL218" s="38">
        <v>8409144</v>
      </c>
      <c r="AM218" s="39"/>
      <c r="AN218" s="40">
        <v>101.092</v>
      </c>
      <c r="AO218" s="40">
        <v>105.864</v>
      </c>
      <c r="AP218" s="40">
        <v>27.9678</v>
      </c>
      <c r="AQ218" s="40">
        <v>38.305599999999998</v>
      </c>
      <c r="AR218" s="40">
        <v>35.5413</v>
      </c>
      <c r="AS218" s="41"/>
      <c r="AT218" s="42"/>
      <c r="AU218" s="42"/>
      <c r="AW218" s="43">
        <f t="shared" si="43"/>
        <v>2.8096710817161363E-2</v>
      </c>
      <c r="AX218" s="43"/>
      <c r="AZ218" s="44"/>
      <c r="BA218" s="44"/>
      <c r="BB218" s="44"/>
      <c r="BC218" s="44"/>
      <c r="BD218" s="44"/>
      <c r="BE218" s="45"/>
      <c r="BG218" s="44"/>
      <c r="BH218" s="44"/>
      <c r="BI218" s="44"/>
      <c r="BJ218" s="44"/>
      <c r="BK218" s="44"/>
      <c r="BL218" s="45"/>
    </row>
    <row r="219" spans="1:64" outlineLevel="1" x14ac:dyDescent="0.15">
      <c r="A219" s="16"/>
      <c r="B219" s="16" t="s">
        <v>336</v>
      </c>
      <c r="C219" s="17" t="s">
        <v>229</v>
      </c>
      <c r="D219" s="16">
        <v>4203962</v>
      </c>
      <c r="E219" s="18">
        <v>20</v>
      </c>
      <c r="F219" s="17">
        <v>1</v>
      </c>
      <c r="G219" s="17"/>
      <c r="I219" s="19" t="str">
        <f t="shared" si="33"/>
        <v>·</v>
      </c>
      <c r="J219" s="20">
        <f t="shared" si="34"/>
        <v>26.815275685175081</v>
      </c>
      <c r="K219" s="20">
        <f t="shared" si="35"/>
        <v>22.710410798194655</v>
      </c>
      <c r="L219" s="20">
        <f t="shared" si="36"/>
        <v>4.1046441428347826</v>
      </c>
      <c r="M219" s="21"/>
      <c r="N219" s="20">
        <f t="shared" si="37"/>
        <v>26.815581860142714</v>
      </c>
      <c r="O219" s="22">
        <v>4203914</v>
      </c>
      <c r="P219" s="23">
        <v>112730400</v>
      </c>
      <c r="Q219" s="23">
        <v>95473704</v>
      </c>
      <c r="R219" s="23">
        <v>17255768</v>
      </c>
      <c r="S219" s="24"/>
      <c r="T219" s="25">
        <v>113.00700000000001</v>
      </c>
      <c r="U219" s="25">
        <v>117.78400000000001</v>
      </c>
      <c r="V219" s="25">
        <v>34.661299999999997</v>
      </c>
      <c r="W219" s="25">
        <v>40.413400000000003</v>
      </c>
      <c r="X219" s="25">
        <v>38.167900000000003</v>
      </c>
      <c r="Y219" s="26"/>
      <c r="Z219" s="27"/>
      <c r="AA219" s="27"/>
      <c r="AC219" s="19" t="str">
        <f t="shared" si="38"/>
        <v>·</v>
      </c>
      <c r="AD219" s="20">
        <f t="shared" si="39"/>
        <v>26.021637683689814</v>
      </c>
      <c r="AE219" s="20">
        <f t="shared" si="40"/>
        <v>22.710410798194655</v>
      </c>
      <c r="AF219" s="20">
        <f t="shared" si="41"/>
        <v>3.3110080443162904</v>
      </c>
      <c r="AG219" s="21"/>
      <c r="AH219" s="20">
        <f t="shared" si="42"/>
        <v>26.021934796953506</v>
      </c>
      <c r="AI219" s="22">
        <v>4203914</v>
      </c>
      <c r="AJ219" s="23">
        <v>109393976</v>
      </c>
      <c r="AK219" s="23">
        <v>95473704</v>
      </c>
      <c r="AL219" s="23">
        <v>13919352</v>
      </c>
      <c r="AM219" s="24"/>
      <c r="AN219" s="25">
        <v>113.00700000000001</v>
      </c>
      <c r="AO219" s="25">
        <v>117.78400000000001</v>
      </c>
      <c r="AP219" s="25">
        <v>33.909999999999997</v>
      </c>
      <c r="AQ219" s="25">
        <v>39.709400000000002</v>
      </c>
      <c r="AR219" s="25">
        <v>37.446300000000001</v>
      </c>
      <c r="AS219" s="26"/>
      <c r="AT219" s="27"/>
      <c r="AU219" s="27"/>
      <c r="AW219" s="28">
        <f t="shared" si="43"/>
        <v>2.5830365589131321E-2</v>
      </c>
      <c r="AX219" s="28"/>
      <c r="AZ219" s="29"/>
      <c r="BA219" s="29"/>
      <c r="BB219" s="29"/>
      <c r="BC219" s="29"/>
      <c r="BD219" s="29"/>
      <c r="BE219" s="30"/>
      <c r="BG219" s="29"/>
      <c r="BH219" s="29"/>
      <c r="BI219" s="29"/>
      <c r="BJ219" s="29"/>
      <c r="BK219" s="29"/>
      <c r="BL219" s="30"/>
    </row>
    <row r="220" spans="1:64" outlineLevel="1" x14ac:dyDescent="0.15">
      <c r="A220" s="31"/>
      <c r="B220" s="46" t="s">
        <v>336</v>
      </c>
      <c r="C220" s="47" t="s">
        <v>230</v>
      </c>
      <c r="D220" s="46">
        <v>4203962</v>
      </c>
      <c r="E220" s="48">
        <v>20</v>
      </c>
      <c r="F220" s="47">
        <v>1</v>
      </c>
      <c r="G220" s="47"/>
      <c r="I220" s="49" t="str">
        <f t="shared" si="33"/>
        <v>·</v>
      </c>
      <c r="J220" s="50">
        <f t="shared" si="34"/>
        <v>32.019762309935246</v>
      </c>
      <c r="K220" s="50">
        <f t="shared" si="35"/>
        <v>25.760411725890958</v>
      </c>
      <c r="L220" s="50">
        <f t="shared" si="36"/>
        <v>6.2591279369318755</v>
      </c>
      <c r="M220" s="51"/>
      <c r="N220" s="50">
        <f t="shared" si="37"/>
        <v>32.01980800940828</v>
      </c>
      <c r="O220" s="52">
        <v>4203956</v>
      </c>
      <c r="P220" s="53">
        <v>134609864</v>
      </c>
      <c r="Q220" s="53">
        <v>108295792</v>
      </c>
      <c r="R220" s="53">
        <v>26313136</v>
      </c>
      <c r="S220" s="54"/>
      <c r="T220" s="55">
        <v>118.64</v>
      </c>
      <c r="U220" s="55">
        <v>123.429</v>
      </c>
      <c r="V220" s="55">
        <v>40.453499999999998</v>
      </c>
      <c r="W220" s="55">
        <v>42.9084</v>
      </c>
      <c r="X220" s="55">
        <v>41.595100000000002</v>
      </c>
      <c r="Y220" s="56"/>
      <c r="Z220" s="57"/>
      <c r="AA220" s="57"/>
      <c r="AC220" s="49" t="str">
        <f t="shared" si="38"/>
        <v>·</v>
      </c>
      <c r="AD220" s="50">
        <f t="shared" si="39"/>
        <v>30.880370469571325</v>
      </c>
      <c r="AE220" s="50">
        <f t="shared" si="40"/>
        <v>25.760411725890958</v>
      </c>
      <c r="AF220" s="50">
        <f t="shared" si="41"/>
        <v>5.119737999534725</v>
      </c>
      <c r="AG220" s="51"/>
      <c r="AH220" s="50">
        <f t="shared" si="42"/>
        <v>30.880414542873428</v>
      </c>
      <c r="AI220" s="52">
        <v>4203956</v>
      </c>
      <c r="AJ220" s="53">
        <v>129819904</v>
      </c>
      <c r="AK220" s="53">
        <v>108295792</v>
      </c>
      <c r="AL220" s="53">
        <v>21523184</v>
      </c>
      <c r="AM220" s="54"/>
      <c r="AN220" s="55">
        <v>118.64</v>
      </c>
      <c r="AO220" s="55">
        <v>123.429</v>
      </c>
      <c r="AP220" s="55">
        <v>39.321199999999997</v>
      </c>
      <c r="AQ220" s="55">
        <v>42.014000000000003</v>
      </c>
      <c r="AR220" s="55">
        <v>40.631</v>
      </c>
      <c r="AS220" s="56"/>
      <c r="AT220" s="57"/>
      <c r="AU220" s="57"/>
      <c r="AW220" s="58">
        <f t="shared" si="43"/>
        <v>2.9684196606756474E-2</v>
      </c>
      <c r="AX220" s="58"/>
      <c r="AZ220" s="59"/>
      <c r="BA220" s="59"/>
      <c r="BB220" s="59"/>
      <c r="BC220" s="59"/>
      <c r="BD220" s="59"/>
      <c r="BE220" s="60"/>
      <c r="BG220" s="59"/>
      <c r="BH220" s="59"/>
      <c r="BI220" s="59"/>
      <c r="BJ220" s="59"/>
      <c r="BK220" s="59"/>
      <c r="BL220" s="60"/>
    </row>
    <row r="221" spans="1:64" collapsed="1" x14ac:dyDescent="0.15">
      <c r="A221" s="16"/>
      <c r="B221" s="16" t="s">
        <v>339</v>
      </c>
      <c r="C221" s="17" t="s">
        <v>225</v>
      </c>
      <c r="D221" s="16">
        <v>1010591</v>
      </c>
      <c r="E221" s="18">
        <v>20</v>
      </c>
      <c r="F221" s="17">
        <v>1</v>
      </c>
      <c r="G221" s="17"/>
      <c r="I221" s="19" t="str">
        <f t="shared" si="33"/>
        <v>·</v>
      </c>
      <c r="J221" s="20">
        <f t="shared" si="34"/>
        <v>6.7111779147053552</v>
      </c>
      <c r="K221" s="20">
        <f t="shared" si="35"/>
        <v>6.5828569619163444</v>
      </c>
      <c r="L221" s="20">
        <f t="shared" si="36"/>
        <v>0.12781431855221351</v>
      </c>
      <c r="M221" s="21"/>
      <c r="N221" s="20">
        <f t="shared" si="37"/>
        <v>6.7829885627647784</v>
      </c>
      <c r="O221" s="22">
        <v>999892</v>
      </c>
      <c r="P221" s="23">
        <v>6782256</v>
      </c>
      <c r="Q221" s="23">
        <v>6652576</v>
      </c>
      <c r="R221" s="23">
        <v>129168</v>
      </c>
      <c r="S221" s="24"/>
      <c r="T221" s="25">
        <v>77.016599999999997</v>
      </c>
      <c r="U221" s="25">
        <v>81.788499999999999</v>
      </c>
      <c r="V221" s="25">
        <v>21.150200000000002</v>
      </c>
      <c r="W221" s="25">
        <v>31.542300000000001</v>
      </c>
      <c r="X221" s="25">
        <v>33.708399999999997</v>
      </c>
      <c r="Y221" s="26"/>
      <c r="Z221" s="27"/>
      <c r="AA221" s="27"/>
      <c r="AC221" s="19" t="str">
        <f t="shared" si="38"/>
        <v>·</v>
      </c>
      <c r="AD221" s="20">
        <f t="shared" si="39"/>
        <v>6.6326179433618542</v>
      </c>
      <c r="AE221" s="20">
        <f t="shared" si="40"/>
        <v>6.5828569619163444</v>
      </c>
      <c r="AF221" s="20">
        <f t="shared" si="41"/>
        <v>4.9262263368662497E-2</v>
      </c>
      <c r="AG221" s="21"/>
      <c r="AH221" s="20">
        <f t="shared" si="42"/>
        <v>6.7035879875026501</v>
      </c>
      <c r="AI221" s="22">
        <v>999892</v>
      </c>
      <c r="AJ221" s="23">
        <v>6702864</v>
      </c>
      <c r="AK221" s="23">
        <v>6652576</v>
      </c>
      <c r="AL221" s="23">
        <v>49784</v>
      </c>
      <c r="AM221" s="24"/>
      <c r="AN221" s="25">
        <v>77.016599999999997</v>
      </c>
      <c r="AO221" s="25">
        <v>81.788499999999999</v>
      </c>
      <c r="AP221" s="25">
        <v>19.776299999999999</v>
      </c>
      <c r="AQ221" s="25">
        <v>30.371700000000001</v>
      </c>
      <c r="AR221" s="25">
        <v>32.886000000000003</v>
      </c>
      <c r="AS221" s="26"/>
      <c r="AT221" s="27"/>
      <c r="AU221" s="27"/>
      <c r="AW221" s="28">
        <f t="shared" si="43"/>
        <v>1.1618016826412725E-2</v>
      </c>
      <c r="AX221" s="28">
        <f t="array" ref="AX221">AVERAGE(AK221:AK226/AJ221:AJ226) - AVERAGE(Q221:Q226/P221:P226)</f>
        <v>1.8355223204732374E-2</v>
      </c>
      <c r="AZ221" s="29">
        <f>IF( OR(ISBLANK(Q221:Q226),ISBLANK(AK221:AK226), ISBLANK(T221:T226),ISBLANK(AN221:AN226)), "·", bdRateExtend( Q221:Q226,T221:T226, AK221:AK226,AN221:AN226))</f>
        <v>0</v>
      </c>
      <c r="BA221" s="29">
        <f>IF( OR(ISBLANK(Q221:Q226),ISBLANK(AK221:AK226), ISBLANK(U221:U226),ISBLANK(AO221:AO226)), "·", bdRateExtend( Q221:Q226,U221:U226, AK221:AK226,AO221:AO226))</f>
        <v>0</v>
      </c>
      <c r="BB221" s="29">
        <f>IF( OR(ISBLANK(R221:R226),ISBLANK(AL221:AL226), ISBLANK(V221:V226),ISBLANK(AP221:AP226)), "·", bdRateExtend( R221:R226,V221:V226, AL221:AL226,AP221:AP226))</f>
        <v>-7.541796019046243E-2</v>
      </c>
      <c r="BC221" s="29">
        <f>IF( OR(ISBLANK(R221:R226),ISBLANK(AL221:AL226), ISBLANK(W221:W226),ISBLANK(AQ221:AQ226)), "·", bdRateExtend( R221:R226,W221:W226, AL221:AL226,AQ221:AQ226))</f>
        <v>0.23316055216759612</v>
      </c>
      <c r="BD221" s="29">
        <f>IF( OR(ISBLANK(R221:R226),ISBLANK(AL221:AL226), ISBLANK(X221:X226),ISBLANK(AR221:AR226)), "·", bdRateExtend( R221:R226,X221:X226, AL221:AL226,AR221:AR226))</f>
        <v>0.26637911742186837</v>
      </c>
      <c r="BE221" s="30"/>
      <c r="BG221" s="29">
        <f>IF( OR(ISBLANK(P221:P226),ISBLANK(AJ221:AJ226), ISBLANK(T221:T226),ISBLANK(AN221:AN226)), "·", bdRateExtend( P221:P226,T221:T226, AJ221:AJ226,AN221:AN226))</f>
        <v>-1.9626171005341253E-2</v>
      </c>
      <c r="BH221" s="29">
        <f>IF( OR(ISBLANK(P221:P226),ISBLANK(AJ221:AJ226), ISBLANK(U221:U226),ISBLANK(AO221:AO226)), "·", bdRateExtend( P221:P226,U221:U226, AJ221:AJ226,AO221:AO226))</f>
        <v>-1.9609073823350309E-2</v>
      </c>
      <c r="BI221" s="29">
        <f>IF( OR(ISBLANK(P221:P226),ISBLANK(AJ221:AJ226), ISBLANK(V221:V226),ISBLANK(AP221:AP226)), "·", bdRateExtend( P221:P226,V221:V226, AJ221:AJ226,AP221:AP226))</f>
        <v>8.7571049831811631E-2</v>
      </c>
      <c r="BJ221" s="29">
        <f>IF( OR(ISBLANK(P221:P226),ISBLANK(AJ221:AJ226), ISBLANK(W221:W226),ISBLANK(AQ221:AQ226)), "·", bdRateExtend( P221:P226,W221:W226, AJ221:AJ226,AQ221:AQ226))</f>
        <v>0.21963650327875395</v>
      </c>
      <c r="BK221" s="29">
        <f>IF( OR(ISBLANK(P221:P226),ISBLANK(AJ221:AJ226), ISBLANK(X221:X226),ISBLANK(AR221:AR226)), "·", bdRateExtend( P221:P226,X221:X226, AJ221:AJ226,AR221:AR226))</f>
        <v>0.23381513722290626</v>
      </c>
      <c r="BL221" s="30"/>
    </row>
    <row r="222" spans="1:64" outlineLevel="1" x14ac:dyDescent="0.15">
      <c r="A222" s="31"/>
      <c r="B222" s="31" t="s">
        <v>339</v>
      </c>
      <c r="C222" s="32" t="s">
        <v>226</v>
      </c>
      <c r="D222" s="31">
        <v>1010591</v>
      </c>
      <c r="E222" s="33">
        <v>20</v>
      </c>
      <c r="F222" s="32">
        <v>1</v>
      </c>
      <c r="G222" s="32"/>
      <c r="I222" s="34" t="str">
        <f t="shared" si="33"/>
        <v>·</v>
      </c>
      <c r="J222" s="35">
        <f t="shared" si="34"/>
        <v>9.9448025957088468</v>
      </c>
      <c r="K222" s="35">
        <f t="shared" si="35"/>
        <v>9.634061653032731</v>
      </c>
      <c r="L222" s="35">
        <f t="shared" si="36"/>
        <v>0.31023430843931915</v>
      </c>
      <c r="M222" s="36"/>
      <c r="N222" s="35">
        <f t="shared" si="37"/>
        <v>9.9591412852182462</v>
      </c>
      <c r="O222" s="37">
        <v>1009136</v>
      </c>
      <c r="P222" s="38">
        <v>10050128</v>
      </c>
      <c r="Q222" s="38">
        <v>9736096</v>
      </c>
      <c r="R222" s="38">
        <v>313520</v>
      </c>
      <c r="S222" s="39"/>
      <c r="T222" s="40">
        <v>83.038200000000003</v>
      </c>
      <c r="U222" s="40">
        <v>87.813599999999994</v>
      </c>
      <c r="V222" s="40">
        <v>22.9057</v>
      </c>
      <c r="W222" s="40">
        <v>33.022199999999998</v>
      </c>
      <c r="X222" s="40">
        <v>34.877200000000002</v>
      </c>
      <c r="Y222" s="41"/>
      <c r="Z222" s="42"/>
      <c r="AA222" s="42"/>
      <c r="AC222" s="34" t="str">
        <f t="shared" si="38"/>
        <v>·</v>
      </c>
      <c r="AD222" s="35">
        <f t="shared" si="39"/>
        <v>9.7859173493530029</v>
      </c>
      <c r="AE222" s="35">
        <f t="shared" si="40"/>
        <v>9.634061653032731</v>
      </c>
      <c r="AF222" s="35">
        <f t="shared" si="41"/>
        <v>0.1513569782434239</v>
      </c>
      <c r="AG222" s="36"/>
      <c r="AH222" s="35">
        <f t="shared" si="42"/>
        <v>9.8000269537505353</v>
      </c>
      <c r="AI222" s="37">
        <v>1009136</v>
      </c>
      <c r="AJ222" s="38">
        <v>9889560</v>
      </c>
      <c r="AK222" s="38">
        <v>9736096</v>
      </c>
      <c r="AL222" s="38">
        <v>152960</v>
      </c>
      <c r="AM222" s="39"/>
      <c r="AN222" s="40">
        <v>83.038200000000003</v>
      </c>
      <c r="AO222" s="40">
        <v>87.813599999999994</v>
      </c>
      <c r="AP222" s="40">
        <v>21.440799999999999</v>
      </c>
      <c r="AQ222" s="40">
        <v>31.535599999999999</v>
      </c>
      <c r="AR222" s="40">
        <v>33.679499999999997</v>
      </c>
      <c r="AS222" s="41"/>
      <c r="AT222" s="42"/>
      <c r="AU222" s="42"/>
      <c r="AW222" s="43">
        <f t="shared" si="43"/>
        <v>1.5728788863868748E-2</v>
      </c>
      <c r="AX222" s="43"/>
      <c r="AZ222" s="44"/>
      <c r="BA222" s="44"/>
      <c r="BB222" s="44"/>
      <c r="BC222" s="44"/>
      <c r="BD222" s="44"/>
      <c r="BE222" s="45"/>
      <c r="BG222" s="44"/>
      <c r="BH222" s="44"/>
      <c r="BI222" s="44"/>
      <c r="BJ222" s="44"/>
      <c r="BK222" s="44"/>
      <c r="BL222" s="45"/>
    </row>
    <row r="223" spans="1:64" outlineLevel="1" x14ac:dyDescent="0.15">
      <c r="A223" s="16"/>
      <c r="B223" s="16" t="s">
        <v>339</v>
      </c>
      <c r="C223" s="17" t="s">
        <v>227</v>
      </c>
      <c r="D223" s="16">
        <v>1010591</v>
      </c>
      <c r="E223" s="18">
        <v>20</v>
      </c>
      <c r="F223" s="17">
        <v>1</v>
      </c>
      <c r="G223" s="17"/>
      <c r="I223" s="19" t="str">
        <f t="shared" si="33"/>
        <v>·</v>
      </c>
      <c r="J223" s="20">
        <f t="shared" si="34"/>
        <v>16.542549854491085</v>
      </c>
      <c r="K223" s="20">
        <f t="shared" si="35"/>
        <v>15.714804505482435</v>
      </c>
      <c r="L223" s="20">
        <f t="shared" si="36"/>
        <v>0.82723079861190141</v>
      </c>
      <c r="M223" s="21"/>
      <c r="N223" s="20">
        <f t="shared" si="37"/>
        <v>16.542942724233029</v>
      </c>
      <c r="O223" s="22">
        <v>1010567</v>
      </c>
      <c r="P223" s="23">
        <v>16717752</v>
      </c>
      <c r="Q223" s="23">
        <v>15881240</v>
      </c>
      <c r="R223" s="23">
        <v>835992</v>
      </c>
      <c r="S223" s="24"/>
      <c r="T223" s="25">
        <v>95.075199999999995</v>
      </c>
      <c r="U223" s="25">
        <v>99.838499999999996</v>
      </c>
      <c r="V223" s="25">
        <v>25.9208</v>
      </c>
      <c r="W223" s="25">
        <v>34.679000000000002</v>
      </c>
      <c r="X223" s="25">
        <v>36.420400000000001</v>
      </c>
      <c r="Y223" s="26"/>
      <c r="Z223" s="27"/>
      <c r="AA223" s="27"/>
      <c r="AC223" s="19" t="str">
        <f t="shared" si="38"/>
        <v>·</v>
      </c>
      <c r="AD223" s="20">
        <f t="shared" si="39"/>
        <v>16.245424706928915</v>
      </c>
      <c r="AE223" s="20">
        <f t="shared" si="40"/>
        <v>15.714804505482435</v>
      </c>
      <c r="AF223" s="20">
        <f t="shared" si="41"/>
        <v>0.53011356720968228</v>
      </c>
      <c r="AG223" s="21"/>
      <c r="AH223" s="20">
        <f t="shared" si="42"/>
        <v>16.245810520232702</v>
      </c>
      <c r="AI223" s="22">
        <v>1010567</v>
      </c>
      <c r="AJ223" s="23">
        <v>16417480</v>
      </c>
      <c r="AK223" s="23">
        <v>15881240</v>
      </c>
      <c r="AL223" s="23">
        <v>535728</v>
      </c>
      <c r="AM223" s="24"/>
      <c r="AN223" s="25">
        <v>95.075199999999995</v>
      </c>
      <c r="AO223" s="25">
        <v>99.838499999999996</v>
      </c>
      <c r="AP223" s="25">
        <v>24.523299999999999</v>
      </c>
      <c r="AQ223" s="25">
        <v>33.072299999999998</v>
      </c>
      <c r="AR223" s="25">
        <v>35.030900000000003</v>
      </c>
      <c r="AS223" s="26"/>
      <c r="AT223" s="27"/>
      <c r="AU223" s="27"/>
      <c r="AW223" s="28">
        <f t="shared" si="43"/>
        <v>1.7374602252304139E-2</v>
      </c>
      <c r="AX223" s="28"/>
      <c r="AZ223" s="29"/>
      <c r="BA223" s="29"/>
      <c r="BB223" s="29"/>
      <c r="BC223" s="29"/>
      <c r="BD223" s="29"/>
      <c r="BE223" s="30"/>
      <c r="BG223" s="29"/>
      <c r="BH223" s="29"/>
      <c r="BI223" s="29"/>
      <c r="BJ223" s="29"/>
      <c r="BK223" s="29"/>
      <c r="BL223" s="30"/>
    </row>
    <row r="224" spans="1:64" outlineLevel="1" x14ac:dyDescent="0.15">
      <c r="A224" s="31"/>
      <c r="B224" s="31" t="s">
        <v>339</v>
      </c>
      <c r="C224" s="32" t="s">
        <v>228</v>
      </c>
      <c r="D224" s="31">
        <v>1010591</v>
      </c>
      <c r="E224" s="33">
        <v>20</v>
      </c>
      <c r="F224" s="32">
        <v>1</v>
      </c>
      <c r="G224" s="32"/>
      <c r="I224" s="34" t="str">
        <f t="shared" si="33"/>
        <v>·</v>
      </c>
      <c r="J224" s="35">
        <f t="shared" si="34"/>
        <v>20.594008852245864</v>
      </c>
      <c r="K224" s="35">
        <f t="shared" si="35"/>
        <v>18.81926912074222</v>
      </c>
      <c r="L224" s="35">
        <f t="shared" si="36"/>
        <v>1.7742251811068968</v>
      </c>
      <c r="M224" s="36"/>
      <c r="N224" s="35">
        <f t="shared" si="37"/>
        <v>20.594110743667535</v>
      </c>
      <c r="O224" s="37">
        <v>1010586</v>
      </c>
      <c r="P224" s="38">
        <v>20812120</v>
      </c>
      <c r="Q224" s="38">
        <v>19018584</v>
      </c>
      <c r="R224" s="38">
        <v>1793016</v>
      </c>
      <c r="S224" s="39"/>
      <c r="T224" s="40">
        <v>101.093</v>
      </c>
      <c r="U224" s="40">
        <v>105.867</v>
      </c>
      <c r="V224" s="40">
        <v>30.191199999999998</v>
      </c>
      <c r="W224" s="40">
        <v>36.652700000000003</v>
      </c>
      <c r="X224" s="40">
        <v>38.136400000000002</v>
      </c>
      <c r="Y224" s="41"/>
      <c r="Z224" s="42"/>
      <c r="AA224" s="42"/>
      <c r="AC224" s="34" t="str">
        <f t="shared" si="38"/>
        <v>·</v>
      </c>
      <c r="AD224" s="35">
        <f t="shared" si="39"/>
        <v>20.116696071902481</v>
      </c>
      <c r="AE224" s="35">
        <f t="shared" si="40"/>
        <v>18.81926912074222</v>
      </c>
      <c r="AF224" s="35">
        <f t="shared" si="41"/>
        <v>1.2969203169234635</v>
      </c>
      <c r="AG224" s="36"/>
      <c r="AH224" s="35">
        <f t="shared" si="42"/>
        <v>20.116795601759772</v>
      </c>
      <c r="AI224" s="37">
        <v>1010586</v>
      </c>
      <c r="AJ224" s="38">
        <v>20329752</v>
      </c>
      <c r="AK224" s="38">
        <v>19018584</v>
      </c>
      <c r="AL224" s="38">
        <v>1310656</v>
      </c>
      <c r="AM224" s="39"/>
      <c r="AN224" s="40">
        <v>101.093</v>
      </c>
      <c r="AO224" s="40">
        <v>105.867</v>
      </c>
      <c r="AP224" s="40">
        <v>28.790099999999999</v>
      </c>
      <c r="AQ224" s="40">
        <v>34.958500000000001</v>
      </c>
      <c r="AR224" s="40">
        <v>36.630299999999998</v>
      </c>
      <c r="AS224" s="41"/>
      <c r="AT224" s="42"/>
      <c r="AU224" s="42"/>
      <c r="AW224" s="43">
        <f t="shared" si="43"/>
        <v>2.1682445639447323E-2</v>
      </c>
      <c r="AX224" s="43"/>
      <c r="AZ224" s="44"/>
      <c r="BA224" s="44"/>
      <c r="BB224" s="44"/>
      <c r="BC224" s="44"/>
      <c r="BD224" s="44"/>
      <c r="BE224" s="45"/>
      <c r="BG224" s="44"/>
      <c r="BH224" s="44"/>
      <c r="BI224" s="44"/>
      <c r="BJ224" s="44"/>
      <c r="BK224" s="44"/>
      <c r="BL224" s="45"/>
    </row>
    <row r="225" spans="1:64" outlineLevel="1" x14ac:dyDescent="0.15">
      <c r="A225" s="16"/>
      <c r="B225" s="16" t="s">
        <v>339</v>
      </c>
      <c r="C225" s="17" t="s">
        <v>229</v>
      </c>
      <c r="D225" s="16">
        <v>1010591</v>
      </c>
      <c r="E225" s="18">
        <v>20</v>
      </c>
      <c r="F225" s="17">
        <v>1</v>
      </c>
      <c r="G225" s="17"/>
      <c r="I225" s="19" t="str">
        <f t="shared" si="33"/>
        <v>·</v>
      </c>
      <c r="J225" s="20">
        <f t="shared" si="34"/>
        <v>28.095623254115662</v>
      </c>
      <c r="K225" s="20">
        <f t="shared" si="35"/>
        <v>24.871062576254886</v>
      </c>
      <c r="L225" s="20">
        <f t="shared" si="36"/>
        <v>3.2240382113040784</v>
      </c>
      <c r="M225" s="21"/>
      <c r="N225" s="20">
        <f t="shared" si="37"/>
        <v>28.095623254115662</v>
      </c>
      <c r="O225" s="22">
        <v>1010591</v>
      </c>
      <c r="P225" s="23">
        <v>28393184</v>
      </c>
      <c r="Q225" s="23">
        <v>25134472</v>
      </c>
      <c r="R225" s="23">
        <v>3258184</v>
      </c>
      <c r="S225" s="24"/>
      <c r="T225" s="25">
        <v>113.003</v>
      </c>
      <c r="U225" s="25">
        <v>117.72</v>
      </c>
      <c r="V225" s="25">
        <v>35.362099999999998</v>
      </c>
      <c r="W225" s="25">
        <v>39.195700000000002</v>
      </c>
      <c r="X225" s="25">
        <v>40.251300000000001</v>
      </c>
      <c r="Y225" s="26"/>
      <c r="Z225" s="27"/>
      <c r="AA225" s="27"/>
      <c r="AC225" s="19" t="str">
        <f t="shared" si="38"/>
        <v>·</v>
      </c>
      <c r="AD225" s="20">
        <f t="shared" si="39"/>
        <v>27.473009357890582</v>
      </c>
      <c r="AE225" s="20">
        <f t="shared" si="40"/>
        <v>24.871062576254886</v>
      </c>
      <c r="AF225" s="20">
        <f t="shared" si="41"/>
        <v>2.6014322312389484</v>
      </c>
      <c r="AG225" s="21"/>
      <c r="AH225" s="20">
        <f t="shared" si="42"/>
        <v>27.473009357890582</v>
      </c>
      <c r="AI225" s="22">
        <v>1010591</v>
      </c>
      <c r="AJ225" s="23">
        <v>27763976</v>
      </c>
      <c r="AK225" s="23">
        <v>25134472</v>
      </c>
      <c r="AL225" s="23">
        <v>2628984</v>
      </c>
      <c r="AM225" s="24"/>
      <c r="AN225" s="25">
        <v>113.003</v>
      </c>
      <c r="AO225" s="25">
        <v>117.72</v>
      </c>
      <c r="AP225" s="25">
        <v>34.190800000000003</v>
      </c>
      <c r="AQ225" s="25">
        <v>37.741599999999998</v>
      </c>
      <c r="AR225" s="25">
        <v>38.8279</v>
      </c>
      <c r="AS225" s="26"/>
      <c r="AT225" s="27"/>
      <c r="AU225" s="27"/>
      <c r="AW225" s="28">
        <f t="shared" si="43"/>
        <v>2.0061723711022883E-2</v>
      </c>
      <c r="AX225" s="28"/>
      <c r="AZ225" s="29"/>
      <c r="BA225" s="29"/>
      <c r="BB225" s="29"/>
      <c r="BC225" s="29"/>
      <c r="BD225" s="29"/>
      <c r="BE225" s="30"/>
      <c r="BG225" s="29"/>
      <c r="BH225" s="29"/>
      <c r="BI225" s="29"/>
      <c r="BJ225" s="29"/>
      <c r="BK225" s="29"/>
      <c r="BL225" s="30"/>
    </row>
    <row r="226" spans="1:64" outlineLevel="1" x14ac:dyDescent="0.15">
      <c r="A226" s="31"/>
      <c r="B226" s="46" t="s">
        <v>339</v>
      </c>
      <c r="C226" s="47" t="s">
        <v>230</v>
      </c>
      <c r="D226" s="46">
        <v>1010591</v>
      </c>
      <c r="E226" s="48">
        <v>20</v>
      </c>
      <c r="F226" s="47">
        <v>1</v>
      </c>
      <c r="G226" s="47"/>
      <c r="I226" s="49" t="str">
        <f t="shared" si="33"/>
        <v>·</v>
      </c>
      <c r="J226" s="50">
        <f t="shared" si="34"/>
        <v>32.701276777647934</v>
      </c>
      <c r="K226" s="50">
        <f t="shared" si="35"/>
        <v>27.372197060927714</v>
      </c>
      <c r="L226" s="50">
        <f t="shared" si="36"/>
        <v>5.3285493340035686</v>
      </c>
      <c r="M226" s="51"/>
      <c r="N226" s="50">
        <f t="shared" si="37"/>
        <v>32.701276777647934</v>
      </c>
      <c r="O226" s="52">
        <v>1010591</v>
      </c>
      <c r="P226" s="53">
        <v>33047616</v>
      </c>
      <c r="Q226" s="53">
        <v>27662096</v>
      </c>
      <c r="R226" s="53">
        <v>5384984</v>
      </c>
      <c r="S226" s="54"/>
      <c r="T226" s="55">
        <v>118.645</v>
      </c>
      <c r="U226" s="55">
        <v>123.248</v>
      </c>
      <c r="V226" s="55">
        <v>40.902999999999999</v>
      </c>
      <c r="W226" s="55">
        <v>42.715200000000003</v>
      </c>
      <c r="X226" s="55">
        <v>43.189</v>
      </c>
      <c r="Y226" s="56"/>
      <c r="Z226" s="57"/>
      <c r="AA226" s="57"/>
      <c r="AC226" s="49" t="str">
        <f t="shared" si="38"/>
        <v>·</v>
      </c>
      <c r="AD226" s="50">
        <f t="shared" si="39"/>
        <v>31.802127665890552</v>
      </c>
      <c r="AE226" s="50">
        <f t="shared" si="40"/>
        <v>27.372197060927714</v>
      </c>
      <c r="AF226" s="50">
        <f t="shared" si="41"/>
        <v>4.4294081384061403</v>
      </c>
      <c r="AG226" s="51"/>
      <c r="AH226" s="50">
        <f t="shared" si="42"/>
        <v>31.802127665890552</v>
      </c>
      <c r="AI226" s="52">
        <v>1010591</v>
      </c>
      <c r="AJ226" s="53">
        <v>32138944</v>
      </c>
      <c r="AK226" s="53">
        <v>27662096</v>
      </c>
      <c r="AL226" s="53">
        <v>4476320</v>
      </c>
      <c r="AM226" s="54"/>
      <c r="AN226" s="55">
        <v>118.645</v>
      </c>
      <c r="AO226" s="55">
        <v>123.248</v>
      </c>
      <c r="AP226" s="55">
        <v>39.4206</v>
      </c>
      <c r="AQ226" s="55">
        <v>41.248699999999999</v>
      </c>
      <c r="AR226" s="55">
        <v>41.716000000000001</v>
      </c>
      <c r="AS226" s="56"/>
      <c r="AT226" s="57"/>
      <c r="AU226" s="57"/>
      <c r="AW226" s="58">
        <f t="shared" si="43"/>
        <v>2.3665761935338425E-2</v>
      </c>
      <c r="AX226" s="58"/>
      <c r="AZ226" s="59"/>
      <c r="BA226" s="59"/>
      <c r="BB226" s="59"/>
      <c r="BC226" s="59"/>
      <c r="BD226" s="59"/>
      <c r="BE226" s="60"/>
      <c r="BG226" s="59"/>
      <c r="BH226" s="59"/>
      <c r="BI226" s="59"/>
      <c r="BJ226" s="59"/>
      <c r="BK226" s="59"/>
      <c r="BL226" s="60"/>
    </row>
    <row r="227" spans="1:64" collapsed="1" x14ac:dyDescent="0.15">
      <c r="A227" s="16"/>
      <c r="B227" s="16" t="s">
        <v>342</v>
      </c>
      <c r="C227" s="17" t="s">
        <v>225</v>
      </c>
      <c r="D227" s="16">
        <v>47062002</v>
      </c>
      <c r="E227" s="18">
        <v>16</v>
      </c>
      <c r="F227" s="17">
        <v>1</v>
      </c>
      <c r="G227" s="17"/>
      <c r="I227" s="19" t="str">
        <f t="shared" si="33"/>
        <v>·</v>
      </c>
      <c r="J227" s="20">
        <f t="shared" si="34"/>
        <v>5.0520587713204386E-4</v>
      </c>
      <c r="K227" s="20">
        <f t="shared" si="35"/>
        <v>4.1120222637362514E-4</v>
      </c>
      <c r="L227" s="20">
        <f t="shared" si="36"/>
        <v>8.3464362608288528E-5</v>
      </c>
      <c r="M227" s="21"/>
      <c r="N227" s="20">
        <f t="shared" si="37"/>
        <v>1.1032946635730858</v>
      </c>
      <c r="O227" s="22">
        <v>21550</v>
      </c>
      <c r="P227" s="23">
        <v>23776</v>
      </c>
      <c r="Q227" s="23">
        <v>19352</v>
      </c>
      <c r="R227" s="23">
        <v>3928</v>
      </c>
      <c r="S227" s="24"/>
      <c r="T227" s="25">
        <v>52.894500000000001</v>
      </c>
      <c r="U227" s="25">
        <v>57.364800000000002</v>
      </c>
      <c r="V227" s="25">
        <v>14.9421</v>
      </c>
      <c r="W227" s="25">
        <v>29.8795</v>
      </c>
      <c r="X227" s="25">
        <v>33.369799999999998</v>
      </c>
      <c r="Y227" s="26"/>
      <c r="Z227" s="27"/>
      <c r="AA227" s="27"/>
      <c r="AC227" s="19" t="str">
        <f t="shared" si="38"/>
        <v>·</v>
      </c>
      <c r="AD227" s="20">
        <f t="shared" si="39"/>
        <v>4.5488927564109999E-4</v>
      </c>
      <c r="AE227" s="20">
        <f t="shared" si="40"/>
        <v>4.1120222637362514E-4</v>
      </c>
      <c r="AF227" s="20">
        <f t="shared" si="41"/>
        <v>3.3317749635895215E-5</v>
      </c>
      <c r="AG227" s="21"/>
      <c r="AH227" s="20">
        <f t="shared" si="42"/>
        <v>0.99341067285382834</v>
      </c>
      <c r="AI227" s="22">
        <v>21550</v>
      </c>
      <c r="AJ227" s="23">
        <v>21408</v>
      </c>
      <c r="AK227" s="23">
        <v>19352</v>
      </c>
      <c r="AL227" s="23">
        <v>1568</v>
      </c>
      <c r="AM227" s="24"/>
      <c r="AN227" s="25">
        <v>52.894500000000001</v>
      </c>
      <c r="AO227" s="25">
        <v>57.364800000000002</v>
      </c>
      <c r="AP227" s="25">
        <v>14.558</v>
      </c>
      <c r="AQ227" s="25">
        <v>29.650400000000001</v>
      </c>
      <c r="AR227" s="25">
        <v>33.358400000000003</v>
      </c>
      <c r="AS227" s="26"/>
      <c r="AT227" s="27"/>
      <c r="AU227" s="27"/>
      <c r="AW227" s="28">
        <f t="shared" si="43"/>
        <v>9.0031122564966037E-2</v>
      </c>
      <c r="AX227" s="28">
        <f t="array" ref="AX227">AVERAGE(AK227:AK232/AJ227:AJ232) - AVERAGE(Q227:Q232/P227:P232)</f>
        <v>7.6225789644056019E-2</v>
      </c>
      <c r="AZ227" s="29">
        <f>IF( OR(ISBLANK(Q227:Q232),ISBLANK(AK227:AK232), ISBLANK(T227:T232),ISBLANK(AN227:AN232)), "·", bdRateExtend( Q227:Q232,T227:T232, AK227:AK232,AN227:AN232))</f>
        <v>0</v>
      </c>
      <c r="BA227" s="29">
        <f>IF( OR(ISBLANK(Q227:Q232),ISBLANK(AK227:AK232), ISBLANK(U227:U232),ISBLANK(AO227:AO232)), "·", bdRateExtend( Q227:Q232,U227:U232, AK227:AK232,AO227:AO232))</f>
        <v>0</v>
      </c>
      <c r="BB227" s="29">
        <f>IF( OR(ISBLANK(R227:R232),ISBLANK(AL227:AL232), ISBLANK(V227:V232),ISBLANK(AP227:AP232)), "·", bdRateExtend( R227:R232,V227:V232, AL227:AL232,AP227:AP232))</f>
        <v>-0.20232116978263692</v>
      </c>
      <c r="BC227" s="29">
        <f>IF( OR(ISBLANK(R227:R232),ISBLANK(AL227:AL232), ISBLANK(W227:W232),ISBLANK(AQ227:AQ232)), "·", bdRateExtend( R227:R232,W227:W232, AL227:AL232,AQ227:AQ232))</f>
        <v>0.24407684154169607</v>
      </c>
      <c r="BD227" s="29">
        <f>IF( OR(ISBLANK(R227:R232),ISBLANK(AL227:AL232), ISBLANK(X227:X232),ISBLANK(AR227:AR232)), "·", bdRateExtend( R227:R232,X227:X232, AL227:AL232,AR227:AR232))</f>
        <v>0.27970402714464648</v>
      </c>
      <c r="BE227" s="30"/>
      <c r="BG227" s="29">
        <f>IF( OR(ISBLANK(P227:P232),ISBLANK(AJ227:AJ232), ISBLANK(T227:T232),ISBLANK(AN227:AN232)), "·", bdRateExtend( P227:P232,T227:T232, AJ227:AJ232,AN227:AN232))</f>
        <v>-0.13179529882030949</v>
      </c>
      <c r="BH227" s="29">
        <f>IF( OR(ISBLANK(P227:P232),ISBLANK(AJ227:AJ232), ISBLANK(U227:U232),ISBLANK(AO227:AO232)), "·", bdRateExtend( P227:P232,U227:U232, AJ227:AJ232,AO227:AO232))</f>
        <v>-0.13178117311902393</v>
      </c>
      <c r="BI227" s="29">
        <f>IF( OR(ISBLANK(P227:P232),ISBLANK(AJ227:AJ232), ISBLANK(V227:V232),ISBLANK(AP227:AP232)), "·", bdRateExtend( P227:P232,V227:V232, AJ227:AJ232,AP227:AP232))</f>
        <v>-6.3161822619055563E-3</v>
      </c>
      <c r="BJ227" s="29">
        <f>IF( OR(ISBLANK(P227:P232),ISBLANK(AJ227:AJ232), ISBLANK(W227:W232),ISBLANK(AQ227:AQ232)), "·", bdRateExtend( P227:P232,W227:W232, AJ227:AJ232,AQ227:AQ232))</f>
        <v>0.54172272025160551</v>
      </c>
      <c r="BK227" s="29">
        <f>IF( OR(ISBLANK(P227:P232),ISBLANK(AJ227:AJ232), ISBLANK(X227:X232),ISBLANK(AR227:AR232)), "·", bdRateExtend( P227:P232,X227:X232, AJ227:AJ232,AR227:AR232))</f>
        <v>0.60751266652127267</v>
      </c>
      <c r="BL227" s="30"/>
    </row>
    <row r="228" spans="1:64" outlineLevel="1" x14ac:dyDescent="0.15">
      <c r="A228" s="31"/>
      <c r="B228" s="31" t="s">
        <v>342</v>
      </c>
      <c r="C228" s="32" t="s">
        <v>226</v>
      </c>
      <c r="D228" s="31">
        <v>47062002</v>
      </c>
      <c r="E228" s="33">
        <v>16</v>
      </c>
      <c r="F228" s="32">
        <v>1</v>
      </c>
      <c r="G228" s="32"/>
      <c r="I228" s="34" t="str">
        <f t="shared" si="33"/>
        <v>·</v>
      </c>
      <c r="J228" s="35">
        <f t="shared" si="34"/>
        <v>2.5802557230778242E-3</v>
      </c>
      <c r="K228" s="35">
        <f t="shared" si="35"/>
        <v>1.6368194451226279E-3</v>
      </c>
      <c r="L228" s="35">
        <f t="shared" si="36"/>
        <v>9.3272700128651566E-4</v>
      </c>
      <c r="M228" s="36"/>
      <c r="N228" s="35">
        <f t="shared" si="37"/>
        <v>1.3113040473413675</v>
      </c>
      <c r="O228" s="37">
        <v>92604</v>
      </c>
      <c r="P228" s="38">
        <v>121432</v>
      </c>
      <c r="Q228" s="38">
        <v>77032</v>
      </c>
      <c r="R228" s="38">
        <v>43896</v>
      </c>
      <c r="S228" s="39"/>
      <c r="T228" s="40">
        <v>58.994399999999999</v>
      </c>
      <c r="U228" s="40">
        <v>63.144500000000001</v>
      </c>
      <c r="V228" s="40">
        <v>17.271000000000001</v>
      </c>
      <c r="W228" s="40">
        <v>31.209599999999998</v>
      </c>
      <c r="X228" s="40">
        <v>34.455100000000002</v>
      </c>
      <c r="Y228" s="41"/>
      <c r="Z228" s="42"/>
      <c r="AA228" s="42"/>
      <c r="AC228" s="34" t="str">
        <f t="shared" si="38"/>
        <v>·</v>
      </c>
      <c r="AD228" s="35">
        <f t="shared" si="39"/>
        <v>2.2120605918974716E-3</v>
      </c>
      <c r="AE228" s="35">
        <f t="shared" si="40"/>
        <v>1.6368194451226279E-3</v>
      </c>
      <c r="AF228" s="35">
        <f t="shared" si="41"/>
        <v>5.6470185862471389E-4</v>
      </c>
      <c r="AG228" s="36"/>
      <c r="AH228" s="35">
        <f t="shared" si="42"/>
        <v>1.1241847004449053</v>
      </c>
      <c r="AI228" s="37">
        <v>92604</v>
      </c>
      <c r="AJ228" s="38">
        <v>104104</v>
      </c>
      <c r="AK228" s="38">
        <v>77032</v>
      </c>
      <c r="AL228" s="38">
        <v>26576</v>
      </c>
      <c r="AM228" s="39"/>
      <c r="AN228" s="40">
        <v>58.994399999999999</v>
      </c>
      <c r="AO228" s="40">
        <v>63.144500000000001</v>
      </c>
      <c r="AP228" s="40">
        <v>17.042899999999999</v>
      </c>
      <c r="AQ228" s="40">
        <v>30.568300000000001</v>
      </c>
      <c r="AR228" s="40">
        <v>33.981999999999999</v>
      </c>
      <c r="AS228" s="41"/>
      <c r="AT228" s="42"/>
      <c r="AU228" s="42"/>
      <c r="AW228" s="43">
        <f t="shared" si="43"/>
        <v>0.10558909029974817</v>
      </c>
      <c r="AX228" s="43"/>
      <c r="AZ228" s="44"/>
      <c r="BA228" s="44"/>
      <c r="BB228" s="44"/>
      <c r="BC228" s="44"/>
      <c r="BD228" s="44"/>
      <c r="BE228" s="45"/>
      <c r="BG228" s="44"/>
      <c r="BH228" s="44"/>
      <c r="BI228" s="44"/>
      <c r="BJ228" s="44"/>
      <c r="BK228" s="44"/>
      <c r="BL228" s="45"/>
    </row>
    <row r="229" spans="1:64" outlineLevel="1" x14ac:dyDescent="0.15">
      <c r="A229" s="16"/>
      <c r="B229" s="16" t="s">
        <v>342</v>
      </c>
      <c r="C229" s="17" t="s">
        <v>227</v>
      </c>
      <c r="D229" s="16">
        <v>47062002</v>
      </c>
      <c r="E229" s="18">
        <v>16</v>
      </c>
      <c r="F229" s="17">
        <v>1</v>
      </c>
      <c r="G229" s="17"/>
      <c r="I229" s="19" t="str">
        <f t="shared" si="33"/>
        <v>·</v>
      </c>
      <c r="J229" s="20">
        <f t="shared" si="34"/>
        <v>4.3094299303289306E-2</v>
      </c>
      <c r="K229" s="20">
        <f t="shared" si="35"/>
        <v>1.9858228725586301E-2</v>
      </c>
      <c r="L229" s="20">
        <f t="shared" si="36"/>
        <v>2.3220261645477809E-2</v>
      </c>
      <c r="M229" s="21"/>
      <c r="N229" s="20">
        <f t="shared" si="37"/>
        <v>1.3443857208103287</v>
      </c>
      <c r="O229" s="22">
        <v>1508573</v>
      </c>
      <c r="P229" s="23">
        <v>2028104</v>
      </c>
      <c r="Q229" s="23">
        <v>934568</v>
      </c>
      <c r="R229" s="23">
        <v>1092792</v>
      </c>
      <c r="S229" s="24"/>
      <c r="T229" s="25">
        <v>70.972499999999997</v>
      </c>
      <c r="U229" s="25">
        <v>74.833799999999997</v>
      </c>
      <c r="V229" s="25">
        <v>22.377400000000002</v>
      </c>
      <c r="W229" s="25">
        <v>35.121299999999998</v>
      </c>
      <c r="X229" s="25">
        <v>37.963700000000003</v>
      </c>
      <c r="Y229" s="26"/>
      <c r="Z229" s="27"/>
      <c r="AA229" s="27"/>
      <c r="AC229" s="19" t="str">
        <f t="shared" si="38"/>
        <v>·</v>
      </c>
      <c r="AD229" s="20">
        <f t="shared" si="39"/>
        <v>3.6177806460507139E-2</v>
      </c>
      <c r="AE229" s="20">
        <f t="shared" si="40"/>
        <v>1.9858228725586301E-2</v>
      </c>
      <c r="AF229" s="20">
        <f t="shared" si="41"/>
        <v>1.6303938791214195E-2</v>
      </c>
      <c r="AG229" s="21"/>
      <c r="AH229" s="20">
        <f t="shared" si="42"/>
        <v>1.1286162486004987</v>
      </c>
      <c r="AI229" s="22">
        <v>1508573</v>
      </c>
      <c r="AJ229" s="23">
        <v>1702600</v>
      </c>
      <c r="AK229" s="23">
        <v>934568</v>
      </c>
      <c r="AL229" s="23">
        <v>767296</v>
      </c>
      <c r="AM229" s="24"/>
      <c r="AN229" s="25">
        <v>70.972499999999997</v>
      </c>
      <c r="AO229" s="25">
        <v>74.833799999999997</v>
      </c>
      <c r="AP229" s="25">
        <v>22.154599999999999</v>
      </c>
      <c r="AQ229" s="25">
        <v>34.032299999999999</v>
      </c>
      <c r="AR229" s="25">
        <v>36.887300000000003</v>
      </c>
      <c r="AS229" s="26"/>
      <c r="AT229" s="27"/>
      <c r="AU229" s="27"/>
      <c r="AW229" s="28">
        <f t="shared" si="43"/>
        <v>8.8097662556133605E-2</v>
      </c>
      <c r="AX229" s="28"/>
      <c r="AZ229" s="29"/>
      <c r="BA229" s="29"/>
      <c r="BB229" s="29"/>
      <c r="BC229" s="29"/>
      <c r="BD229" s="29"/>
      <c r="BE229" s="30"/>
      <c r="BG229" s="29"/>
      <c r="BH229" s="29"/>
      <c r="BI229" s="29"/>
      <c r="BJ229" s="29"/>
      <c r="BK229" s="29"/>
      <c r="BL229" s="30"/>
    </row>
    <row r="230" spans="1:64" outlineLevel="1" x14ac:dyDescent="0.15">
      <c r="A230" s="31"/>
      <c r="B230" s="31" t="s">
        <v>342</v>
      </c>
      <c r="C230" s="32" t="s">
        <v>228</v>
      </c>
      <c r="D230" s="31">
        <v>47062002</v>
      </c>
      <c r="E230" s="33">
        <v>16</v>
      </c>
      <c r="F230" s="32">
        <v>1</v>
      </c>
      <c r="G230" s="32"/>
      <c r="I230" s="34" t="str">
        <f t="shared" si="33"/>
        <v>·</v>
      </c>
      <c r="J230" s="35">
        <f t="shared" si="34"/>
        <v>0.19591125766387923</v>
      </c>
      <c r="K230" s="35">
        <f t="shared" si="35"/>
        <v>7.0071647185769956E-2</v>
      </c>
      <c r="L230" s="35">
        <f t="shared" si="36"/>
        <v>0.12581683201662353</v>
      </c>
      <c r="M230" s="36"/>
      <c r="N230" s="35">
        <f t="shared" si="37"/>
        <v>1.5659064923807071</v>
      </c>
      <c r="O230" s="37">
        <v>5887948</v>
      </c>
      <c r="P230" s="38">
        <v>9219976</v>
      </c>
      <c r="Q230" s="38">
        <v>3297712</v>
      </c>
      <c r="R230" s="38">
        <v>5921192</v>
      </c>
      <c r="S230" s="39"/>
      <c r="T230" s="40">
        <v>77.011499999999998</v>
      </c>
      <c r="U230" s="40">
        <v>81.102800000000002</v>
      </c>
      <c r="V230" s="40">
        <v>25.860199999999999</v>
      </c>
      <c r="W230" s="40">
        <v>38.717300000000002</v>
      </c>
      <c r="X230" s="40">
        <v>41.261600000000001</v>
      </c>
      <c r="Y230" s="41"/>
      <c r="Z230" s="42"/>
      <c r="AA230" s="42"/>
      <c r="AC230" s="34" t="str">
        <f t="shared" si="38"/>
        <v>·</v>
      </c>
      <c r="AD230" s="35">
        <f t="shared" si="39"/>
        <v>0.16095311882397184</v>
      </c>
      <c r="AE230" s="35">
        <f t="shared" si="40"/>
        <v>7.0071647185769956E-2</v>
      </c>
      <c r="AF230" s="35">
        <f t="shared" si="41"/>
        <v>9.0858863165234657E-2</v>
      </c>
      <c r="AG230" s="36"/>
      <c r="AH230" s="35">
        <f t="shared" si="42"/>
        <v>1.2864882638229822</v>
      </c>
      <c r="AI230" s="37">
        <v>5887948</v>
      </c>
      <c r="AJ230" s="38">
        <v>7574776</v>
      </c>
      <c r="AK230" s="38">
        <v>3297712</v>
      </c>
      <c r="AL230" s="38">
        <v>4276000</v>
      </c>
      <c r="AM230" s="39"/>
      <c r="AN230" s="40">
        <v>77.011499999999998</v>
      </c>
      <c r="AO230" s="40">
        <v>81.102800000000002</v>
      </c>
      <c r="AP230" s="40">
        <v>25.639099999999999</v>
      </c>
      <c r="AQ230" s="40">
        <v>37.708399999999997</v>
      </c>
      <c r="AR230" s="40">
        <v>40.189900000000002</v>
      </c>
      <c r="AS230" s="41"/>
      <c r="AT230" s="42"/>
      <c r="AU230" s="42"/>
      <c r="AW230" s="43">
        <f t="shared" si="43"/>
        <v>7.7684046652061023E-2</v>
      </c>
      <c r="AX230" s="43"/>
      <c r="AZ230" s="44"/>
      <c r="BA230" s="44"/>
      <c r="BB230" s="44"/>
      <c r="BC230" s="44"/>
      <c r="BD230" s="44"/>
      <c r="BE230" s="45"/>
      <c r="BG230" s="44"/>
      <c r="BH230" s="44"/>
      <c r="BI230" s="44"/>
      <c r="BJ230" s="44"/>
      <c r="BK230" s="44"/>
      <c r="BL230" s="45"/>
    </row>
    <row r="231" spans="1:64" outlineLevel="1" x14ac:dyDescent="0.15">
      <c r="A231" s="16"/>
      <c r="B231" s="16" t="s">
        <v>342</v>
      </c>
      <c r="C231" s="17" t="s">
        <v>229</v>
      </c>
      <c r="D231" s="16">
        <v>47062002</v>
      </c>
      <c r="E231" s="18">
        <v>16</v>
      </c>
      <c r="F231" s="17">
        <v>1</v>
      </c>
      <c r="G231" s="17"/>
      <c r="I231" s="19" t="str">
        <f t="shared" si="33"/>
        <v>·</v>
      </c>
      <c r="J231" s="20">
        <f t="shared" si="34"/>
        <v>3.612685750172719</v>
      </c>
      <c r="K231" s="20">
        <f t="shared" si="35"/>
        <v>2.6074280477910823</v>
      </c>
      <c r="L231" s="20">
        <f t="shared" si="36"/>
        <v>1.0051703282831019</v>
      </c>
      <c r="M231" s="21"/>
      <c r="N231" s="20">
        <f t="shared" si="37"/>
        <v>4.6333481537418217</v>
      </c>
      <c r="O231" s="22">
        <v>36694895</v>
      </c>
      <c r="P231" s="23">
        <v>170020224</v>
      </c>
      <c r="Q231" s="23">
        <v>122710784</v>
      </c>
      <c r="R231" s="23">
        <v>47305328</v>
      </c>
      <c r="S231" s="24"/>
      <c r="T231" s="25">
        <v>88.924000000000007</v>
      </c>
      <c r="U231" s="25">
        <v>93.635599999999997</v>
      </c>
      <c r="V231" s="25">
        <v>34.523299999999999</v>
      </c>
      <c r="W231" s="25">
        <v>44.410400000000003</v>
      </c>
      <c r="X231" s="25">
        <v>46.068100000000001</v>
      </c>
      <c r="Y231" s="26"/>
      <c r="Z231" s="27"/>
      <c r="AA231" s="27"/>
      <c r="AC231" s="19" t="str">
        <f t="shared" si="38"/>
        <v>·</v>
      </c>
      <c r="AD231" s="20">
        <f t="shared" si="39"/>
        <v>3.3684946934471678</v>
      </c>
      <c r="AE231" s="20">
        <f t="shared" si="40"/>
        <v>2.6074280477910823</v>
      </c>
      <c r="AF231" s="20">
        <f t="shared" si="41"/>
        <v>0.76097944154606934</v>
      </c>
      <c r="AG231" s="21"/>
      <c r="AH231" s="20">
        <f t="shared" si="42"/>
        <v>4.3201678053582109</v>
      </c>
      <c r="AI231" s="22">
        <v>36694895</v>
      </c>
      <c r="AJ231" s="23">
        <v>158528104</v>
      </c>
      <c r="AK231" s="23">
        <v>122710784</v>
      </c>
      <c r="AL231" s="23">
        <v>35813216</v>
      </c>
      <c r="AM231" s="24"/>
      <c r="AN231" s="25">
        <v>88.924000000000007</v>
      </c>
      <c r="AO231" s="25">
        <v>93.635599999999997</v>
      </c>
      <c r="AP231" s="25">
        <v>33.856000000000002</v>
      </c>
      <c r="AQ231" s="25">
        <v>42.978299999999997</v>
      </c>
      <c r="AR231" s="25">
        <v>44.784199999999998</v>
      </c>
      <c r="AS231" s="26"/>
      <c r="AT231" s="27"/>
      <c r="AU231" s="27"/>
      <c r="AW231" s="28">
        <f t="shared" si="43"/>
        <v>5.2320999707418436E-2</v>
      </c>
      <c r="AX231" s="28"/>
      <c r="AZ231" s="29"/>
      <c r="BA231" s="29"/>
      <c r="BB231" s="29"/>
      <c r="BC231" s="29"/>
      <c r="BD231" s="29"/>
      <c r="BE231" s="30"/>
      <c r="BG231" s="29"/>
      <c r="BH231" s="29"/>
      <c r="BI231" s="29"/>
      <c r="BJ231" s="29"/>
      <c r="BK231" s="29"/>
      <c r="BL231" s="30"/>
    </row>
    <row r="232" spans="1:64" outlineLevel="1" x14ac:dyDescent="0.15">
      <c r="A232" s="31"/>
      <c r="B232" s="46" t="s">
        <v>342</v>
      </c>
      <c r="C232" s="47" t="s">
        <v>230</v>
      </c>
      <c r="D232" s="46">
        <v>47062002</v>
      </c>
      <c r="E232" s="48">
        <v>16</v>
      </c>
      <c r="F232" s="47">
        <v>1</v>
      </c>
      <c r="G232" s="47"/>
      <c r="I232" s="49" t="str">
        <f t="shared" si="33"/>
        <v>·</v>
      </c>
      <c r="J232" s="50">
        <f t="shared" si="34"/>
        <v>7.3594570838699127</v>
      </c>
      <c r="K232" s="50">
        <f t="shared" si="35"/>
        <v>5.4728801379932799</v>
      </c>
      <c r="L232" s="50">
        <f t="shared" si="36"/>
        <v>1.8864775025932812</v>
      </c>
      <c r="M232" s="51"/>
      <c r="N232" s="50">
        <f t="shared" si="37"/>
        <v>7.832236253631093</v>
      </c>
      <c r="O232" s="52">
        <v>44221187</v>
      </c>
      <c r="P232" s="53">
        <v>346350784</v>
      </c>
      <c r="Q232" s="53">
        <v>257564696</v>
      </c>
      <c r="R232" s="53">
        <v>88781408</v>
      </c>
      <c r="S232" s="54"/>
      <c r="T232" s="55">
        <v>94.572999999999993</v>
      </c>
      <c r="U232" s="55">
        <v>99.364699999999999</v>
      </c>
      <c r="V232" s="55">
        <v>39.837699999999998</v>
      </c>
      <c r="W232" s="55">
        <v>47.314500000000002</v>
      </c>
      <c r="X232" s="55">
        <v>48.483899999999998</v>
      </c>
      <c r="Y232" s="56"/>
      <c r="Z232" s="57"/>
      <c r="AA232" s="57"/>
      <c r="AC232" s="49" t="str">
        <f t="shared" si="38"/>
        <v>·</v>
      </c>
      <c r="AD232" s="50">
        <f t="shared" si="39"/>
        <v>6.9515912221498777</v>
      </c>
      <c r="AE232" s="50">
        <f t="shared" si="40"/>
        <v>5.4728801379932799</v>
      </c>
      <c r="AF232" s="50">
        <f t="shared" si="41"/>
        <v>1.478611810861765</v>
      </c>
      <c r="AG232" s="51"/>
      <c r="AH232" s="50">
        <f t="shared" si="42"/>
        <v>7.3981686651694805</v>
      </c>
      <c r="AI232" s="52">
        <v>44221187</v>
      </c>
      <c r="AJ232" s="53">
        <v>327155800</v>
      </c>
      <c r="AK232" s="53">
        <v>257564696</v>
      </c>
      <c r="AL232" s="53">
        <v>69586432</v>
      </c>
      <c r="AM232" s="54"/>
      <c r="AN232" s="55">
        <v>94.572999999999993</v>
      </c>
      <c r="AO232" s="55">
        <v>99.364699999999999</v>
      </c>
      <c r="AP232" s="55">
        <v>38.954099999999997</v>
      </c>
      <c r="AQ232" s="55">
        <v>45.752699999999997</v>
      </c>
      <c r="AR232" s="55">
        <v>47.053400000000003</v>
      </c>
      <c r="AS232" s="56"/>
      <c r="AT232" s="57"/>
      <c r="AU232" s="57"/>
      <c r="AW232" s="58">
        <f t="shared" si="43"/>
        <v>4.3631816084008679E-2</v>
      </c>
      <c r="AX232" s="58"/>
      <c r="AZ232" s="59"/>
      <c r="BA232" s="59"/>
      <c r="BB232" s="59"/>
      <c r="BC232" s="59"/>
      <c r="BD232" s="59"/>
      <c r="BE232" s="60"/>
      <c r="BG232" s="59"/>
      <c r="BH232" s="59"/>
      <c r="BI232" s="59"/>
      <c r="BJ232" s="59"/>
      <c r="BK232" s="59"/>
      <c r="BL232" s="60"/>
    </row>
    <row r="233" spans="1:64" collapsed="1" x14ac:dyDescent="0.15">
      <c r="A233" s="16"/>
      <c r="B233" s="16" t="s">
        <v>345</v>
      </c>
      <c r="C233" s="17" t="s">
        <v>225</v>
      </c>
      <c r="D233" s="16">
        <v>47062018</v>
      </c>
      <c r="E233" s="18">
        <v>20</v>
      </c>
      <c r="F233" s="17">
        <v>1</v>
      </c>
      <c r="G233" s="17"/>
      <c r="I233" s="19" t="str">
        <f t="shared" si="33"/>
        <v>·</v>
      </c>
      <c r="J233" s="20">
        <f t="shared" si="34"/>
        <v>8.3662200800654146E-2</v>
      </c>
      <c r="K233" s="20">
        <f t="shared" si="35"/>
        <v>7.0014337251751504E-2</v>
      </c>
      <c r="L233" s="20">
        <f t="shared" si="36"/>
        <v>1.3625085095161027E-2</v>
      </c>
      <c r="M233" s="21"/>
      <c r="N233" s="20">
        <f t="shared" si="37"/>
        <v>0.66862875059203009</v>
      </c>
      <c r="O233" s="22">
        <v>5888637</v>
      </c>
      <c r="P233" s="23">
        <v>3937312</v>
      </c>
      <c r="Q233" s="23">
        <v>3295016</v>
      </c>
      <c r="R233" s="23">
        <v>641224</v>
      </c>
      <c r="S233" s="24"/>
      <c r="T233" s="25">
        <v>77.021299999999997</v>
      </c>
      <c r="U233" s="25">
        <v>81.103399999999993</v>
      </c>
      <c r="V233" s="25">
        <v>21.901599999999998</v>
      </c>
      <c r="W233" s="25">
        <v>33.554699999999997</v>
      </c>
      <c r="X233" s="25">
        <v>36.901600000000002</v>
      </c>
      <c r="Y233" s="26"/>
      <c r="Z233" s="27"/>
      <c r="AA233" s="27"/>
      <c r="AC233" s="19" t="str">
        <f t="shared" si="38"/>
        <v>·</v>
      </c>
      <c r="AD233" s="20">
        <f t="shared" si="39"/>
        <v>7.7371097856449758E-2</v>
      </c>
      <c r="AE233" s="20">
        <f t="shared" si="40"/>
        <v>7.0014337251751504E-2</v>
      </c>
      <c r="AF233" s="20">
        <f t="shared" si="41"/>
        <v>7.3341521394173961E-3</v>
      </c>
      <c r="AG233" s="21"/>
      <c r="AH233" s="20">
        <f t="shared" si="42"/>
        <v>0.6183502226406552</v>
      </c>
      <c r="AI233" s="22">
        <v>5888637</v>
      </c>
      <c r="AJ233" s="23">
        <v>3641240</v>
      </c>
      <c r="AK233" s="23">
        <v>3295016</v>
      </c>
      <c r="AL233" s="23">
        <v>345160</v>
      </c>
      <c r="AM233" s="24"/>
      <c r="AN233" s="25">
        <v>77.021299999999997</v>
      </c>
      <c r="AO233" s="25">
        <v>81.103399999999993</v>
      </c>
      <c r="AP233" s="25">
        <v>20.839099999999998</v>
      </c>
      <c r="AQ233" s="25">
        <v>32.734099999999998</v>
      </c>
      <c r="AR233" s="25">
        <v>35.695099999999996</v>
      </c>
      <c r="AS233" s="26"/>
      <c r="AT233" s="27"/>
      <c r="AU233" s="27"/>
      <c r="AW233" s="28">
        <f t="shared" si="43"/>
        <v>6.8046490256447378E-2</v>
      </c>
      <c r="AX233" s="28">
        <f t="array" ref="AX233">AVERAGE(AK233:AK238/AJ233:AJ238) - AVERAGE(Q233:Q238/P233:P238)</f>
        <v>3.3997675218110146E-2</v>
      </c>
      <c r="AZ233" s="29">
        <f>IF( OR(ISBLANK(Q233:Q238),ISBLANK(AK233:AK238), ISBLANK(T233:T238),ISBLANK(AN233:AN238)), "·", bdRateExtend( Q233:Q238,T233:T238, AK233:AK238,AN233:AN238))</f>
        <v>0</v>
      </c>
      <c r="BA233" s="29">
        <f>IF( OR(ISBLANK(Q233:Q238),ISBLANK(AK233:AK238), ISBLANK(U233:U238),ISBLANK(AO233:AO238)), "·", bdRateExtend( Q233:Q238,U233:U238, AK233:AK238,AO233:AO238))</f>
        <v>0</v>
      </c>
      <c r="BB233" s="29">
        <f>IF( OR(ISBLANK(R233:R238),ISBLANK(AL233:AL238), ISBLANK(V233:V238),ISBLANK(AP233:AP238)), "·", bdRateExtend( R233:R238,V233:V238, AL233:AL238,AP233:AP238))</f>
        <v>-7.5284647307728769E-2</v>
      </c>
      <c r="BC233" s="29">
        <f>IF( OR(ISBLANK(R233:R238),ISBLANK(AL233:AL238), ISBLANK(W233:W238),ISBLANK(AQ233:AQ238)), "·", bdRateExtend( R233:R238,W233:W238, AL233:AL238,AQ233:AQ238))</f>
        <v>0.19660105637446779</v>
      </c>
      <c r="BD233" s="29">
        <f>IF( OR(ISBLANK(R233:R238),ISBLANK(AL233:AL238), ISBLANK(X233:X238),ISBLANK(AR233:AR238)), "·", bdRateExtend( R233:R238,X233:X238, AL233:AL238,AR233:AR238))</f>
        <v>0.25800320284251543</v>
      </c>
      <c r="BE233" s="30"/>
      <c r="BG233" s="29">
        <f>IF( OR(ISBLANK(P233:P238),ISBLANK(AJ233:AJ238), ISBLANK(T233:T238),ISBLANK(AN233:AN238)), "·", bdRateExtend( P233:P238,T233:T238, AJ233:AJ238,AN233:AN238))</f>
        <v>-3.0857750897060332E-2</v>
      </c>
      <c r="BH233" s="29">
        <f>IF( OR(ISBLANK(P233:P238),ISBLANK(AJ233:AJ238), ISBLANK(U233:U238),ISBLANK(AO233:AO238)), "·", bdRateExtend( P233:P238,U233:U238, AJ233:AJ238,AO233:AO238))</f>
        <v>-3.1212643886410651E-2</v>
      </c>
      <c r="BI233" s="29">
        <f>IF( OR(ISBLANK(P233:P238),ISBLANK(AJ233:AJ238), ISBLANK(V233:V238),ISBLANK(AP233:AP238)), "·", bdRateExtend( P233:P238,V233:V238, AJ233:AJ238,AP233:AP238))</f>
        <v>0.27979529952353821</v>
      </c>
      <c r="BJ233" s="29">
        <f>IF( OR(ISBLANK(P233:P238),ISBLANK(AJ233:AJ238), ISBLANK(W233:W238),ISBLANK(AQ233:AQ238)), "·", bdRateExtend( P233:P238,W233:W238, AJ233:AJ238,AQ233:AQ238))</f>
        <v>0.73534086814754618</v>
      </c>
      <c r="BK233" s="29">
        <f>IF( OR(ISBLANK(P233:P238),ISBLANK(AJ233:AJ238), ISBLANK(X233:X238),ISBLANK(AR233:AR238)), "·", bdRateExtend( P233:P238,X233:X238, AJ233:AJ238,AR233:AR238))</f>
        <v>0.8282139277525975</v>
      </c>
      <c r="BL233" s="30"/>
    </row>
    <row r="234" spans="1:64" outlineLevel="1" x14ac:dyDescent="0.15">
      <c r="A234" s="31"/>
      <c r="B234" s="31" t="s">
        <v>345</v>
      </c>
      <c r="C234" s="32" t="s">
        <v>226</v>
      </c>
      <c r="D234" s="31">
        <v>47062018</v>
      </c>
      <c r="E234" s="33">
        <v>20</v>
      </c>
      <c r="F234" s="32">
        <v>1</v>
      </c>
      <c r="G234" s="32"/>
      <c r="I234" s="34" t="str">
        <f t="shared" si="33"/>
        <v>·</v>
      </c>
      <c r="J234" s="35">
        <f t="shared" si="34"/>
        <v>0.56000794526065589</v>
      </c>
      <c r="K234" s="35">
        <f t="shared" si="35"/>
        <v>0.48676297731219259</v>
      </c>
      <c r="L234" s="35">
        <f t="shared" si="36"/>
        <v>7.3194991341000298E-2</v>
      </c>
      <c r="M234" s="36"/>
      <c r="N234" s="35">
        <f t="shared" si="37"/>
        <v>1.3276687699382519</v>
      </c>
      <c r="O234" s="37">
        <v>19850662</v>
      </c>
      <c r="P234" s="38">
        <v>26355104</v>
      </c>
      <c r="Q234" s="38">
        <v>22908048</v>
      </c>
      <c r="R234" s="38">
        <v>3444704</v>
      </c>
      <c r="S234" s="39"/>
      <c r="T234" s="40">
        <v>83.043599999999998</v>
      </c>
      <c r="U234" s="40">
        <v>87.531999999999996</v>
      </c>
      <c r="V234" s="40">
        <v>25.521100000000001</v>
      </c>
      <c r="W234" s="40">
        <v>37.030999999999999</v>
      </c>
      <c r="X234" s="40">
        <v>39.671999999999997</v>
      </c>
      <c r="Y234" s="41"/>
      <c r="Z234" s="42"/>
      <c r="AA234" s="42"/>
      <c r="AC234" s="34" t="str">
        <f t="shared" si="38"/>
        <v>·</v>
      </c>
      <c r="AD234" s="35">
        <f t="shared" si="39"/>
        <v>0.53059297202257671</v>
      </c>
      <c r="AE234" s="35">
        <f t="shared" si="40"/>
        <v>0.48676297731219259</v>
      </c>
      <c r="AF234" s="35">
        <f t="shared" si="41"/>
        <v>4.3780188091381886E-2</v>
      </c>
      <c r="AG234" s="36"/>
      <c r="AH234" s="35">
        <f t="shared" si="42"/>
        <v>1.2579316498361617</v>
      </c>
      <c r="AI234" s="37">
        <v>19850662</v>
      </c>
      <c r="AJ234" s="38">
        <v>24970776</v>
      </c>
      <c r="AK234" s="38">
        <v>22908048</v>
      </c>
      <c r="AL234" s="38">
        <v>2060384</v>
      </c>
      <c r="AM234" s="39"/>
      <c r="AN234" s="40">
        <v>83.043599999999998</v>
      </c>
      <c r="AO234" s="40">
        <v>87.531999999999996</v>
      </c>
      <c r="AP234" s="40">
        <v>24.583100000000002</v>
      </c>
      <c r="AQ234" s="40">
        <v>35.478099999999998</v>
      </c>
      <c r="AR234" s="40">
        <v>38.276600000000002</v>
      </c>
      <c r="AS234" s="41"/>
      <c r="AT234" s="42"/>
      <c r="AU234" s="42"/>
      <c r="AW234" s="43">
        <f t="shared" si="43"/>
        <v>4.8187047200626942E-2</v>
      </c>
      <c r="AX234" s="43"/>
      <c r="AZ234" s="44"/>
      <c r="BA234" s="44"/>
      <c r="BB234" s="44"/>
      <c r="BC234" s="44"/>
      <c r="BD234" s="44"/>
      <c r="BE234" s="45"/>
      <c r="BG234" s="44"/>
      <c r="BH234" s="44"/>
      <c r="BI234" s="44"/>
      <c r="BJ234" s="44"/>
      <c r="BK234" s="44"/>
      <c r="BL234" s="45"/>
    </row>
    <row r="235" spans="1:64" outlineLevel="1" x14ac:dyDescent="0.15">
      <c r="A235" s="16"/>
      <c r="B235" s="16" t="s">
        <v>345</v>
      </c>
      <c r="C235" s="17" t="s">
        <v>227</v>
      </c>
      <c r="D235" s="16">
        <v>47062018</v>
      </c>
      <c r="E235" s="18">
        <v>20</v>
      </c>
      <c r="F235" s="17">
        <v>1</v>
      </c>
      <c r="G235" s="17"/>
      <c r="I235" s="19" t="str">
        <f t="shared" si="33"/>
        <v>·</v>
      </c>
      <c r="J235" s="20">
        <f t="shared" si="34"/>
        <v>5.789835701477994</v>
      </c>
      <c r="K235" s="20">
        <f t="shared" si="35"/>
        <v>5.472887286728759</v>
      </c>
      <c r="L235" s="20">
        <f t="shared" si="36"/>
        <v>0.31684897149969216</v>
      </c>
      <c r="M235" s="21"/>
      <c r="N235" s="20">
        <f t="shared" si="37"/>
        <v>6.1620190480704755</v>
      </c>
      <c r="O235" s="22">
        <v>44219492</v>
      </c>
      <c r="P235" s="23">
        <v>272481352</v>
      </c>
      <c r="Q235" s="23">
        <v>257565120</v>
      </c>
      <c r="R235" s="23">
        <v>14911552</v>
      </c>
      <c r="S235" s="24"/>
      <c r="T235" s="25">
        <v>95.078100000000006</v>
      </c>
      <c r="U235" s="25">
        <v>99.841800000000006</v>
      </c>
      <c r="V235" s="25">
        <v>30.587299999999999</v>
      </c>
      <c r="W235" s="25">
        <v>40.406599999999997</v>
      </c>
      <c r="X235" s="25">
        <v>42.627600000000001</v>
      </c>
      <c r="Y235" s="26"/>
      <c r="Z235" s="27"/>
      <c r="AA235" s="27"/>
      <c r="AC235" s="19" t="str">
        <f t="shared" si="38"/>
        <v>·</v>
      </c>
      <c r="AD235" s="20">
        <f t="shared" si="39"/>
        <v>5.6791966719319174</v>
      </c>
      <c r="AE235" s="20">
        <f t="shared" si="40"/>
        <v>5.472887286728759</v>
      </c>
      <c r="AF235" s="20">
        <f t="shared" si="41"/>
        <v>0.20621011194207609</v>
      </c>
      <c r="AG235" s="21"/>
      <c r="AH235" s="20">
        <f t="shared" si="42"/>
        <v>6.0442678988713849</v>
      </c>
      <c r="AI235" s="22">
        <v>44219492</v>
      </c>
      <c r="AJ235" s="23">
        <v>267274456</v>
      </c>
      <c r="AK235" s="23">
        <v>257565120</v>
      </c>
      <c r="AL235" s="23">
        <v>9704664</v>
      </c>
      <c r="AM235" s="24"/>
      <c r="AN235" s="25">
        <v>95.078100000000006</v>
      </c>
      <c r="AO235" s="25">
        <v>99.841800000000006</v>
      </c>
      <c r="AP235" s="25">
        <v>29.083400000000001</v>
      </c>
      <c r="AQ235" s="25">
        <v>38.729500000000002</v>
      </c>
      <c r="AR235" s="25">
        <v>41.084200000000003</v>
      </c>
      <c r="AS235" s="26"/>
      <c r="AT235" s="27"/>
      <c r="AU235" s="27"/>
      <c r="AW235" s="28">
        <f t="shared" si="43"/>
        <v>1.8414999576714441E-2</v>
      </c>
      <c r="AX235" s="28"/>
      <c r="AZ235" s="29"/>
      <c r="BA235" s="29"/>
      <c r="BB235" s="29"/>
      <c r="BC235" s="29"/>
      <c r="BD235" s="29"/>
      <c r="BE235" s="30"/>
      <c r="BG235" s="29"/>
      <c r="BH235" s="29"/>
      <c r="BI235" s="29"/>
      <c r="BJ235" s="29"/>
      <c r="BK235" s="29"/>
      <c r="BL235" s="30"/>
    </row>
    <row r="236" spans="1:64" outlineLevel="1" x14ac:dyDescent="0.15">
      <c r="A236" s="31"/>
      <c r="B236" s="31" t="s">
        <v>345</v>
      </c>
      <c r="C236" s="32" t="s">
        <v>228</v>
      </c>
      <c r="D236" s="31">
        <v>47062018</v>
      </c>
      <c r="E236" s="33">
        <v>20</v>
      </c>
      <c r="F236" s="32">
        <v>1</v>
      </c>
      <c r="G236" s="32"/>
      <c r="I236" s="34" t="str">
        <f t="shared" si="33"/>
        <v>·</v>
      </c>
      <c r="J236" s="35">
        <f t="shared" si="34"/>
        <v>8.9515680351828522</v>
      </c>
      <c r="K236" s="35">
        <f t="shared" si="35"/>
        <v>8.2908264579729671</v>
      </c>
      <c r="L236" s="35">
        <f t="shared" si="36"/>
        <v>0.66063533442191114</v>
      </c>
      <c r="M236" s="36"/>
      <c r="N236" s="35">
        <f t="shared" si="37"/>
        <v>9.0671716356888012</v>
      </c>
      <c r="O236" s="37">
        <v>46461992</v>
      </c>
      <c r="P236" s="38">
        <v>421278856</v>
      </c>
      <c r="Q236" s="38">
        <v>390183024</v>
      </c>
      <c r="R236" s="38">
        <v>31090832</v>
      </c>
      <c r="S236" s="39"/>
      <c r="T236" s="40">
        <v>101.09</v>
      </c>
      <c r="U236" s="40">
        <v>105.861</v>
      </c>
      <c r="V236" s="40">
        <v>34.493899999999996</v>
      </c>
      <c r="W236" s="40">
        <v>42.735300000000002</v>
      </c>
      <c r="X236" s="40">
        <v>44.623600000000003</v>
      </c>
      <c r="Y236" s="41"/>
      <c r="Z236" s="42"/>
      <c r="AA236" s="42"/>
      <c r="AC236" s="34" t="str">
        <f t="shared" si="38"/>
        <v>·</v>
      </c>
      <c r="AD236" s="35">
        <f t="shared" si="39"/>
        <v>8.7654335604563318</v>
      </c>
      <c r="AE236" s="35">
        <f t="shared" si="40"/>
        <v>8.2908264579729671</v>
      </c>
      <c r="AF236" s="35">
        <f t="shared" si="41"/>
        <v>0.47450102968385249</v>
      </c>
      <c r="AG236" s="36"/>
      <c r="AH236" s="35">
        <f t="shared" si="42"/>
        <v>8.878633356916767</v>
      </c>
      <c r="AI236" s="37">
        <v>46461992</v>
      </c>
      <c r="AJ236" s="38">
        <v>412518992</v>
      </c>
      <c r="AK236" s="38">
        <v>390183024</v>
      </c>
      <c r="AL236" s="38">
        <v>22330976</v>
      </c>
      <c r="AM236" s="39"/>
      <c r="AN236" s="40">
        <v>101.09</v>
      </c>
      <c r="AO236" s="40">
        <v>105.861</v>
      </c>
      <c r="AP236" s="40">
        <v>32.889400000000002</v>
      </c>
      <c r="AQ236" s="40">
        <v>41.0349</v>
      </c>
      <c r="AR236" s="40">
        <v>43.112099999999998</v>
      </c>
      <c r="AS236" s="41"/>
      <c r="AT236" s="42"/>
      <c r="AU236" s="42"/>
      <c r="AW236" s="43">
        <f t="shared" si="43"/>
        <v>1.9667634264285527E-2</v>
      </c>
      <c r="AX236" s="43"/>
      <c r="AZ236" s="44"/>
      <c r="BA236" s="44"/>
      <c r="BB236" s="44"/>
      <c r="BC236" s="44"/>
      <c r="BD236" s="44"/>
      <c r="BE236" s="45"/>
      <c r="BG236" s="44"/>
      <c r="BH236" s="44"/>
      <c r="BI236" s="44"/>
      <c r="BJ236" s="44"/>
      <c r="BK236" s="44"/>
      <c r="BL236" s="45"/>
    </row>
    <row r="237" spans="1:64" outlineLevel="1" x14ac:dyDescent="0.15">
      <c r="A237" s="16"/>
      <c r="B237" s="16" t="s">
        <v>345</v>
      </c>
      <c r="C237" s="17" t="s">
        <v>229</v>
      </c>
      <c r="D237" s="16">
        <v>47062018</v>
      </c>
      <c r="E237" s="18">
        <v>20</v>
      </c>
      <c r="F237" s="17">
        <v>1</v>
      </c>
      <c r="G237" s="17"/>
      <c r="I237" s="19" t="str">
        <f t="shared" si="33"/>
        <v>·</v>
      </c>
      <c r="J237" s="20">
        <f t="shared" si="34"/>
        <v>12.404114757679961</v>
      </c>
      <c r="K237" s="20">
        <f t="shared" si="35"/>
        <v>11.177560469251446</v>
      </c>
      <c r="L237" s="20">
        <f t="shared" si="36"/>
        <v>1.2264461757674734</v>
      </c>
      <c r="M237" s="21"/>
      <c r="N237" s="20">
        <f t="shared" si="37"/>
        <v>12.404114757679961</v>
      </c>
      <c r="O237" s="22">
        <v>47062018</v>
      </c>
      <c r="P237" s="23">
        <v>583762672</v>
      </c>
      <c r="Q237" s="23">
        <v>526038552</v>
      </c>
      <c r="R237" s="23">
        <v>57719032</v>
      </c>
      <c r="S237" s="24"/>
      <c r="T237" s="25">
        <v>113.00700000000001</v>
      </c>
      <c r="U237" s="25">
        <v>117.788</v>
      </c>
      <c r="V237" s="25">
        <v>39.077100000000002</v>
      </c>
      <c r="W237" s="25">
        <v>45.243899999999996</v>
      </c>
      <c r="X237" s="25">
        <v>46.690600000000003</v>
      </c>
      <c r="Y237" s="26"/>
      <c r="Z237" s="27"/>
      <c r="AA237" s="27"/>
      <c r="AC237" s="19" t="str">
        <f t="shared" si="38"/>
        <v>·</v>
      </c>
      <c r="AD237" s="20">
        <f t="shared" si="39"/>
        <v>12.133576082521579</v>
      </c>
      <c r="AE237" s="20">
        <f t="shared" si="40"/>
        <v>11.177560469251446</v>
      </c>
      <c r="AF237" s="20">
        <f t="shared" si="41"/>
        <v>0.95590767059755066</v>
      </c>
      <c r="AG237" s="21"/>
      <c r="AH237" s="20">
        <f t="shared" si="42"/>
        <v>12.133576082521579</v>
      </c>
      <c r="AI237" s="22">
        <v>47062018</v>
      </c>
      <c r="AJ237" s="23">
        <v>571030576</v>
      </c>
      <c r="AK237" s="23">
        <v>526038552</v>
      </c>
      <c r="AL237" s="23">
        <v>44986944</v>
      </c>
      <c r="AM237" s="24"/>
      <c r="AN237" s="25">
        <v>113.00700000000001</v>
      </c>
      <c r="AO237" s="25">
        <v>117.788</v>
      </c>
      <c r="AP237" s="25">
        <v>37.589700000000001</v>
      </c>
      <c r="AQ237" s="25">
        <v>43.6342</v>
      </c>
      <c r="AR237" s="25">
        <v>45.290399999999998</v>
      </c>
      <c r="AS237" s="26"/>
      <c r="AT237" s="27"/>
      <c r="AU237" s="27"/>
      <c r="AW237" s="28">
        <f t="shared" si="43"/>
        <v>2.0091936354994178E-2</v>
      </c>
      <c r="AX237" s="28"/>
      <c r="AZ237" s="29"/>
      <c r="BA237" s="29"/>
      <c r="BB237" s="29"/>
      <c r="BC237" s="29"/>
      <c r="BD237" s="29"/>
      <c r="BE237" s="30"/>
      <c r="BG237" s="29"/>
      <c r="BH237" s="29"/>
      <c r="BI237" s="29"/>
      <c r="BJ237" s="29"/>
      <c r="BK237" s="29"/>
      <c r="BL237" s="30"/>
    </row>
    <row r="238" spans="1:64" outlineLevel="1" x14ac:dyDescent="0.15">
      <c r="A238" s="31"/>
      <c r="B238" s="46" t="s">
        <v>345</v>
      </c>
      <c r="C238" s="47" t="s">
        <v>230</v>
      </c>
      <c r="D238" s="46">
        <v>47062018</v>
      </c>
      <c r="E238" s="48">
        <v>20</v>
      </c>
      <c r="F238" s="47">
        <v>1</v>
      </c>
      <c r="G238" s="47"/>
      <c r="I238" s="49" t="str">
        <f t="shared" si="33"/>
        <v>·</v>
      </c>
      <c r="J238" s="50">
        <f t="shared" si="34"/>
        <v>13.316040633871671</v>
      </c>
      <c r="K238" s="50">
        <f t="shared" si="35"/>
        <v>11.246980696832848</v>
      </c>
      <c r="L238" s="50">
        <f t="shared" si="36"/>
        <v>2.0689516543893207</v>
      </c>
      <c r="M238" s="51"/>
      <c r="N238" s="50">
        <f t="shared" si="37"/>
        <v>13.316040633871671</v>
      </c>
      <c r="O238" s="52">
        <v>47062018</v>
      </c>
      <c r="P238" s="53">
        <v>626679744</v>
      </c>
      <c r="Q238" s="53">
        <v>529305608</v>
      </c>
      <c r="R238" s="53">
        <v>97369040</v>
      </c>
      <c r="S238" s="54"/>
      <c r="T238" s="55">
        <v>118.657</v>
      </c>
      <c r="U238" s="55">
        <v>123.434</v>
      </c>
      <c r="V238" s="55">
        <v>43.594499999999996</v>
      </c>
      <c r="W238" s="55">
        <v>47.8566</v>
      </c>
      <c r="X238" s="55">
        <v>48.874200000000002</v>
      </c>
      <c r="Y238" s="56"/>
      <c r="Z238" s="57"/>
      <c r="AA238" s="57"/>
      <c r="AC238" s="49" t="str">
        <f t="shared" si="38"/>
        <v>·</v>
      </c>
      <c r="AD238" s="50">
        <f t="shared" si="39"/>
        <v>12.865500157685545</v>
      </c>
      <c r="AE238" s="50">
        <f t="shared" si="40"/>
        <v>11.246980696832848</v>
      </c>
      <c r="AF238" s="50">
        <f t="shared" si="41"/>
        <v>1.6184113481916564</v>
      </c>
      <c r="AG238" s="51"/>
      <c r="AH238" s="50">
        <f t="shared" si="42"/>
        <v>12.865500157685545</v>
      </c>
      <c r="AI238" s="52">
        <v>47062018</v>
      </c>
      <c r="AJ238" s="53">
        <v>605476400</v>
      </c>
      <c r="AK238" s="53">
        <v>529305608</v>
      </c>
      <c r="AL238" s="53">
        <v>76165704</v>
      </c>
      <c r="AM238" s="54"/>
      <c r="AN238" s="55">
        <v>118.657</v>
      </c>
      <c r="AO238" s="55">
        <v>123.434</v>
      </c>
      <c r="AP238" s="55">
        <v>41.927599999999998</v>
      </c>
      <c r="AQ238" s="55">
        <v>46.162799999999997</v>
      </c>
      <c r="AR238" s="55">
        <v>47.358699999999999</v>
      </c>
      <c r="AS238" s="56"/>
      <c r="AT238" s="57"/>
      <c r="AU238" s="57"/>
      <c r="AW238" s="58">
        <f t="shared" si="43"/>
        <v>2.9577943655592631E-2</v>
      </c>
      <c r="AX238" s="58"/>
      <c r="AZ238" s="59"/>
      <c r="BA238" s="59"/>
      <c r="BB238" s="59"/>
      <c r="BC238" s="59"/>
      <c r="BD238" s="59"/>
      <c r="BE238" s="60"/>
      <c r="BG238" s="59"/>
      <c r="BH238" s="59"/>
      <c r="BI238" s="59"/>
      <c r="BJ238" s="59"/>
      <c r="BK238" s="59"/>
      <c r="BL238" s="60"/>
    </row>
    <row r="239" spans="1:64" collapsed="1" x14ac:dyDescent="0.15">
      <c r="A239" s="16"/>
      <c r="B239" s="16" t="s">
        <v>348</v>
      </c>
      <c r="C239" s="17" t="s">
        <v>225</v>
      </c>
      <c r="D239" s="16">
        <v>43399204</v>
      </c>
      <c r="E239" s="18">
        <v>16</v>
      </c>
      <c r="F239" s="17">
        <v>1</v>
      </c>
      <c r="G239" s="17"/>
      <c r="I239" s="19" t="str">
        <f t="shared" si="33"/>
        <v>·</v>
      </c>
      <c r="J239" s="20">
        <f t="shared" si="34"/>
        <v>7.9098224935185446E-4</v>
      </c>
      <c r="K239" s="20">
        <f t="shared" si="35"/>
        <v>6.4406711238298292E-4</v>
      </c>
      <c r="L239" s="20">
        <f t="shared" si="36"/>
        <v>1.3548635592486904E-4</v>
      </c>
      <c r="M239" s="21"/>
      <c r="N239" s="20">
        <f t="shared" si="37"/>
        <v>1.0693747858322171</v>
      </c>
      <c r="O239" s="22">
        <v>32101</v>
      </c>
      <c r="P239" s="23">
        <v>34328</v>
      </c>
      <c r="Q239" s="23">
        <v>27952</v>
      </c>
      <c r="R239" s="23">
        <v>5880</v>
      </c>
      <c r="S239" s="24"/>
      <c r="T239" s="25">
        <v>53.205599999999997</v>
      </c>
      <c r="U239" s="25">
        <v>58.256999999999998</v>
      </c>
      <c r="V239" s="25">
        <v>15.3033</v>
      </c>
      <c r="W239" s="25">
        <v>29.3612</v>
      </c>
      <c r="X239" s="25">
        <v>30.8019</v>
      </c>
      <c r="Y239" s="26"/>
      <c r="Z239" s="27"/>
      <c r="AA239" s="27"/>
      <c r="AC239" s="19" t="str">
        <f t="shared" si="38"/>
        <v>·</v>
      </c>
      <c r="AD239" s="20">
        <f t="shared" si="39"/>
        <v>7.0913743026254584E-4</v>
      </c>
      <c r="AE239" s="20">
        <f t="shared" si="40"/>
        <v>6.4406711238298292E-4</v>
      </c>
      <c r="AF239" s="20">
        <f t="shared" si="41"/>
        <v>5.3825872013689468E-5</v>
      </c>
      <c r="AG239" s="21"/>
      <c r="AH239" s="20">
        <f t="shared" si="42"/>
        <v>0.95872402728886952</v>
      </c>
      <c r="AI239" s="22">
        <v>32101</v>
      </c>
      <c r="AJ239" s="23">
        <v>30776</v>
      </c>
      <c r="AK239" s="23">
        <v>27952</v>
      </c>
      <c r="AL239" s="23">
        <v>2336</v>
      </c>
      <c r="AM239" s="24"/>
      <c r="AN239" s="25">
        <v>53.205599999999997</v>
      </c>
      <c r="AO239" s="25">
        <v>58.256999999999998</v>
      </c>
      <c r="AP239" s="25">
        <v>14.755599999999999</v>
      </c>
      <c r="AQ239" s="25">
        <v>29.224900000000002</v>
      </c>
      <c r="AR239" s="25">
        <v>30.2392</v>
      </c>
      <c r="AS239" s="26"/>
      <c r="AT239" s="27"/>
      <c r="AU239" s="27"/>
      <c r="AW239" s="28">
        <f t="shared" si="43"/>
        <v>9.3977777464115175E-2</v>
      </c>
      <c r="AX239" s="28">
        <f t="array" ref="AX239">AVERAGE(AK239:AK244/AJ239:AJ244) - AVERAGE(Q239:Q244/P239:P244)</f>
        <v>7.8949722955139801E-2</v>
      </c>
      <c r="AZ239" s="29">
        <f>IF( OR(ISBLANK(Q239:Q244),ISBLANK(AK239:AK244), ISBLANK(T239:T244),ISBLANK(AN239:AN244)), "·", bdRateExtend( Q239:Q244,T239:T244, AK239:AK244,AN239:AN244))</f>
        <v>0</v>
      </c>
      <c r="BA239" s="29">
        <f>IF( OR(ISBLANK(Q239:Q244),ISBLANK(AK239:AK244), ISBLANK(U239:U244),ISBLANK(AO239:AO244)), "·", bdRateExtend( Q239:Q244,U239:U244, AK239:AK244,AO239:AO244))</f>
        <v>0</v>
      </c>
      <c r="BB239" s="29">
        <f>IF( OR(ISBLANK(R239:R244),ISBLANK(AL239:AL244), ISBLANK(V239:V244),ISBLANK(AP239:AP244)), "·", bdRateExtend( R239:R244,V239:V244, AL239:AL244,AP239:AP244))</f>
        <v>-0.20000533090967976</v>
      </c>
      <c r="BC239" s="29">
        <f>IF( OR(ISBLANK(R239:R244),ISBLANK(AL239:AL244), ISBLANK(W239:W244),ISBLANK(AQ239:AQ244)), "·", bdRateExtend( R239:R244,W239:W244, AL239:AL244,AQ239:AQ244))</f>
        <v>0.17971847171515432</v>
      </c>
      <c r="BD239" s="29">
        <f>IF( OR(ISBLANK(R239:R244),ISBLANK(AL239:AL244), ISBLANK(X239:X244),ISBLANK(AR239:AR244)), "·", bdRateExtend( R239:R244,X239:X244, AL239:AL244,AR239:AR244))</f>
        <v>0.21701268348263536</v>
      </c>
      <c r="BE239" s="30"/>
      <c r="BG239" s="29">
        <f>IF( OR(ISBLANK(P239:P244),ISBLANK(AJ239:AJ244), ISBLANK(T239:T244),ISBLANK(AN239:AN244)), "·", bdRateExtend( P239:P244,T239:T244, AJ239:AJ244,AN239:AN244))</f>
        <v>-0.13816751183238596</v>
      </c>
      <c r="BH239" s="29">
        <f>IF( OR(ISBLANK(P239:P244),ISBLANK(AJ239:AJ244), ISBLANK(U239:U244),ISBLANK(AO239:AO244)), "·", bdRateExtend( P239:P244,U239:U244, AJ239:AJ244,AO239:AO244))</f>
        <v>-0.13938658146164395</v>
      </c>
      <c r="BI239" s="29">
        <f>IF( OR(ISBLANK(P239:P244),ISBLANK(AJ239:AJ244), ISBLANK(V239:V244),ISBLANK(AP239:AP244)), "·", bdRateExtend( P239:P244,V239:V244, AJ239:AJ244,AP239:AP244))</f>
        <v>1.2318384506009306E-3</v>
      </c>
      <c r="BJ239" s="29">
        <f>IF( OR(ISBLANK(P239:P244),ISBLANK(AJ239:AJ244), ISBLANK(W239:W244),ISBLANK(AQ239:AQ244)), "·", bdRateExtend( P239:P244,W239:W244, AJ239:AJ244,AQ239:AQ244))</f>
        <v>0.46652500828979071</v>
      </c>
      <c r="BK239" s="29">
        <f>IF( OR(ISBLANK(P239:P244),ISBLANK(AJ239:AJ244), ISBLANK(X239:X244),ISBLANK(AR239:AR244)), "·", bdRateExtend( P239:P244,X239:X244, AJ239:AJ244,AR239:AR244))</f>
        <v>0.50316156593271111</v>
      </c>
      <c r="BL239" s="30"/>
    </row>
    <row r="240" spans="1:64" outlineLevel="1" x14ac:dyDescent="0.15">
      <c r="A240" s="31"/>
      <c r="B240" s="31" t="s">
        <v>348</v>
      </c>
      <c r="C240" s="32" t="s">
        <v>226</v>
      </c>
      <c r="D240" s="31">
        <v>43399204</v>
      </c>
      <c r="E240" s="33">
        <v>16</v>
      </c>
      <c r="F240" s="32">
        <v>1</v>
      </c>
      <c r="G240" s="32"/>
      <c r="I240" s="34" t="str">
        <f t="shared" si="33"/>
        <v>·</v>
      </c>
      <c r="J240" s="35">
        <f t="shared" si="34"/>
        <v>3.8181345445874996E-3</v>
      </c>
      <c r="K240" s="35">
        <f t="shared" si="35"/>
        <v>2.4129474817095723E-3</v>
      </c>
      <c r="L240" s="35">
        <f t="shared" si="36"/>
        <v>1.3935739466557958E-3</v>
      </c>
      <c r="M240" s="36"/>
      <c r="N240" s="35">
        <f t="shared" si="37"/>
        <v>1.2238832427322146</v>
      </c>
      <c r="O240" s="37">
        <v>135392</v>
      </c>
      <c r="P240" s="38">
        <v>165704</v>
      </c>
      <c r="Q240" s="38">
        <v>104720</v>
      </c>
      <c r="R240" s="38">
        <v>60480</v>
      </c>
      <c r="S240" s="39"/>
      <c r="T240" s="40">
        <v>58.686599999999999</v>
      </c>
      <c r="U240" s="40">
        <v>62.512300000000003</v>
      </c>
      <c r="V240" s="40">
        <v>17.648599999999998</v>
      </c>
      <c r="W240" s="40">
        <v>30.540800000000001</v>
      </c>
      <c r="X240" s="40">
        <v>32.247199999999999</v>
      </c>
      <c r="Y240" s="41"/>
      <c r="Z240" s="42"/>
      <c r="AA240" s="42"/>
      <c r="AC240" s="34" t="str">
        <f t="shared" si="38"/>
        <v>·</v>
      </c>
      <c r="AD240" s="35">
        <f t="shared" si="39"/>
        <v>3.3001526940448032E-3</v>
      </c>
      <c r="AE240" s="35">
        <f t="shared" si="40"/>
        <v>2.4129474817095723E-3</v>
      </c>
      <c r="AF240" s="35">
        <f t="shared" si="41"/>
        <v>8.757764312912283E-4</v>
      </c>
      <c r="AG240" s="36"/>
      <c r="AH240" s="35">
        <f t="shared" si="42"/>
        <v>1.0578468447175609</v>
      </c>
      <c r="AI240" s="37">
        <v>135392</v>
      </c>
      <c r="AJ240" s="38">
        <v>143224</v>
      </c>
      <c r="AK240" s="38">
        <v>104720</v>
      </c>
      <c r="AL240" s="38">
        <v>38008</v>
      </c>
      <c r="AM240" s="39"/>
      <c r="AN240" s="40">
        <v>58.686599999999999</v>
      </c>
      <c r="AO240" s="40">
        <v>62.512300000000003</v>
      </c>
      <c r="AP240" s="40">
        <v>17.3371</v>
      </c>
      <c r="AQ240" s="40">
        <v>29.8933</v>
      </c>
      <c r="AR240" s="40">
        <v>31.512499999999999</v>
      </c>
      <c r="AS240" s="41"/>
      <c r="AT240" s="42"/>
      <c r="AU240" s="42"/>
      <c r="AW240" s="43">
        <f t="shared" si="43"/>
        <v>9.9192114797897801E-2</v>
      </c>
      <c r="AX240" s="43"/>
      <c r="AZ240" s="44"/>
      <c r="BA240" s="44"/>
      <c r="BB240" s="44"/>
      <c r="BC240" s="44"/>
      <c r="BD240" s="44"/>
      <c r="BE240" s="45"/>
      <c r="BG240" s="44"/>
      <c r="BH240" s="44"/>
      <c r="BI240" s="44"/>
      <c r="BJ240" s="44"/>
      <c r="BK240" s="44"/>
      <c r="BL240" s="45"/>
    </row>
    <row r="241" spans="1:64" outlineLevel="1" x14ac:dyDescent="0.15">
      <c r="A241" s="16"/>
      <c r="B241" s="16" t="s">
        <v>348</v>
      </c>
      <c r="C241" s="17" t="s">
        <v>227</v>
      </c>
      <c r="D241" s="16">
        <v>43399204</v>
      </c>
      <c r="E241" s="18">
        <v>16</v>
      </c>
      <c r="F241" s="17">
        <v>1</v>
      </c>
      <c r="G241" s="17"/>
      <c r="I241" s="19" t="str">
        <f t="shared" si="33"/>
        <v>·</v>
      </c>
      <c r="J241" s="20">
        <f t="shared" si="34"/>
        <v>6.0628024421830407E-2</v>
      </c>
      <c r="K241" s="20">
        <f t="shared" si="35"/>
        <v>2.6120110405711588E-2</v>
      </c>
      <c r="L241" s="20">
        <f t="shared" si="36"/>
        <v>3.4492614196334107E-2</v>
      </c>
      <c r="M241" s="21"/>
      <c r="N241" s="20">
        <f t="shared" si="37"/>
        <v>1.2181727186993481</v>
      </c>
      <c r="O241" s="22">
        <v>2159963</v>
      </c>
      <c r="P241" s="23">
        <v>2631208</v>
      </c>
      <c r="Q241" s="23">
        <v>1133592</v>
      </c>
      <c r="R241" s="23">
        <v>1496952</v>
      </c>
      <c r="S241" s="24"/>
      <c r="T241" s="25">
        <v>70.991</v>
      </c>
      <c r="U241" s="25">
        <v>75.118499999999997</v>
      </c>
      <c r="V241" s="25">
        <v>22.813500000000001</v>
      </c>
      <c r="W241" s="25">
        <v>34.836599999999997</v>
      </c>
      <c r="X241" s="25">
        <v>36.287399999999998</v>
      </c>
      <c r="Y241" s="26"/>
      <c r="Z241" s="27"/>
      <c r="AA241" s="27"/>
      <c r="AC241" s="19" t="str">
        <f t="shared" si="38"/>
        <v>·</v>
      </c>
      <c r="AD241" s="20">
        <f t="shared" si="39"/>
        <v>4.9652339245669114E-2</v>
      </c>
      <c r="AE241" s="20">
        <f t="shared" si="40"/>
        <v>2.6120110405711588E-2</v>
      </c>
      <c r="AF241" s="20">
        <f t="shared" si="41"/>
        <v>2.3517113355350942E-2</v>
      </c>
      <c r="AG241" s="21"/>
      <c r="AH241" s="20">
        <f t="shared" si="42"/>
        <v>0.99764301518127851</v>
      </c>
      <c r="AI241" s="22">
        <v>2159963</v>
      </c>
      <c r="AJ241" s="23">
        <v>2154872</v>
      </c>
      <c r="AK241" s="23">
        <v>1133592</v>
      </c>
      <c r="AL241" s="23">
        <v>1020624</v>
      </c>
      <c r="AM241" s="24"/>
      <c r="AN241" s="25">
        <v>70.991</v>
      </c>
      <c r="AO241" s="25">
        <v>75.118499999999997</v>
      </c>
      <c r="AP241" s="25">
        <v>22.567</v>
      </c>
      <c r="AQ241" s="25">
        <v>33.724899999999998</v>
      </c>
      <c r="AR241" s="25">
        <v>35.1449</v>
      </c>
      <c r="AS241" s="26"/>
      <c r="AT241" s="27"/>
      <c r="AU241" s="27"/>
      <c r="AW241" s="28">
        <f t="shared" si="43"/>
        <v>9.5234327368679983E-2</v>
      </c>
      <c r="AX241" s="28"/>
      <c r="AZ241" s="29"/>
      <c r="BA241" s="29"/>
      <c r="BB241" s="29"/>
      <c r="BC241" s="29"/>
      <c r="BD241" s="29"/>
      <c r="BE241" s="30"/>
      <c r="BG241" s="29"/>
      <c r="BH241" s="29"/>
      <c r="BI241" s="29"/>
      <c r="BJ241" s="29"/>
      <c r="BK241" s="29"/>
      <c r="BL241" s="30"/>
    </row>
    <row r="242" spans="1:64" outlineLevel="1" x14ac:dyDescent="0.15">
      <c r="A242" s="31"/>
      <c r="B242" s="31" t="s">
        <v>348</v>
      </c>
      <c r="C242" s="32" t="s">
        <v>228</v>
      </c>
      <c r="D242" s="31">
        <v>43399204</v>
      </c>
      <c r="E242" s="33">
        <v>16</v>
      </c>
      <c r="F242" s="32">
        <v>1</v>
      </c>
      <c r="G242" s="32"/>
      <c r="I242" s="34" t="str">
        <f t="shared" si="33"/>
        <v>·</v>
      </c>
      <c r="J242" s="35">
        <f t="shared" si="34"/>
        <v>0.29592745525931768</v>
      </c>
      <c r="K242" s="35">
        <f t="shared" si="35"/>
        <v>0.10186435677483854</v>
      </c>
      <c r="L242" s="35">
        <f t="shared" si="36"/>
        <v>0.19403286751526594</v>
      </c>
      <c r="M242" s="36"/>
      <c r="N242" s="35">
        <f t="shared" si="37"/>
        <v>1.5278704251383683</v>
      </c>
      <c r="O242" s="37">
        <v>8405828</v>
      </c>
      <c r="P242" s="38">
        <v>12843016</v>
      </c>
      <c r="Q242" s="38">
        <v>4420832</v>
      </c>
      <c r="R242" s="38">
        <v>8420872</v>
      </c>
      <c r="S242" s="39"/>
      <c r="T242" s="40">
        <v>76.997100000000003</v>
      </c>
      <c r="U242" s="40">
        <v>81.3339</v>
      </c>
      <c r="V242" s="40">
        <v>26.317</v>
      </c>
      <c r="W242" s="40">
        <v>38.4514</v>
      </c>
      <c r="X242" s="40">
        <v>39.948599999999999</v>
      </c>
      <c r="Y242" s="41"/>
      <c r="Z242" s="42"/>
      <c r="AA242" s="42"/>
      <c r="AC242" s="34" t="str">
        <f t="shared" si="38"/>
        <v>·</v>
      </c>
      <c r="AD242" s="35">
        <f t="shared" si="39"/>
        <v>0.23980513559649619</v>
      </c>
      <c r="AE242" s="35">
        <f t="shared" si="40"/>
        <v>0.10186435677483854</v>
      </c>
      <c r="AF242" s="35">
        <f t="shared" si="41"/>
        <v>0.13791073218762262</v>
      </c>
      <c r="AG242" s="36"/>
      <c r="AH242" s="35">
        <f t="shared" si="42"/>
        <v>1.2381114626661407</v>
      </c>
      <c r="AI242" s="37">
        <v>8405828</v>
      </c>
      <c r="AJ242" s="38">
        <v>10407352</v>
      </c>
      <c r="AK242" s="38">
        <v>4420832</v>
      </c>
      <c r="AL242" s="38">
        <v>5985216</v>
      </c>
      <c r="AM242" s="39"/>
      <c r="AN242" s="40">
        <v>76.997100000000003</v>
      </c>
      <c r="AO242" s="40">
        <v>81.3339</v>
      </c>
      <c r="AP242" s="40">
        <v>26.072099999999999</v>
      </c>
      <c r="AQ242" s="40">
        <v>37.589700000000001</v>
      </c>
      <c r="AR242" s="40">
        <v>39.0501</v>
      </c>
      <c r="AS242" s="41"/>
      <c r="AT242" s="42"/>
      <c r="AU242" s="42"/>
      <c r="AW242" s="43">
        <f t="shared" si="43"/>
        <v>8.0559010119000185E-2</v>
      </c>
      <c r="AX242" s="43"/>
      <c r="AZ242" s="44"/>
      <c r="BA242" s="44"/>
      <c r="BB242" s="44"/>
      <c r="BC242" s="44"/>
      <c r="BD242" s="44"/>
      <c r="BE242" s="45"/>
      <c r="BG242" s="44"/>
      <c r="BH242" s="44"/>
      <c r="BI242" s="44"/>
      <c r="BJ242" s="44"/>
      <c r="BK242" s="44"/>
      <c r="BL242" s="45"/>
    </row>
    <row r="243" spans="1:64" outlineLevel="1" x14ac:dyDescent="0.15">
      <c r="A243" s="16"/>
      <c r="B243" s="16" t="s">
        <v>348</v>
      </c>
      <c r="C243" s="17" t="s">
        <v>229</v>
      </c>
      <c r="D243" s="16">
        <v>43399204</v>
      </c>
      <c r="E243" s="18">
        <v>16</v>
      </c>
      <c r="F243" s="17">
        <v>1</v>
      </c>
      <c r="G243" s="17"/>
      <c r="I243" s="19" t="str">
        <f t="shared" si="33"/>
        <v>·</v>
      </c>
      <c r="J243" s="20">
        <f t="shared" si="34"/>
        <v>4.6515710288142609</v>
      </c>
      <c r="K243" s="20">
        <f t="shared" si="35"/>
        <v>3.4458501128269541</v>
      </c>
      <c r="L243" s="20">
        <f t="shared" si="36"/>
        <v>1.2056316977610926</v>
      </c>
      <c r="M243" s="21"/>
      <c r="N243" s="20">
        <f t="shared" si="37"/>
        <v>5.4393228800886702</v>
      </c>
      <c r="O243" s="22">
        <v>37113899</v>
      </c>
      <c r="P243" s="23">
        <v>201874480</v>
      </c>
      <c r="Q243" s="23">
        <v>149547152</v>
      </c>
      <c r="R243" s="23">
        <v>52323456</v>
      </c>
      <c r="S243" s="24"/>
      <c r="T243" s="25">
        <v>88.936199999999999</v>
      </c>
      <c r="U243" s="25">
        <v>93.708500000000001</v>
      </c>
      <c r="V243" s="25">
        <v>35.446300000000001</v>
      </c>
      <c r="W243" s="25">
        <v>43.912100000000002</v>
      </c>
      <c r="X243" s="25">
        <v>45.109000000000002</v>
      </c>
      <c r="Y243" s="26"/>
      <c r="Z243" s="27"/>
      <c r="AA243" s="27"/>
      <c r="AC243" s="19" t="str">
        <f t="shared" si="38"/>
        <v>·</v>
      </c>
      <c r="AD243" s="20">
        <f t="shared" si="39"/>
        <v>4.3283424276629594</v>
      </c>
      <c r="AE243" s="20">
        <f t="shared" si="40"/>
        <v>3.4458501128269541</v>
      </c>
      <c r="AF243" s="20">
        <f t="shared" si="41"/>
        <v>0.88240328094496845</v>
      </c>
      <c r="AG243" s="21"/>
      <c r="AH243" s="20">
        <f t="shared" si="42"/>
        <v>5.0613549387521912</v>
      </c>
      <c r="AI243" s="22">
        <v>37113899</v>
      </c>
      <c r="AJ243" s="23">
        <v>187846616</v>
      </c>
      <c r="AK243" s="23">
        <v>149547152</v>
      </c>
      <c r="AL243" s="23">
        <v>38295600</v>
      </c>
      <c r="AM243" s="24"/>
      <c r="AN243" s="25">
        <v>88.936199999999999</v>
      </c>
      <c r="AO243" s="25">
        <v>93.708500000000001</v>
      </c>
      <c r="AP243" s="25">
        <v>34.642899999999997</v>
      </c>
      <c r="AQ243" s="25">
        <v>42.511200000000002</v>
      </c>
      <c r="AR243" s="25">
        <v>43.76</v>
      </c>
      <c r="AS243" s="26"/>
      <c r="AT243" s="27"/>
      <c r="AU243" s="27"/>
      <c r="AW243" s="28">
        <f t="shared" si="43"/>
        <v>5.5320347134664272E-2</v>
      </c>
      <c r="AX243" s="28"/>
      <c r="AZ243" s="29"/>
      <c r="BA243" s="29"/>
      <c r="BB243" s="29"/>
      <c r="BC243" s="29"/>
      <c r="BD243" s="29"/>
      <c r="BE243" s="30"/>
      <c r="BG243" s="29"/>
      <c r="BH243" s="29"/>
      <c r="BI243" s="29"/>
      <c r="BJ243" s="29"/>
      <c r="BK243" s="29"/>
      <c r="BL243" s="30"/>
    </row>
    <row r="244" spans="1:64" outlineLevel="1" x14ac:dyDescent="0.15">
      <c r="A244" s="31"/>
      <c r="B244" s="46" t="s">
        <v>348</v>
      </c>
      <c r="C244" s="47" t="s">
        <v>230</v>
      </c>
      <c r="D244" s="46">
        <v>43399204</v>
      </c>
      <c r="E244" s="48">
        <v>16</v>
      </c>
      <c r="F244" s="47">
        <v>1</v>
      </c>
      <c r="G244" s="47"/>
      <c r="I244" s="49" t="str">
        <f t="shared" si="33"/>
        <v>·</v>
      </c>
      <c r="J244" s="50">
        <f t="shared" si="34"/>
        <v>8.440269641811863</v>
      </c>
      <c r="K244" s="50">
        <f t="shared" si="35"/>
        <v>6.2682176382774211</v>
      </c>
      <c r="L244" s="50">
        <f t="shared" si="36"/>
        <v>2.1719515408623624</v>
      </c>
      <c r="M244" s="51"/>
      <c r="N244" s="50">
        <f t="shared" si="37"/>
        <v>8.7562225427542995</v>
      </c>
      <c r="O244" s="52">
        <v>41833220</v>
      </c>
      <c r="P244" s="53">
        <v>366300984</v>
      </c>
      <c r="Q244" s="53">
        <v>272035656</v>
      </c>
      <c r="R244" s="53">
        <v>94260968</v>
      </c>
      <c r="S244" s="54"/>
      <c r="T244" s="55">
        <v>94.5518</v>
      </c>
      <c r="U244" s="55">
        <v>99.292100000000005</v>
      </c>
      <c r="V244" s="55">
        <v>40.618600000000001</v>
      </c>
      <c r="W244" s="55">
        <v>46.962800000000001</v>
      </c>
      <c r="X244" s="55">
        <v>47.831699999999998</v>
      </c>
      <c r="Y244" s="56"/>
      <c r="Z244" s="57"/>
      <c r="AA244" s="57"/>
      <c r="AC244" s="49" t="str">
        <f t="shared" si="38"/>
        <v>·</v>
      </c>
      <c r="AD244" s="50">
        <f t="shared" si="39"/>
        <v>7.9137082790735054</v>
      </c>
      <c r="AE244" s="50">
        <f t="shared" si="40"/>
        <v>6.2682176382774211</v>
      </c>
      <c r="AF244" s="50">
        <f t="shared" si="41"/>
        <v>1.6453903624591824</v>
      </c>
      <c r="AG244" s="51"/>
      <c r="AH244" s="50">
        <f t="shared" si="42"/>
        <v>8.2099498914977147</v>
      </c>
      <c r="AI244" s="52">
        <v>41833220</v>
      </c>
      <c r="AJ244" s="53">
        <v>343448640</v>
      </c>
      <c r="AK244" s="53">
        <v>272035656</v>
      </c>
      <c r="AL244" s="53">
        <v>71408632</v>
      </c>
      <c r="AM244" s="54"/>
      <c r="AN244" s="55">
        <v>94.5518</v>
      </c>
      <c r="AO244" s="55">
        <v>99.292100000000005</v>
      </c>
      <c r="AP244" s="55">
        <v>39.529299999999999</v>
      </c>
      <c r="AQ244" s="55">
        <v>45.344099999999997</v>
      </c>
      <c r="AR244" s="55">
        <v>46.322899999999997</v>
      </c>
      <c r="AS244" s="56"/>
      <c r="AT244" s="57"/>
      <c r="AU244" s="57"/>
      <c r="AW244" s="58">
        <f t="shared" si="43"/>
        <v>4.9414760846480887E-2</v>
      </c>
      <c r="AX244" s="58"/>
      <c r="AZ244" s="59"/>
      <c r="BA244" s="59"/>
      <c r="BB244" s="59"/>
      <c r="BC244" s="59"/>
      <c r="BD244" s="59"/>
      <c r="BE244" s="60"/>
      <c r="BG244" s="59"/>
      <c r="BH244" s="59"/>
      <c r="BI244" s="59"/>
      <c r="BJ244" s="59"/>
      <c r="BK244" s="59"/>
      <c r="BL244" s="60"/>
    </row>
    <row r="245" spans="1:64" collapsed="1" x14ac:dyDescent="0.15">
      <c r="A245" s="16"/>
      <c r="B245" s="16" t="s">
        <v>351</v>
      </c>
      <c r="C245" s="17" t="s">
        <v>225</v>
      </c>
      <c r="D245" s="16">
        <v>43399207</v>
      </c>
      <c r="E245" s="18">
        <v>20</v>
      </c>
      <c r="F245" s="17">
        <v>1</v>
      </c>
      <c r="G245" s="17"/>
      <c r="I245" s="19" t="str">
        <f t="shared" si="33"/>
        <v>·</v>
      </c>
      <c r="J245" s="20">
        <f t="shared" si="34"/>
        <v>0.1218059122601019</v>
      </c>
      <c r="K245" s="20">
        <f t="shared" si="35"/>
        <v>0.10193292241491878</v>
      </c>
      <c r="L245" s="20">
        <f t="shared" si="36"/>
        <v>1.9842758878059686E-2</v>
      </c>
      <c r="M245" s="21"/>
      <c r="N245" s="20">
        <f t="shared" si="37"/>
        <v>0.62875586201121758</v>
      </c>
      <c r="O245" s="22">
        <v>8407524</v>
      </c>
      <c r="P245" s="23">
        <v>5286280</v>
      </c>
      <c r="Q245" s="23">
        <v>4423808</v>
      </c>
      <c r="R245" s="23">
        <v>861160</v>
      </c>
      <c r="S245" s="24"/>
      <c r="T245" s="25">
        <v>77.006900000000002</v>
      </c>
      <c r="U245" s="25">
        <v>81.337000000000003</v>
      </c>
      <c r="V245" s="25">
        <v>22.1919</v>
      </c>
      <c r="W245" s="25">
        <v>33.202300000000001</v>
      </c>
      <c r="X245" s="25">
        <v>35.007100000000001</v>
      </c>
      <c r="Y245" s="26"/>
      <c r="Z245" s="27"/>
      <c r="AA245" s="27"/>
      <c r="AC245" s="19" t="str">
        <f t="shared" si="38"/>
        <v>·</v>
      </c>
      <c r="AD245" s="20">
        <f t="shared" si="39"/>
        <v>0.11275302795279185</v>
      </c>
      <c r="AE245" s="20">
        <f t="shared" si="40"/>
        <v>0.10193292241491878</v>
      </c>
      <c r="AF245" s="20">
        <f t="shared" si="41"/>
        <v>1.0790058905915032E-2</v>
      </c>
      <c r="AG245" s="21"/>
      <c r="AH245" s="20">
        <f t="shared" si="42"/>
        <v>0.58202533825654257</v>
      </c>
      <c r="AI245" s="22">
        <v>8407524</v>
      </c>
      <c r="AJ245" s="23">
        <v>4893392</v>
      </c>
      <c r="AK245" s="23">
        <v>4423808</v>
      </c>
      <c r="AL245" s="23">
        <v>468280</v>
      </c>
      <c r="AM245" s="24"/>
      <c r="AN245" s="25">
        <v>77.006900000000002</v>
      </c>
      <c r="AO245" s="25">
        <v>81.337000000000003</v>
      </c>
      <c r="AP245" s="25">
        <v>21.328199999999999</v>
      </c>
      <c r="AQ245" s="25">
        <v>32.183300000000003</v>
      </c>
      <c r="AR245" s="25">
        <v>33.668599999999998</v>
      </c>
      <c r="AS245" s="26"/>
      <c r="AT245" s="27"/>
      <c r="AU245" s="27"/>
      <c r="AW245" s="28">
        <f t="shared" si="43"/>
        <v>6.7190034417884736E-2</v>
      </c>
      <c r="AX245" s="28">
        <f t="array" ref="AX245">AVERAGE(AK245:AK250/AJ245:AJ250) - AVERAGE(Q245:Q250/P245:P250)</f>
        <v>3.4944263245503038E-2</v>
      </c>
      <c r="AZ245" s="29">
        <f>IF( OR(ISBLANK(Q245:Q250),ISBLANK(AK245:AK250), ISBLANK(T245:T250),ISBLANK(AN245:AN250)), "·", bdRateExtend( Q245:Q250,T245:T250, AK245:AK250,AN245:AN250))</f>
        <v>0</v>
      </c>
      <c r="BA245" s="29">
        <f>IF( OR(ISBLANK(Q245:Q250),ISBLANK(AK245:AK250), ISBLANK(U245:U250),ISBLANK(AO245:AO250)), "·", bdRateExtend( Q245:Q250,U245:U250, AK245:AK250,AO245:AO250))</f>
        <v>0</v>
      </c>
      <c r="BB245" s="29">
        <f>IF( OR(ISBLANK(R245:R250),ISBLANK(AL245:AL250), ISBLANK(V245:V250),ISBLANK(AP245:AP250)), "·", bdRateExtend( R245:R250,V245:V250, AL245:AL250,AP245:AP250))</f>
        <v>-0.11202493974241468</v>
      </c>
      <c r="BC245" s="29">
        <f>IF( OR(ISBLANK(R245:R250),ISBLANK(AL245:AL250), ISBLANK(W245:W250),ISBLANK(AQ245:AQ250)), "·", bdRateExtend( R245:R250,W245:W250, AL245:AL250,AQ245:AQ250))</f>
        <v>0.11231737098513483</v>
      </c>
      <c r="BD245" s="29">
        <f>IF( OR(ISBLANK(R245:R250),ISBLANK(AL245:AL250), ISBLANK(X245:X250),ISBLANK(AR245:AR250)), "·", bdRateExtend( R245:R250,X245:X250, AL245:AL250,AR245:AR250))</f>
        <v>0.14172949531018575</v>
      </c>
      <c r="BE245" s="30"/>
      <c r="BG245" s="29">
        <f>IF( OR(ISBLANK(P245:P250),ISBLANK(AJ245:AJ250), ISBLANK(T245:T250),ISBLANK(AN245:AN250)), "·", bdRateExtend( P245:P250,T245:T250, AJ245:AJ250,AN245:AN250))</f>
        <v>-3.0925201930922963E-2</v>
      </c>
      <c r="BH245" s="29">
        <f>IF( OR(ISBLANK(P245:P250),ISBLANK(AJ245:AJ250), ISBLANK(U245:U250),ISBLANK(AO245:AO250)), "·", bdRateExtend( P245:P250,U245:U250, AJ245:AJ250,AO245:AO250))</f>
        <v>-3.1127888180072949E-2</v>
      </c>
      <c r="BI245" s="29">
        <f>IF( OR(ISBLANK(P245:P250),ISBLANK(AJ245:AJ250), ISBLANK(V245:V250),ISBLANK(AP245:AP250)), "·", bdRateExtend( P245:P250,V245:V250, AJ245:AJ250,AP245:AP250))</f>
        <v>0.25854771444492886</v>
      </c>
      <c r="BJ245" s="29">
        <f>IF( OR(ISBLANK(P245:P250),ISBLANK(AJ245:AJ250), ISBLANK(W245:W250),ISBLANK(AQ245:AQ250)), "·", bdRateExtend( P245:P250,W245:W250, AJ245:AJ250,AQ245:AQ250))</f>
        <v>0.62205415826300059</v>
      </c>
      <c r="BK245" s="29">
        <f>IF( OR(ISBLANK(P245:P250),ISBLANK(AJ245:AJ250), ISBLANK(X245:X250),ISBLANK(AR245:AR250)), "·", bdRateExtend( P245:P250,X245:X250, AJ245:AJ250,AR245:AR250))</f>
        <v>0.66697346145424308</v>
      </c>
      <c r="BL245" s="30"/>
    </row>
    <row r="246" spans="1:64" outlineLevel="1" x14ac:dyDescent="0.15">
      <c r="A246" s="31"/>
      <c r="B246" s="31" t="s">
        <v>351</v>
      </c>
      <c r="C246" s="32" t="s">
        <v>226</v>
      </c>
      <c r="D246" s="31">
        <v>43399207</v>
      </c>
      <c r="E246" s="33">
        <v>20</v>
      </c>
      <c r="F246" s="32">
        <v>1</v>
      </c>
      <c r="G246" s="32"/>
      <c r="I246" s="34" t="str">
        <f t="shared" si="33"/>
        <v>·</v>
      </c>
      <c r="J246" s="35">
        <f t="shared" si="34"/>
        <v>1.043745154145328</v>
      </c>
      <c r="K246" s="35">
        <f t="shared" si="35"/>
        <v>0.94195472281325321</v>
      </c>
      <c r="L246" s="35">
        <f t="shared" si="36"/>
        <v>0.10172517668352789</v>
      </c>
      <c r="M246" s="36"/>
      <c r="N246" s="35">
        <f t="shared" si="37"/>
        <v>1.8685882939776937</v>
      </c>
      <c r="O246" s="37">
        <v>24241676</v>
      </c>
      <c r="P246" s="38">
        <v>45297712</v>
      </c>
      <c r="Q246" s="38">
        <v>40880088</v>
      </c>
      <c r="R246" s="38">
        <v>4414792</v>
      </c>
      <c r="S246" s="39"/>
      <c r="T246" s="40">
        <v>83.044700000000006</v>
      </c>
      <c r="U246" s="40">
        <v>87.694000000000003</v>
      </c>
      <c r="V246" s="40">
        <v>25.726199999999999</v>
      </c>
      <c r="W246" s="40">
        <v>36.616199999999999</v>
      </c>
      <c r="X246" s="40">
        <v>38.009500000000003</v>
      </c>
      <c r="Y246" s="41"/>
      <c r="Z246" s="42"/>
      <c r="AA246" s="42"/>
      <c r="AC246" s="34" t="str">
        <f t="shared" si="38"/>
        <v>·</v>
      </c>
      <c r="AD246" s="35">
        <f t="shared" si="39"/>
        <v>1.0000569826080001</v>
      </c>
      <c r="AE246" s="35">
        <f t="shared" si="40"/>
        <v>0.94195472281325321</v>
      </c>
      <c r="AF246" s="35">
        <f t="shared" si="41"/>
        <v>5.8037189481365409E-2</v>
      </c>
      <c r="AG246" s="36"/>
      <c r="AH246" s="35">
        <f t="shared" si="42"/>
        <v>1.7903745599107916</v>
      </c>
      <c r="AI246" s="37">
        <v>24241676</v>
      </c>
      <c r="AJ246" s="38">
        <v>43401680</v>
      </c>
      <c r="AK246" s="38">
        <v>40880088</v>
      </c>
      <c r="AL246" s="38">
        <v>2518768</v>
      </c>
      <c r="AM246" s="39"/>
      <c r="AN246" s="40">
        <v>83.044700000000006</v>
      </c>
      <c r="AO246" s="40">
        <v>87.694000000000003</v>
      </c>
      <c r="AP246" s="40">
        <v>24.7652</v>
      </c>
      <c r="AQ246" s="40">
        <v>35.095100000000002</v>
      </c>
      <c r="AR246" s="40">
        <v>36.526200000000003</v>
      </c>
      <c r="AS246" s="41"/>
      <c r="AT246" s="42"/>
      <c r="AU246" s="42"/>
      <c r="AW246" s="43">
        <f t="shared" si="43"/>
        <v>3.9425270159706871E-2</v>
      </c>
      <c r="AX246" s="43"/>
      <c r="AZ246" s="44"/>
      <c r="BA246" s="44"/>
      <c r="BB246" s="44"/>
      <c r="BC246" s="44"/>
      <c r="BD246" s="44"/>
      <c r="BE246" s="45"/>
      <c r="BG246" s="44"/>
      <c r="BH246" s="44"/>
      <c r="BI246" s="44"/>
      <c r="BJ246" s="44"/>
      <c r="BK246" s="44"/>
      <c r="BL246" s="45"/>
    </row>
    <row r="247" spans="1:64" outlineLevel="1" x14ac:dyDescent="0.15">
      <c r="A247" s="16"/>
      <c r="B247" s="16" t="s">
        <v>351</v>
      </c>
      <c r="C247" s="17" t="s">
        <v>227</v>
      </c>
      <c r="D247" s="16">
        <v>43399207</v>
      </c>
      <c r="E247" s="18">
        <v>20</v>
      </c>
      <c r="F247" s="17">
        <v>1</v>
      </c>
      <c r="G247" s="17"/>
      <c r="I247" s="19" t="str">
        <f t="shared" si="33"/>
        <v>·</v>
      </c>
      <c r="J247" s="20">
        <f t="shared" si="34"/>
        <v>6.6395307176926064</v>
      </c>
      <c r="K247" s="20">
        <f t="shared" si="35"/>
        <v>6.2689410891770443</v>
      </c>
      <c r="L247" s="20">
        <f t="shared" si="36"/>
        <v>0.37048916585042674</v>
      </c>
      <c r="M247" s="21"/>
      <c r="N247" s="20">
        <f t="shared" si="37"/>
        <v>6.8880706561441274</v>
      </c>
      <c r="O247" s="22">
        <v>41833248</v>
      </c>
      <c r="P247" s="23">
        <v>288150368</v>
      </c>
      <c r="Q247" s="23">
        <v>272067072</v>
      </c>
      <c r="R247" s="23">
        <v>16078936</v>
      </c>
      <c r="S247" s="24"/>
      <c r="T247" s="25">
        <v>95.077500000000001</v>
      </c>
      <c r="U247" s="25">
        <v>99.848799999999997</v>
      </c>
      <c r="V247" s="25">
        <v>30.644100000000002</v>
      </c>
      <c r="W247" s="25">
        <v>39.585599999999999</v>
      </c>
      <c r="X247" s="25">
        <v>40.985900000000001</v>
      </c>
      <c r="Y247" s="26"/>
      <c r="Z247" s="27"/>
      <c r="AA247" s="27"/>
      <c r="AC247" s="19" t="str">
        <f t="shared" si="38"/>
        <v>·</v>
      </c>
      <c r="AD247" s="20">
        <f t="shared" si="39"/>
        <v>6.5016227600656391</v>
      </c>
      <c r="AE247" s="20">
        <f t="shared" si="40"/>
        <v>6.2689410891770443</v>
      </c>
      <c r="AF247" s="20">
        <f t="shared" si="41"/>
        <v>0.23258139255862439</v>
      </c>
      <c r="AG247" s="21"/>
      <c r="AH247" s="20">
        <f t="shared" si="42"/>
        <v>6.745000340399101</v>
      </c>
      <c r="AI247" s="22">
        <v>41833248</v>
      </c>
      <c r="AJ247" s="23">
        <v>282165272</v>
      </c>
      <c r="AK247" s="23">
        <v>272067072</v>
      </c>
      <c r="AL247" s="23">
        <v>10093848</v>
      </c>
      <c r="AM247" s="24"/>
      <c r="AN247" s="25">
        <v>95.077500000000001</v>
      </c>
      <c r="AO247" s="25">
        <v>99.848799999999997</v>
      </c>
      <c r="AP247" s="25">
        <v>29.049499999999998</v>
      </c>
      <c r="AQ247" s="25">
        <v>38.003</v>
      </c>
      <c r="AR247" s="25">
        <v>39.398699999999998</v>
      </c>
      <c r="AS247" s="26"/>
      <c r="AT247" s="27"/>
      <c r="AU247" s="27"/>
      <c r="AW247" s="28">
        <f t="shared" si="43"/>
        <v>2.0027390405972123E-2</v>
      </c>
      <c r="AX247" s="28"/>
      <c r="AZ247" s="29"/>
      <c r="BA247" s="29"/>
      <c r="BB247" s="29"/>
      <c r="BC247" s="29"/>
      <c r="BD247" s="29"/>
      <c r="BE247" s="30"/>
      <c r="BG247" s="29"/>
      <c r="BH247" s="29"/>
      <c r="BI247" s="29"/>
      <c r="BJ247" s="29"/>
      <c r="BK247" s="29"/>
      <c r="BL247" s="30"/>
    </row>
    <row r="248" spans="1:64" outlineLevel="1" x14ac:dyDescent="0.15">
      <c r="A248" s="31"/>
      <c r="B248" s="31" t="s">
        <v>351</v>
      </c>
      <c r="C248" s="32" t="s">
        <v>228</v>
      </c>
      <c r="D248" s="31">
        <v>43399207</v>
      </c>
      <c r="E248" s="33">
        <v>20</v>
      </c>
      <c r="F248" s="32">
        <v>1</v>
      </c>
      <c r="G248" s="32"/>
      <c r="I248" s="34" t="str">
        <f t="shared" si="33"/>
        <v>·</v>
      </c>
      <c r="J248" s="35">
        <f t="shared" si="34"/>
        <v>9.7109872076694863</v>
      </c>
      <c r="K248" s="35">
        <f t="shared" si="35"/>
        <v>8.9613362751075147</v>
      </c>
      <c r="L248" s="35">
        <f t="shared" si="36"/>
        <v>0.74954678319352697</v>
      </c>
      <c r="M248" s="36"/>
      <c r="N248" s="35">
        <f t="shared" si="37"/>
        <v>9.7861164157565881</v>
      </c>
      <c r="O248" s="37">
        <v>43066026</v>
      </c>
      <c r="P248" s="38">
        <v>421449144</v>
      </c>
      <c r="Q248" s="38">
        <v>388914888</v>
      </c>
      <c r="R248" s="38">
        <v>32529736</v>
      </c>
      <c r="S248" s="39"/>
      <c r="T248" s="40">
        <v>101.087</v>
      </c>
      <c r="U248" s="40">
        <v>105.845</v>
      </c>
      <c r="V248" s="40">
        <v>34.543900000000001</v>
      </c>
      <c r="W248" s="40">
        <v>41.954999999999998</v>
      </c>
      <c r="X248" s="40">
        <v>43.268099999999997</v>
      </c>
      <c r="Y248" s="41"/>
      <c r="Z248" s="42"/>
      <c r="AA248" s="42"/>
      <c r="AC248" s="34" t="str">
        <f t="shared" si="38"/>
        <v>·</v>
      </c>
      <c r="AD248" s="35">
        <f t="shared" si="39"/>
        <v>9.4764966558029506</v>
      </c>
      <c r="AE248" s="35">
        <f t="shared" si="40"/>
        <v>8.9613362751075147</v>
      </c>
      <c r="AF248" s="35">
        <f t="shared" si="41"/>
        <v>0.5150564156621571</v>
      </c>
      <c r="AG248" s="36"/>
      <c r="AH248" s="35">
        <f t="shared" si="42"/>
        <v>9.5498117239793618</v>
      </c>
      <c r="AI248" s="37">
        <v>43066026</v>
      </c>
      <c r="AJ248" s="38">
        <v>411272440</v>
      </c>
      <c r="AK248" s="38">
        <v>388914888</v>
      </c>
      <c r="AL248" s="38">
        <v>22353040</v>
      </c>
      <c r="AM248" s="39"/>
      <c r="AN248" s="40">
        <v>101.087</v>
      </c>
      <c r="AO248" s="40">
        <v>105.845</v>
      </c>
      <c r="AP248" s="40">
        <v>32.878</v>
      </c>
      <c r="AQ248" s="40">
        <v>40.3277</v>
      </c>
      <c r="AR248" s="40">
        <v>41.655900000000003</v>
      </c>
      <c r="AS248" s="41"/>
      <c r="AT248" s="42"/>
      <c r="AU248" s="42"/>
      <c r="AW248" s="43">
        <f t="shared" si="43"/>
        <v>2.2834259253860179E-2</v>
      </c>
      <c r="AX248" s="43"/>
      <c r="AZ248" s="44"/>
      <c r="BA248" s="44"/>
      <c r="BB248" s="44"/>
      <c r="BC248" s="44"/>
      <c r="BD248" s="44"/>
      <c r="BE248" s="45"/>
      <c r="BG248" s="44"/>
      <c r="BH248" s="44"/>
      <c r="BI248" s="44"/>
      <c r="BJ248" s="44"/>
      <c r="BK248" s="44"/>
      <c r="BL248" s="45"/>
    </row>
    <row r="249" spans="1:64" outlineLevel="1" x14ac:dyDescent="0.15">
      <c r="A249" s="16"/>
      <c r="B249" s="16" t="s">
        <v>351</v>
      </c>
      <c r="C249" s="17" t="s">
        <v>229</v>
      </c>
      <c r="D249" s="16">
        <v>43399207</v>
      </c>
      <c r="E249" s="18">
        <v>20</v>
      </c>
      <c r="F249" s="17">
        <v>1</v>
      </c>
      <c r="G249" s="17"/>
      <c r="I249" s="19" t="str">
        <f t="shared" si="33"/>
        <v>·</v>
      </c>
      <c r="J249" s="20">
        <f t="shared" si="34"/>
        <v>12.836885982732356</v>
      </c>
      <c r="K249" s="20">
        <f t="shared" si="35"/>
        <v>11.461448869330724</v>
      </c>
      <c r="L249" s="20">
        <f t="shared" si="36"/>
        <v>1.3753327796980253</v>
      </c>
      <c r="M249" s="21"/>
      <c r="N249" s="20">
        <f t="shared" si="37"/>
        <v>12.836885982732356</v>
      </c>
      <c r="O249" s="22">
        <v>43399207</v>
      </c>
      <c r="P249" s="23">
        <v>557110672</v>
      </c>
      <c r="Q249" s="23">
        <v>497417792</v>
      </c>
      <c r="R249" s="23">
        <v>59688352</v>
      </c>
      <c r="S249" s="24"/>
      <c r="T249" s="25">
        <v>113.00700000000001</v>
      </c>
      <c r="U249" s="25">
        <v>117.788</v>
      </c>
      <c r="V249" s="25">
        <v>38.959099999999999</v>
      </c>
      <c r="W249" s="25">
        <v>44.594700000000003</v>
      </c>
      <c r="X249" s="25">
        <v>45.699199999999998</v>
      </c>
      <c r="Y249" s="26"/>
      <c r="Z249" s="27"/>
      <c r="AA249" s="27"/>
      <c r="AC249" s="19" t="str">
        <f t="shared" si="38"/>
        <v>·</v>
      </c>
      <c r="AD249" s="20">
        <f t="shared" si="39"/>
        <v>12.489789502375009</v>
      </c>
      <c r="AE249" s="20">
        <f t="shared" si="40"/>
        <v>11.461448869330724</v>
      </c>
      <c r="AF249" s="20">
        <f t="shared" si="41"/>
        <v>1.0282364836758422</v>
      </c>
      <c r="AG249" s="21"/>
      <c r="AH249" s="20">
        <f t="shared" si="42"/>
        <v>12.489789502375009</v>
      </c>
      <c r="AI249" s="22">
        <v>43399207</v>
      </c>
      <c r="AJ249" s="23">
        <v>542046960</v>
      </c>
      <c r="AK249" s="23">
        <v>497417792</v>
      </c>
      <c r="AL249" s="23">
        <v>44624648</v>
      </c>
      <c r="AM249" s="24"/>
      <c r="AN249" s="25">
        <v>113.00700000000001</v>
      </c>
      <c r="AO249" s="25">
        <v>117.788</v>
      </c>
      <c r="AP249" s="25">
        <v>37.427799999999998</v>
      </c>
      <c r="AQ249" s="25">
        <v>43.003900000000002</v>
      </c>
      <c r="AR249" s="25">
        <v>44.208799999999997</v>
      </c>
      <c r="AS249" s="26"/>
      <c r="AT249" s="27"/>
      <c r="AU249" s="27"/>
      <c r="AW249" s="28">
        <f t="shared" si="43"/>
        <v>2.4812751626596685E-2</v>
      </c>
      <c r="AX249" s="28"/>
      <c r="AZ249" s="29"/>
      <c r="BA249" s="29"/>
      <c r="BB249" s="29"/>
      <c r="BC249" s="29"/>
      <c r="BD249" s="29"/>
      <c r="BE249" s="30"/>
      <c r="BG249" s="29"/>
      <c r="BH249" s="29"/>
      <c r="BI249" s="29"/>
      <c r="BJ249" s="29"/>
      <c r="BK249" s="29"/>
      <c r="BL249" s="30"/>
    </row>
    <row r="250" spans="1:64" outlineLevel="1" x14ac:dyDescent="0.15">
      <c r="A250" s="31"/>
      <c r="B250" s="46" t="s">
        <v>351</v>
      </c>
      <c r="C250" s="47" t="s">
        <v>230</v>
      </c>
      <c r="D250" s="46">
        <v>43399207</v>
      </c>
      <c r="E250" s="48">
        <v>20</v>
      </c>
      <c r="F250" s="47">
        <v>1</v>
      </c>
      <c r="G250" s="47"/>
      <c r="I250" s="49" t="str">
        <f t="shared" si="33"/>
        <v>·</v>
      </c>
      <c r="J250" s="50">
        <f t="shared" si="34"/>
        <v>13.847711457031922</v>
      </c>
      <c r="K250" s="50">
        <f t="shared" si="35"/>
        <v>11.515849863339669</v>
      </c>
      <c r="L250" s="50">
        <f t="shared" si="36"/>
        <v>2.3317570756534791</v>
      </c>
      <c r="M250" s="51"/>
      <c r="N250" s="50">
        <f t="shared" si="37"/>
        <v>13.847711457031922</v>
      </c>
      <c r="O250" s="52">
        <v>43399207</v>
      </c>
      <c r="P250" s="53">
        <v>600979696</v>
      </c>
      <c r="Q250" s="53">
        <v>499778752</v>
      </c>
      <c r="R250" s="53">
        <v>101196408</v>
      </c>
      <c r="S250" s="54"/>
      <c r="T250" s="55">
        <v>118.636</v>
      </c>
      <c r="U250" s="55">
        <v>123.417</v>
      </c>
      <c r="V250" s="55">
        <v>43.393599999999999</v>
      </c>
      <c r="W250" s="55">
        <v>47.445399999999999</v>
      </c>
      <c r="X250" s="55">
        <v>48.219099999999997</v>
      </c>
      <c r="Y250" s="56"/>
      <c r="Z250" s="57"/>
      <c r="AA250" s="57"/>
      <c r="AC250" s="49" t="str">
        <f t="shared" si="38"/>
        <v>·</v>
      </c>
      <c r="AD250" s="50">
        <f t="shared" si="39"/>
        <v>13.282677169654274</v>
      </c>
      <c r="AE250" s="50">
        <f t="shared" si="40"/>
        <v>11.515849863339669</v>
      </c>
      <c r="AF250" s="50">
        <f t="shared" si="41"/>
        <v>1.7667229726109972</v>
      </c>
      <c r="AG250" s="51"/>
      <c r="AH250" s="50">
        <f t="shared" si="42"/>
        <v>13.282677169654274</v>
      </c>
      <c r="AI250" s="52">
        <v>43399207</v>
      </c>
      <c r="AJ250" s="53">
        <v>576457656</v>
      </c>
      <c r="AK250" s="53">
        <v>499778752</v>
      </c>
      <c r="AL250" s="53">
        <v>76674376</v>
      </c>
      <c r="AM250" s="54"/>
      <c r="AN250" s="55">
        <v>118.636</v>
      </c>
      <c r="AO250" s="55">
        <v>123.417</v>
      </c>
      <c r="AP250" s="55">
        <v>41.691200000000002</v>
      </c>
      <c r="AQ250" s="55">
        <v>45.7149</v>
      </c>
      <c r="AR250" s="55">
        <v>46.634</v>
      </c>
      <c r="AS250" s="56"/>
      <c r="AT250" s="57"/>
      <c r="AU250" s="57"/>
      <c r="AW250" s="58">
        <f t="shared" si="43"/>
        <v>3.5375873608996966E-2</v>
      </c>
      <c r="AX250" s="58"/>
      <c r="AZ250" s="59"/>
      <c r="BA250" s="59"/>
      <c r="BB250" s="59"/>
      <c r="BC250" s="59"/>
      <c r="BD250" s="59"/>
      <c r="BE250" s="60"/>
      <c r="BG250" s="59"/>
      <c r="BH250" s="59"/>
      <c r="BI250" s="59"/>
      <c r="BJ250" s="59"/>
      <c r="BK250" s="59"/>
      <c r="BL250" s="60"/>
    </row>
    <row r="251" spans="1:64" collapsed="1" x14ac:dyDescent="0.15">
      <c r="A251" s="16"/>
      <c r="B251" s="16" t="s">
        <v>354</v>
      </c>
      <c r="C251" s="17" t="s">
        <v>225</v>
      </c>
      <c r="D251" s="16">
        <v>499660</v>
      </c>
      <c r="E251" s="18">
        <v>12</v>
      </c>
      <c r="F251" s="17">
        <v>1</v>
      </c>
      <c r="G251" s="17"/>
      <c r="I251" s="19" t="str">
        <f t="shared" si="33"/>
        <v>·</v>
      </c>
      <c r="J251" s="20">
        <f t="shared" si="34"/>
        <v>5.4517071608693915E-2</v>
      </c>
      <c r="K251" s="20">
        <f t="shared" si="35"/>
        <v>4.804867309770644E-2</v>
      </c>
      <c r="L251" s="20">
        <f t="shared" si="36"/>
        <v>5.4757234919745428E-3</v>
      </c>
      <c r="M251" s="21"/>
      <c r="N251" s="20">
        <f t="shared" si="37"/>
        <v>1.5337837837837838</v>
      </c>
      <c r="O251" s="22">
        <v>17760</v>
      </c>
      <c r="P251" s="23">
        <v>27240</v>
      </c>
      <c r="Q251" s="23">
        <v>24008</v>
      </c>
      <c r="R251" s="23">
        <v>2736</v>
      </c>
      <c r="S251" s="24"/>
      <c r="T251" s="25">
        <v>52.918500000000002</v>
      </c>
      <c r="U251" s="25">
        <v>57.030799999999999</v>
      </c>
      <c r="V251" s="25">
        <v>18.322700000000001</v>
      </c>
      <c r="W251" s="25">
        <v>26.482399999999998</v>
      </c>
      <c r="X251" s="25">
        <v>29.569099999999999</v>
      </c>
      <c r="Y251" s="26"/>
      <c r="Z251" s="27"/>
      <c r="AA251" s="27"/>
      <c r="AC251" s="19" t="str">
        <f t="shared" si="38"/>
        <v>·</v>
      </c>
      <c r="AD251" s="20">
        <f t="shared" si="39"/>
        <v>5.1138774366569266E-2</v>
      </c>
      <c r="AE251" s="20">
        <f t="shared" si="40"/>
        <v>4.804867309770644E-2</v>
      </c>
      <c r="AF251" s="20">
        <f t="shared" si="41"/>
        <v>2.1134371372533321E-3</v>
      </c>
      <c r="AG251" s="21"/>
      <c r="AH251" s="20">
        <f t="shared" si="42"/>
        <v>1.4387387387387387</v>
      </c>
      <c r="AI251" s="22">
        <v>17760</v>
      </c>
      <c r="AJ251" s="23">
        <v>25552</v>
      </c>
      <c r="AK251" s="23">
        <v>24008</v>
      </c>
      <c r="AL251" s="23">
        <v>1056</v>
      </c>
      <c r="AM251" s="24"/>
      <c r="AN251" s="25">
        <v>52.918500000000002</v>
      </c>
      <c r="AO251" s="25">
        <v>57.030799999999999</v>
      </c>
      <c r="AP251" s="25">
        <v>17.592400000000001</v>
      </c>
      <c r="AQ251" s="25">
        <v>25.963799999999999</v>
      </c>
      <c r="AR251" s="25">
        <v>29.058299999999999</v>
      </c>
      <c r="AS251" s="26"/>
      <c r="AT251" s="27"/>
      <c r="AU251" s="27"/>
      <c r="AW251" s="28">
        <f t="shared" si="43"/>
        <v>5.8223247149344792E-2</v>
      </c>
      <c r="AX251" s="28">
        <f t="array" ref="AX251">AVERAGE(AK251:AK256/AJ251:AJ256) - AVERAGE(Q251:Q256/P251:P256)</f>
        <v>5.7944109319741699E-2</v>
      </c>
      <c r="AZ251" s="29">
        <f>IF( OR(ISBLANK(Q251:Q256),ISBLANK(AK251:AK256), ISBLANK(T251:T256),ISBLANK(AN251:AN256)), "·", bdRateExtend( Q251:Q256,T251:T256, AK251:AK256,AN251:AN256))</f>
        <v>0</v>
      </c>
      <c r="BA251" s="29">
        <f>IF( OR(ISBLANK(Q251:Q256),ISBLANK(AK251:AK256), ISBLANK(U251:U256),ISBLANK(AO251:AO256)), "·", bdRateExtend( Q251:Q256,U251:U256, AK251:AK256,AO251:AO256))</f>
        <v>0</v>
      </c>
      <c r="BB251" s="29">
        <f>IF( OR(ISBLANK(R251:R256),ISBLANK(AL251:AL256), ISBLANK(V251:V256),ISBLANK(AP251:AP256)), "·", bdRateExtend( R251:R256,V251:V256, AL251:AL256,AP251:AP256))</f>
        <v>-0.15203346578825916</v>
      </c>
      <c r="BC251" s="29">
        <f>IF( OR(ISBLANK(R251:R256),ISBLANK(AL251:AL256), ISBLANK(W251:W256),ISBLANK(AQ251:AQ256)), "·", bdRateExtend( R251:R256,W251:W256, AL251:AL256,AQ251:AQ256))</f>
        <v>0.15499394960267221</v>
      </c>
      <c r="BD251" s="29">
        <f>IF( OR(ISBLANK(R251:R256),ISBLANK(AL251:AL256), ISBLANK(X251:X256),ISBLANK(AR251:AR256)), "·", bdRateExtend( R251:R256,X251:X256, AL251:AL256,AR251:AR256))</f>
        <v>0.24661490369753003</v>
      </c>
      <c r="BE251" s="30"/>
      <c r="BG251" s="29">
        <f>IF( OR(ISBLANK(P251:P256),ISBLANK(AJ251:AJ256), ISBLANK(T251:T256),ISBLANK(AN251:AN256)), "·", bdRateExtend( P251:P256,T251:T256, AJ251:AJ256,AN251:AN256))</f>
        <v>-7.2982895997430464E-2</v>
      </c>
      <c r="BH251" s="29">
        <f>IF( OR(ISBLANK(P251:P256),ISBLANK(AJ251:AJ256), ISBLANK(U251:U256),ISBLANK(AO251:AO256)), "·", bdRateExtend( P251:P256,U251:U256, AJ251:AJ256,AO251:AO256))</f>
        <v>-7.3496584722700153E-2</v>
      </c>
      <c r="BI251" s="29">
        <f>IF( OR(ISBLANK(P251:P256),ISBLANK(AJ251:AJ256), ISBLANK(V251:V256),ISBLANK(AP251:AP256)), "·", bdRateExtend( P251:P256,V251:V256, AJ251:AJ256,AP251:AP256))</f>
        <v>0.13738297237125341</v>
      </c>
      <c r="BJ251" s="29">
        <f>IF( OR(ISBLANK(P251:P256),ISBLANK(AJ251:AJ256), ISBLANK(W251:W256),ISBLANK(AQ251:AQ256)), "·", bdRateExtend( P251:P256,W251:W256, AJ251:AJ256,AQ251:AQ256))</f>
        <v>0.50680841619991202</v>
      </c>
      <c r="BK251" s="29">
        <f>IF( OR(ISBLANK(P251:P256),ISBLANK(AJ251:AJ256), ISBLANK(X251:X256),ISBLANK(AR251:AR256)), "·", bdRateExtend( P251:P256,X251:X256, AJ251:AJ256,AR251:AR256))</f>
        <v>0.58204121760446315</v>
      </c>
      <c r="BL251" s="30"/>
    </row>
    <row r="252" spans="1:64" outlineLevel="1" x14ac:dyDescent="0.15">
      <c r="A252" s="31"/>
      <c r="B252" s="31" t="s">
        <v>354</v>
      </c>
      <c r="C252" s="32" t="s">
        <v>226</v>
      </c>
      <c r="D252" s="31">
        <v>499660</v>
      </c>
      <c r="E252" s="33">
        <v>12</v>
      </c>
      <c r="F252" s="32">
        <v>1</v>
      </c>
      <c r="G252" s="32"/>
      <c r="I252" s="34" t="str">
        <f t="shared" si="33"/>
        <v>·</v>
      </c>
      <c r="J252" s="35">
        <f t="shared" si="34"/>
        <v>0.25526157787295362</v>
      </c>
      <c r="K252" s="35">
        <f t="shared" si="35"/>
        <v>0.20748508986110556</v>
      </c>
      <c r="L252" s="35">
        <f t="shared" si="36"/>
        <v>4.6767802105431695E-2</v>
      </c>
      <c r="M252" s="36"/>
      <c r="N252" s="35">
        <f t="shared" si="37"/>
        <v>1.7604902826855124</v>
      </c>
      <c r="O252" s="37">
        <v>72448</v>
      </c>
      <c r="P252" s="38">
        <v>127544</v>
      </c>
      <c r="Q252" s="38">
        <v>103672</v>
      </c>
      <c r="R252" s="38">
        <v>23368</v>
      </c>
      <c r="S252" s="39"/>
      <c r="T252" s="40">
        <v>58.922400000000003</v>
      </c>
      <c r="U252" s="40">
        <v>63.271999999999998</v>
      </c>
      <c r="V252" s="40">
        <v>21.259499999999999</v>
      </c>
      <c r="W252" s="40">
        <v>29.519400000000001</v>
      </c>
      <c r="X252" s="40">
        <v>31.741</v>
      </c>
      <c r="Y252" s="41"/>
      <c r="Z252" s="42"/>
      <c r="AA252" s="42"/>
      <c r="AC252" s="34" t="str">
        <f t="shared" si="38"/>
        <v>·</v>
      </c>
      <c r="AD252" s="35">
        <f t="shared" si="39"/>
        <v>0.23425529359964775</v>
      </c>
      <c r="AE252" s="35">
        <f t="shared" si="40"/>
        <v>0.20748508986110556</v>
      </c>
      <c r="AF252" s="35">
        <f t="shared" si="41"/>
        <v>2.5777528719529281E-2</v>
      </c>
      <c r="AG252" s="36"/>
      <c r="AH252" s="35">
        <f t="shared" si="42"/>
        <v>1.6156139575971731</v>
      </c>
      <c r="AI252" s="37">
        <v>72448</v>
      </c>
      <c r="AJ252" s="38">
        <v>117048</v>
      </c>
      <c r="AK252" s="38">
        <v>103672</v>
      </c>
      <c r="AL252" s="38">
        <v>12880</v>
      </c>
      <c r="AM252" s="39"/>
      <c r="AN252" s="40">
        <v>58.922400000000003</v>
      </c>
      <c r="AO252" s="40">
        <v>63.271999999999998</v>
      </c>
      <c r="AP252" s="40">
        <v>20.632300000000001</v>
      </c>
      <c r="AQ252" s="40">
        <v>28.239000000000001</v>
      </c>
      <c r="AR252" s="40">
        <v>30.5549</v>
      </c>
      <c r="AS252" s="41"/>
      <c r="AT252" s="42"/>
      <c r="AU252" s="42"/>
      <c r="AW252" s="43">
        <f t="shared" si="43"/>
        <v>7.2888878577166416E-2</v>
      </c>
      <c r="AX252" s="43"/>
      <c r="AZ252" s="44"/>
      <c r="BA252" s="44"/>
      <c r="BB252" s="44"/>
      <c r="BC252" s="44"/>
      <c r="BD252" s="44"/>
      <c r="BE252" s="45"/>
      <c r="BG252" s="44"/>
      <c r="BH252" s="44"/>
      <c r="BI252" s="44"/>
      <c r="BJ252" s="44"/>
      <c r="BK252" s="44"/>
      <c r="BL252" s="45"/>
    </row>
    <row r="253" spans="1:64" outlineLevel="1" x14ac:dyDescent="0.15">
      <c r="A253" s="16"/>
      <c r="B253" s="16" t="s">
        <v>354</v>
      </c>
      <c r="C253" s="17" t="s">
        <v>227</v>
      </c>
      <c r="D253" s="16">
        <v>499660</v>
      </c>
      <c r="E253" s="18">
        <v>12</v>
      </c>
      <c r="F253" s="17">
        <v>1</v>
      </c>
      <c r="G253" s="17"/>
      <c r="I253" s="19" t="str">
        <f t="shared" si="33"/>
        <v>·</v>
      </c>
      <c r="J253" s="20">
        <f t="shared" si="34"/>
        <v>1.3412640595605012</v>
      </c>
      <c r="K253" s="20">
        <f t="shared" si="35"/>
        <v>1.0281871672737461</v>
      </c>
      <c r="L253" s="20">
        <f t="shared" si="36"/>
        <v>0.31206820638033861</v>
      </c>
      <c r="M253" s="21"/>
      <c r="N253" s="20">
        <f t="shared" si="37"/>
        <v>2.7451940997923212</v>
      </c>
      <c r="O253" s="22">
        <v>244127</v>
      </c>
      <c r="P253" s="23">
        <v>670176</v>
      </c>
      <c r="Q253" s="23">
        <v>513744</v>
      </c>
      <c r="R253" s="23">
        <v>155928</v>
      </c>
      <c r="S253" s="24"/>
      <c r="T253" s="25">
        <v>64.839100000000002</v>
      </c>
      <c r="U253" s="25">
        <v>69.490099999999998</v>
      </c>
      <c r="V253" s="25">
        <v>25.5351</v>
      </c>
      <c r="W253" s="25">
        <v>33.440600000000003</v>
      </c>
      <c r="X253" s="25">
        <v>34.904400000000003</v>
      </c>
      <c r="Y253" s="26"/>
      <c r="Z253" s="27"/>
      <c r="AA253" s="27"/>
      <c r="AC253" s="19" t="str">
        <f t="shared" si="38"/>
        <v>·</v>
      </c>
      <c r="AD253" s="20">
        <f t="shared" si="39"/>
        <v>1.2291878477364608</v>
      </c>
      <c r="AE253" s="20">
        <f t="shared" si="40"/>
        <v>1.0281871672737461</v>
      </c>
      <c r="AF253" s="20">
        <f t="shared" si="41"/>
        <v>0.20000800544370173</v>
      </c>
      <c r="AG253" s="21"/>
      <c r="AH253" s="20">
        <f t="shared" si="42"/>
        <v>2.5158052980620744</v>
      </c>
      <c r="AI253" s="22">
        <v>244127</v>
      </c>
      <c r="AJ253" s="23">
        <v>614176</v>
      </c>
      <c r="AK253" s="23">
        <v>513744</v>
      </c>
      <c r="AL253" s="23">
        <v>99936</v>
      </c>
      <c r="AM253" s="24"/>
      <c r="AN253" s="25">
        <v>64.839100000000002</v>
      </c>
      <c r="AO253" s="25">
        <v>69.490099999999998</v>
      </c>
      <c r="AP253" s="25">
        <v>24.849499999999999</v>
      </c>
      <c r="AQ253" s="25">
        <v>31.9176</v>
      </c>
      <c r="AR253" s="25">
        <v>33.499899999999997</v>
      </c>
      <c r="AS253" s="26"/>
      <c r="AT253" s="27"/>
      <c r="AU253" s="27"/>
      <c r="AW253" s="28">
        <f t="shared" si="43"/>
        <v>6.9896121420085389E-2</v>
      </c>
      <c r="AX253" s="28"/>
      <c r="AZ253" s="29"/>
      <c r="BA253" s="29"/>
      <c r="BB253" s="29"/>
      <c r="BC253" s="29"/>
      <c r="BD253" s="29"/>
      <c r="BE253" s="30"/>
      <c r="BG253" s="29"/>
      <c r="BH253" s="29"/>
      <c r="BI253" s="29"/>
      <c r="BJ253" s="29"/>
      <c r="BK253" s="29"/>
      <c r="BL253" s="30"/>
    </row>
    <row r="254" spans="1:64" outlineLevel="1" x14ac:dyDescent="0.15">
      <c r="A254" s="31"/>
      <c r="B254" s="31" t="s">
        <v>354</v>
      </c>
      <c r="C254" s="32" t="s">
        <v>228</v>
      </c>
      <c r="D254" s="31">
        <v>499660</v>
      </c>
      <c r="E254" s="33">
        <v>12</v>
      </c>
      <c r="F254" s="32">
        <v>1</v>
      </c>
      <c r="G254" s="32"/>
      <c r="I254" s="34" t="str">
        <f t="shared" si="33"/>
        <v>·</v>
      </c>
      <c r="J254" s="35">
        <f t="shared" si="34"/>
        <v>4.901268862826722</v>
      </c>
      <c r="K254" s="35">
        <f t="shared" si="35"/>
        <v>3.7419365168314456</v>
      </c>
      <c r="L254" s="35">
        <f t="shared" si="36"/>
        <v>1.1583236600888605</v>
      </c>
      <c r="M254" s="36"/>
      <c r="N254" s="35">
        <f t="shared" si="37"/>
        <v>5.069613387763213</v>
      </c>
      <c r="O254" s="37">
        <v>483068</v>
      </c>
      <c r="P254" s="38">
        <v>2448968</v>
      </c>
      <c r="Q254" s="38">
        <v>1869696</v>
      </c>
      <c r="R254" s="38">
        <v>578768</v>
      </c>
      <c r="S254" s="39"/>
      <c r="T254" s="40">
        <v>70.487399999999994</v>
      </c>
      <c r="U254" s="40">
        <v>75.5274</v>
      </c>
      <c r="V254" s="40">
        <v>30.650700000000001</v>
      </c>
      <c r="W254" s="40">
        <v>37.037500000000001</v>
      </c>
      <c r="X254" s="40">
        <v>38.193899999999999</v>
      </c>
      <c r="Y254" s="41"/>
      <c r="Z254" s="42"/>
      <c r="AA254" s="42"/>
      <c r="AC254" s="34" t="str">
        <f t="shared" si="38"/>
        <v>·</v>
      </c>
      <c r="AD254" s="35">
        <f t="shared" si="39"/>
        <v>4.5216827442661005</v>
      </c>
      <c r="AE254" s="35">
        <f t="shared" si="40"/>
        <v>3.7419365168314456</v>
      </c>
      <c r="AF254" s="35">
        <f t="shared" si="41"/>
        <v>0.77875355241564259</v>
      </c>
      <c r="AG254" s="36"/>
      <c r="AH254" s="35">
        <f t="shared" si="42"/>
        <v>4.6769895749666714</v>
      </c>
      <c r="AI254" s="37">
        <v>483068</v>
      </c>
      <c r="AJ254" s="38">
        <v>2259304</v>
      </c>
      <c r="AK254" s="38">
        <v>1869696</v>
      </c>
      <c r="AL254" s="38">
        <v>389112</v>
      </c>
      <c r="AM254" s="39"/>
      <c r="AN254" s="40">
        <v>70.487399999999994</v>
      </c>
      <c r="AO254" s="40">
        <v>75.5274</v>
      </c>
      <c r="AP254" s="40">
        <v>29.491900000000001</v>
      </c>
      <c r="AQ254" s="40">
        <v>35.383200000000002</v>
      </c>
      <c r="AR254" s="40">
        <v>36.589199999999998</v>
      </c>
      <c r="AS254" s="41"/>
      <c r="AT254" s="42"/>
      <c r="AU254" s="42"/>
      <c r="AW254" s="43">
        <f t="shared" si="43"/>
        <v>6.4091158649808078E-2</v>
      </c>
      <c r="AX254" s="43"/>
      <c r="AZ254" s="44"/>
      <c r="BA254" s="44"/>
      <c r="BB254" s="44"/>
      <c r="BC254" s="44"/>
      <c r="BD254" s="44"/>
      <c r="BE254" s="45"/>
      <c r="BG254" s="44"/>
      <c r="BH254" s="44"/>
      <c r="BI254" s="44"/>
      <c r="BJ254" s="44"/>
      <c r="BK254" s="44"/>
      <c r="BL254" s="45"/>
    </row>
    <row r="255" spans="1:64" outlineLevel="1" x14ac:dyDescent="0.15">
      <c r="A255" s="16"/>
      <c r="B255" s="16" t="s">
        <v>354</v>
      </c>
      <c r="C255" s="17" t="s">
        <v>229</v>
      </c>
      <c r="D255" s="16">
        <v>499660</v>
      </c>
      <c r="E255" s="18">
        <v>12</v>
      </c>
      <c r="F255" s="17">
        <v>1</v>
      </c>
      <c r="G255" s="17"/>
      <c r="I255" s="19" t="str">
        <f t="shared" si="33"/>
        <v>·</v>
      </c>
      <c r="J255" s="20">
        <f t="shared" si="34"/>
        <v>9.1302725853580426</v>
      </c>
      <c r="K255" s="20">
        <f t="shared" si="35"/>
        <v>6.8634351358924066</v>
      </c>
      <c r="L255" s="20">
        <f t="shared" si="36"/>
        <v>2.2658127526718168</v>
      </c>
      <c r="M255" s="21"/>
      <c r="N255" s="20">
        <f t="shared" si="37"/>
        <v>9.1610931384656791</v>
      </c>
      <c r="O255" s="22">
        <v>497979</v>
      </c>
      <c r="P255" s="23">
        <v>4562032</v>
      </c>
      <c r="Q255" s="23">
        <v>3429384</v>
      </c>
      <c r="R255" s="23">
        <v>1132136</v>
      </c>
      <c r="S255" s="24"/>
      <c r="T255" s="25">
        <v>75.254499999999993</v>
      </c>
      <c r="U255" s="25">
        <v>80.601200000000006</v>
      </c>
      <c r="V255" s="25">
        <v>35.295200000000001</v>
      </c>
      <c r="W255" s="25">
        <v>39.772199999999998</v>
      </c>
      <c r="X255" s="25">
        <v>40.856499999999997</v>
      </c>
      <c r="Y255" s="26"/>
      <c r="Z255" s="27"/>
      <c r="AA255" s="27"/>
      <c r="AC255" s="19" t="str">
        <f t="shared" si="38"/>
        <v>·</v>
      </c>
      <c r="AD255" s="20">
        <f t="shared" si="39"/>
        <v>8.6014970179722212</v>
      </c>
      <c r="AE255" s="20">
        <f t="shared" si="40"/>
        <v>6.8634351358924066</v>
      </c>
      <c r="AF255" s="20">
        <f t="shared" si="41"/>
        <v>1.7370531961733979</v>
      </c>
      <c r="AG255" s="21"/>
      <c r="AH255" s="20">
        <f t="shared" si="42"/>
        <v>8.6305326128210229</v>
      </c>
      <c r="AI255" s="22">
        <v>497979</v>
      </c>
      <c r="AJ255" s="23">
        <v>4297824</v>
      </c>
      <c r="AK255" s="23">
        <v>3429384</v>
      </c>
      <c r="AL255" s="23">
        <v>867936</v>
      </c>
      <c r="AM255" s="24"/>
      <c r="AN255" s="25">
        <v>75.254499999999993</v>
      </c>
      <c r="AO255" s="25">
        <v>80.601200000000006</v>
      </c>
      <c r="AP255" s="25">
        <v>34.161900000000003</v>
      </c>
      <c r="AQ255" s="25">
        <v>38.244900000000001</v>
      </c>
      <c r="AR255" s="25">
        <v>39.319699999999997</v>
      </c>
      <c r="AS255" s="26"/>
      <c r="AT255" s="27"/>
      <c r="AU255" s="27"/>
      <c r="AW255" s="28">
        <f t="shared" si="43"/>
        <v>4.621203853640421E-2</v>
      </c>
      <c r="AX255" s="28"/>
      <c r="AZ255" s="29"/>
      <c r="BA255" s="29"/>
      <c r="BB255" s="29"/>
      <c r="BC255" s="29"/>
      <c r="BD255" s="29"/>
      <c r="BE255" s="30"/>
      <c r="BG255" s="29"/>
      <c r="BH255" s="29"/>
      <c r="BI255" s="29"/>
      <c r="BJ255" s="29"/>
      <c r="BK255" s="29"/>
      <c r="BL255" s="30"/>
    </row>
    <row r="256" spans="1:64" outlineLevel="1" x14ac:dyDescent="0.15">
      <c r="A256" s="31"/>
      <c r="B256" s="46" t="s">
        <v>354</v>
      </c>
      <c r="C256" s="47" t="s">
        <v>230</v>
      </c>
      <c r="D256" s="46">
        <v>499660</v>
      </c>
      <c r="E256" s="48">
        <v>12</v>
      </c>
      <c r="F256" s="47">
        <v>1</v>
      </c>
      <c r="G256" s="47"/>
      <c r="I256" s="49" t="str">
        <f t="shared" si="33"/>
        <v>·</v>
      </c>
      <c r="J256" s="50">
        <f t="shared" si="34"/>
        <v>12.39165832766281</v>
      </c>
      <c r="K256" s="50">
        <f t="shared" si="35"/>
        <v>8.6232077812912777</v>
      </c>
      <c r="L256" s="50">
        <f t="shared" si="36"/>
        <v>3.7674258495777129</v>
      </c>
      <c r="M256" s="51"/>
      <c r="N256" s="50">
        <f t="shared" si="37"/>
        <v>12.405562011620917</v>
      </c>
      <c r="O256" s="52">
        <v>499100</v>
      </c>
      <c r="P256" s="53">
        <v>6191616</v>
      </c>
      <c r="Q256" s="53">
        <v>4308672</v>
      </c>
      <c r="R256" s="53">
        <v>1882432</v>
      </c>
      <c r="S256" s="54"/>
      <c r="T256" s="55">
        <v>80.029799999999994</v>
      </c>
      <c r="U256" s="55">
        <v>84.986199999999997</v>
      </c>
      <c r="V256" s="55">
        <v>39.761800000000001</v>
      </c>
      <c r="W256" s="55">
        <v>42.4619</v>
      </c>
      <c r="X256" s="55">
        <v>43.338700000000003</v>
      </c>
      <c r="Y256" s="56"/>
      <c r="Z256" s="57"/>
      <c r="AA256" s="57"/>
      <c r="AC256" s="49" t="str">
        <f t="shared" si="38"/>
        <v>·</v>
      </c>
      <c r="AD256" s="50">
        <f t="shared" si="39"/>
        <v>11.77645599007325</v>
      </c>
      <c r="AE256" s="50">
        <f t="shared" si="40"/>
        <v>8.6232077812912777</v>
      </c>
      <c r="AF256" s="50">
        <f t="shared" si="41"/>
        <v>3.1522395228755555</v>
      </c>
      <c r="AG256" s="51"/>
      <c r="AH256" s="50">
        <f t="shared" si="42"/>
        <v>11.789669404928873</v>
      </c>
      <c r="AI256" s="52">
        <v>499100</v>
      </c>
      <c r="AJ256" s="53">
        <v>5884224</v>
      </c>
      <c r="AK256" s="53">
        <v>4308672</v>
      </c>
      <c r="AL256" s="53">
        <v>1575048</v>
      </c>
      <c r="AM256" s="54"/>
      <c r="AN256" s="55">
        <v>80.029799999999994</v>
      </c>
      <c r="AO256" s="55">
        <v>84.986199999999997</v>
      </c>
      <c r="AP256" s="55">
        <v>38.715200000000003</v>
      </c>
      <c r="AQ256" s="55">
        <v>41.208500000000001</v>
      </c>
      <c r="AR256" s="55">
        <v>42.111600000000003</v>
      </c>
      <c r="AS256" s="56"/>
      <c r="AT256" s="57"/>
      <c r="AU256" s="57"/>
      <c r="AW256" s="58">
        <f t="shared" si="43"/>
        <v>3.6353211585641199E-2</v>
      </c>
      <c r="AX256" s="58"/>
      <c r="AZ256" s="59"/>
      <c r="BA256" s="59"/>
      <c r="BB256" s="59"/>
      <c r="BC256" s="59"/>
      <c r="BD256" s="59"/>
      <c r="BE256" s="60"/>
      <c r="BG256" s="59"/>
      <c r="BH256" s="59"/>
      <c r="BI256" s="59"/>
      <c r="BJ256" s="59"/>
      <c r="BK256" s="59"/>
      <c r="BL256" s="60"/>
    </row>
    <row r="257" spans="1:64" collapsed="1" x14ac:dyDescent="0.15">
      <c r="A257" s="16"/>
      <c r="B257" s="16" t="s">
        <v>357</v>
      </c>
      <c r="C257" s="17" t="s">
        <v>225</v>
      </c>
      <c r="D257" s="16">
        <v>499886</v>
      </c>
      <c r="E257" s="18">
        <v>20</v>
      </c>
      <c r="F257" s="17">
        <v>1</v>
      </c>
      <c r="G257" s="17"/>
      <c r="I257" s="19" t="str">
        <f t="shared" si="33"/>
        <v>·</v>
      </c>
      <c r="J257" s="20">
        <f t="shared" si="34"/>
        <v>6.9713974786251267</v>
      </c>
      <c r="K257" s="20">
        <f t="shared" si="35"/>
        <v>6.8602361338385149</v>
      </c>
      <c r="L257" s="20">
        <f t="shared" si="36"/>
        <v>0.11013711126136759</v>
      </c>
      <c r="M257" s="21"/>
      <c r="N257" s="20">
        <f t="shared" si="37"/>
        <v>6.9986845725463258</v>
      </c>
      <c r="O257" s="22">
        <v>497937</v>
      </c>
      <c r="P257" s="23">
        <v>3484904</v>
      </c>
      <c r="Q257" s="23">
        <v>3429336</v>
      </c>
      <c r="R257" s="23">
        <v>55056</v>
      </c>
      <c r="S257" s="24"/>
      <c r="T257" s="25">
        <v>77.022099999999995</v>
      </c>
      <c r="U257" s="25">
        <v>81.784499999999994</v>
      </c>
      <c r="V257" s="25">
        <v>23.687999999999999</v>
      </c>
      <c r="W257" s="25">
        <v>30.9222</v>
      </c>
      <c r="X257" s="25">
        <v>32.768599999999999</v>
      </c>
      <c r="Y257" s="26"/>
      <c r="Z257" s="27"/>
      <c r="AA257" s="27"/>
      <c r="AC257" s="19" t="str">
        <f t="shared" si="38"/>
        <v>·</v>
      </c>
      <c r="AD257" s="20">
        <f t="shared" si="39"/>
        <v>6.9080870438459971</v>
      </c>
      <c r="AE257" s="20">
        <f t="shared" si="40"/>
        <v>6.8602361338385149</v>
      </c>
      <c r="AF257" s="20">
        <f t="shared" si="41"/>
        <v>4.6842680131069882E-2</v>
      </c>
      <c r="AG257" s="21"/>
      <c r="AH257" s="20">
        <f t="shared" si="42"/>
        <v>6.9351263312427074</v>
      </c>
      <c r="AI257" s="22">
        <v>497937</v>
      </c>
      <c r="AJ257" s="23">
        <v>3453256</v>
      </c>
      <c r="AK257" s="23">
        <v>3429336</v>
      </c>
      <c r="AL257" s="23">
        <v>23416</v>
      </c>
      <c r="AM257" s="24"/>
      <c r="AN257" s="25">
        <v>77.022099999999995</v>
      </c>
      <c r="AO257" s="25">
        <v>81.784499999999994</v>
      </c>
      <c r="AP257" s="25">
        <v>21.904800000000002</v>
      </c>
      <c r="AQ257" s="25">
        <v>29.3047</v>
      </c>
      <c r="AR257" s="25">
        <v>31.395199999999999</v>
      </c>
      <c r="AS257" s="26"/>
      <c r="AT257" s="27"/>
      <c r="AU257" s="27"/>
      <c r="AW257" s="28">
        <f t="shared" si="43"/>
        <v>9.0185499396243651E-3</v>
      </c>
      <c r="AX257" s="28">
        <f t="array" ref="AX257">AVERAGE(AK257:AK262/AJ257:AJ262) - AVERAGE(Q257:Q262/P257:P262)</f>
        <v>1.5887001711153648E-2</v>
      </c>
      <c r="AZ257" s="29">
        <f>IF( OR(ISBLANK(Q257:Q262),ISBLANK(AK257:AK262), ISBLANK(T257:T262),ISBLANK(AN257:AN262)), "·", bdRateExtend( Q257:Q262,T257:T262, AK257:AK262,AN257:AN262))</f>
        <v>0</v>
      </c>
      <c r="BA257" s="29">
        <f>IF( OR(ISBLANK(Q257:Q262),ISBLANK(AK257:AK262), ISBLANK(U257:U262),ISBLANK(AO257:AO262)), "·", bdRateExtend( Q257:Q262,U257:U262, AK257:AK262,AO257:AO262))</f>
        <v>0</v>
      </c>
      <c r="BB257" s="29">
        <f>IF( OR(ISBLANK(R257:R262),ISBLANK(AL257:AL262), ISBLANK(V257:V262),ISBLANK(AP257:AP262)), "·", bdRateExtend( R257:R262,V257:V262, AL257:AL262,AP257:AP262))</f>
        <v>-3.2554433035858255E-2</v>
      </c>
      <c r="BC257" s="29">
        <f>IF( OR(ISBLANK(R257:R262),ISBLANK(AL257:AL262), ISBLANK(W257:W262),ISBLANK(AQ257:AQ262)), "·", bdRateExtend( R257:R262,W257:W262, AL257:AL262,AQ257:AQ262))</f>
        <v>0.17737263344133081</v>
      </c>
      <c r="BD257" s="29">
        <f>IF( OR(ISBLANK(R257:R262),ISBLANK(AL257:AL262), ISBLANK(X257:X262),ISBLANK(AR257:AR262)), "·", bdRateExtend( R257:R262,X257:X262, AL257:AL262,AR257:AR262))</f>
        <v>0.1838495919976324</v>
      </c>
      <c r="BE257" s="30"/>
      <c r="BG257" s="29">
        <f>IF( OR(ISBLANK(P257:P262),ISBLANK(AJ257:AJ262), ISBLANK(T257:T262),ISBLANK(AN257:AN262)), "·", bdRateExtend( P257:P262,T257:T262, AJ257:AJ262,AN257:AN262))</f>
        <v>-1.6541025478695293E-2</v>
      </c>
      <c r="BH257" s="29">
        <f>IF( OR(ISBLANK(P257:P262),ISBLANK(AJ257:AJ262), ISBLANK(U257:U262),ISBLANK(AO257:AO262)), "·", bdRateExtend( P257:P262,U257:U262, AJ257:AJ262,AO257:AO262))</f>
        <v>-1.6563738235147341E-2</v>
      </c>
      <c r="BI257" s="29">
        <f>IF( OR(ISBLANK(P257:P262),ISBLANK(AJ257:AJ262), ISBLANK(V257:V262),ISBLANK(AP257:AP262)), "·", bdRateExtend( P257:P262,V257:V262, AJ257:AJ262,AP257:AP262))</f>
        <v>0.13925679978763905</v>
      </c>
      <c r="BJ257" s="29">
        <f>IF( OR(ISBLANK(P257:P262),ISBLANK(AJ257:AJ262), ISBLANK(W257:W262),ISBLANK(AQ257:AQ262)), "·", bdRateExtend( P257:P262,W257:W262, AJ257:AJ262,AQ257:AQ262))</f>
        <v>0.23914193536301021</v>
      </c>
      <c r="BK257" s="29">
        <f>IF( OR(ISBLANK(P257:P262),ISBLANK(AJ257:AJ262), ISBLANK(X257:X262),ISBLANK(AR257:AR262)), "·", bdRateExtend( P257:P262,X257:X262, AJ257:AJ262,AR257:AR262))</f>
        <v>0.23267448055805584</v>
      </c>
      <c r="BL257" s="30"/>
    </row>
    <row r="258" spans="1:64" outlineLevel="1" x14ac:dyDescent="0.15">
      <c r="A258" s="31"/>
      <c r="B258" s="31" t="s">
        <v>357</v>
      </c>
      <c r="C258" s="32" t="s">
        <v>226</v>
      </c>
      <c r="D258" s="31">
        <v>499886</v>
      </c>
      <c r="E258" s="33">
        <v>20</v>
      </c>
      <c r="F258" s="32">
        <v>1</v>
      </c>
      <c r="G258" s="32"/>
      <c r="I258" s="34" t="str">
        <f t="shared" si="33"/>
        <v>·</v>
      </c>
      <c r="J258" s="35">
        <f t="shared" si="34"/>
        <v>10.043313875563628</v>
      </c>
      <c r="K258" s="35">
        <f t="shared" si="35"/>
        <v>9.7963615704380604</v>
      </c>
      <c r="L258" s="35">
        <f t="shared" si="36"/>
        <v>0.24592807160032487</v>
      </c>
      <c r="M258" s="36"/>
      <c r="N258" s="35">
        <f t="shared" si="37"/>
        <v>10.047796214648674</v>
      </c>
      <c r="O258" s="37">
        <v>499663</v>
      </c>
      <c r="P258" s="38">
        <v>5020512</v>
      </c>
      <c r="Q258" s="38">
        <v>4897064</v>
      </c>
      <c r="R258" s="38">
        <v>122936</v>
      </c>
      <c r="S258" s="39"/>
      <c r="T258" s="40">
        <v>83.036699999999996</v>
      </c>
      <c r="U258" s="40">
        <v>87.819000000000003</v>
      </c>
      <c r="V258" s="40">
        <v>25.883199999999999</v>
      </c>
      <c r="W258" s="40">
        <v>32.976300000000002</v>
      </c>
      <c r="X258" s="40">
        <v>34.322099999999999</v>
      </c>
      <c r="Y258" s="41"/>
      <c r="Z258" s="42"/>
      <c r="AA258" s="42"/>
      <c r="AC258" s="34" t="str">
        <f t="shared" si="38"/>
        <v>·</v>
      </c>
      <c r="AD258" s="35">
        <f t="shared" si="39"/>
        <v>9.920181801450731</v>
      </c>
      <c r="AE258" s="35">
        <f t="shared" si="40"/>
        <v>9.7963615704380604</v>
      </c>
      <c r="AF258" s="35">
        <f t="shared" si="41"/>
        <v>0.12281200113625906</v>
      </c>
      <c r="AG258" s="36"/>
      <c r="AH258" s="35">
        <f t="shared" si="42"/>
        <v>9.9246091865917627</v>
      </c>
      <c r="AI258" s="37">
        <v>499663</v>
      </c>
      <c r="AJ258" s="38">
        <v>4958960</v>
      </c>
      <c r="AK258" s="38">
        <v>4897064</v>
      </c>
      <c r="AL258" s="38">
        <v>61392</v>
      </c>
      <c r="AM258" s="39"/>
      <c r="AN258" s="40">
        <v>83.036699999999996</v>
      </c>
      <c r="AO258" s="40">
        <v>87.819000000000003</v>
      </c>
      <c r="AP258" s="40">
        <v>23.949400000000001</v>
      </c>
      <c r="AQ258" s="40">
        <v>30.9954</v>
      </c>
      <c r="AR258" s="40">
        <v>32.767099999999999</v>
      </c>
      <c r="AS258" s="41"/>
      <c r="AT258" s="42"/>
      <c r="AU258" s="42"/>
      <c r="AW258" s="43">
        <f t="shared" si="43"/>
        <v>1.2107077827416712E-2</v>
      </c>
      <c r="AX258" s="43"/>
      <c r="AZ258" s="44"/>
      <c r="BA258" s="44"/>
      <c r="BB258" s="44"/>
      <c r="BC258" s="44"/>
      <c r="BD258" s="44"/>
      <c r="BE258" s="45"/>
      <c r="BG258" s="44"/>
      <c r="BH258" s="44"/>
      <c r="BI258" s="44"/>
      <c r="BJ258" s="44"/>
      <c r="BK258" s="44"/>
      <c r="BL258" s="45"/>
    </row>
    <row r="259" spans="1:64" outlineLevel="1" x14ac:dyDescent="0.15">
      <c r="A259" s="16"/>
      <c r="B259" s="16" t="s">
        <v>357</v>
      </c>
      <c r="C259" s="17" t="s">
        <v>227</v>
      </c>
      <c r="D259" s="16">
        <v>499886</v>
      </c>
      <c r="E259" s="18">
        <v>20</v>
      </c>
      <c r="F259" s="17">
        <v>1</v>
      </c>
      <c r="G259" s="17"/>
      <c r="I259" s="19" t="str">
        <f t="shared" si="33"/>
        <v>·</v>
      </c>
      <c r="J259" s="20">
        <f t="shared" si="34"/>
        <v>16.404572242471282</v>
      </c>
      <c r="K259" s="20">
        <f t="shared" si="35"/>
        <v>15.815878020188602</v>
      </c>
      <c r="L259" s="20">
        <f t="shared" si="36"/>
        <v>0.58765398510860478</v>
      </c>
      <c r="M259" s="21"/>
      <c r="N259" s="20">
        <f t="shared" si="37"/>
        <v>16.404605059163607</v>
      </c>
      <c r="O259" s="22">
        <v>499885</v>
      </c>
      <c r="P259" s="23">
        <v>8200416</v>
      </c>
      <c r="Q259" s="23">
        <v>7906136</v>
      </c>
      <c r="R259" s="23">
        <v>293760</v>
      </c>
      <c r="S259" s="24"/>
      <c r="T259" s="25">
        <v>95.075699999999998</v>
      </c>
      <c r="U259" s="25">
        <v>99.847300000000004</v>
      </c>
      <c r="V259" s="25">
        <v>28.727399999999999</v>
      </c>
      <c r="W259" s="25">
        <v>35.113100000000003</v>
      </c>
      <c r="X259" s="25">
        <v>36.374899999999997</v>
      </c>
      <c r="Y259" s="26"/>
      <c r="Z259" s="27"/>
      <c r="AA259" s="27"/>
      <c r="AC259" s="19" t="str">
        <f t="shared" si="38"/>
        <v>·</v>
      </c>
      <c r="AD259" s="20">
        <f t="shared" si="39"/>
        <v>16.166533969745103</v>
      </c>
      <c r="AE259" s="20">
        <f t="shared" si="40"/>
        <v>15.815878020188602</v>
      </c>
      <c r="AF259" s="20">
        <f t="shared" si="41"/>
        <v>0.34963171603125515</v>
      </c>
      <c r="AG259" s="21"/>
      <c r="AH259" s="20">
        <f t="shared" si="42"/>
        <v>16.166566310251358</v>
      </c>
      <c r="AI259" s="22">
        <v>499885</v>
      </c>
      <c r="AJ259" s="23">
        <v>8081424</v>
      </c>
      <c r="AK259" s="23">
        <v>7906136</v>
      </c>
      <c r="AL259" s="23">
        <v>174776</v>
      </c>
      <c r="AM259" s="24"/>
      <c r="AN259" s="25">
        <v>95.075699999999998</v>
      </c>
      <c r="AO259" s="25">
        <v>99.847300000000004</v>
      </c>
      <c r="AP259" s="25">
        <v>26.905000000000001</v>
      </c>
      <c r="AQ259" s="25">
        <v>33.186100000000003</v>
      </c>
      <c r="AR259" s="25">
        <v>34.555599999999998</v>
      </c>
      <c r="AS259" s="26"/>
      <c r="AT259" s="27"/>
      <c r="AU259" s="27"/>
      <c r="AW259" s="28">
        <f t="shared" si="43"/>
        <v>1.4195747550642124E-2</v>
      </c>
      <c r="AX259" s="28"/>
      <c r="AZ259" s="29"/>
      <c r="BA259" s="29"/>
      <c r="BB259" s="29"/>
      <c r="BC259" s="29"/>
      <c r="BD259" s="29"/>
      <c r="BE259" s="30"/>
      <c r="BG259" s="29"/>
      <c r="BH259" s="29"/>
      <c r="BI259" s="29"/>
      <c r="BJ259" s="29"/>
      <c r="BK259" s="29"/>
      <c r="BL259" s="30"/>
    </row>
    <row r="260" spans="1:64" outlineLevel="1" x14ac:dyDescent="0.15">
      <c r="A260" s="31"/>
      <c r="B260" s="31" t="s">
        <v>357</v>
      </c>
      <c r="C260" s="32" t="s">
        <v>228</v>
      </c>
      <c r="D260" s="31">
        <v>499886</v>
      </c>
      <c r="E260" s="33">
        <v>20</v>
      </c>
      <c r="F260" s="32">
        <v>1</v>
      </c>
      <c r="G260" s="32"/>
      <c r="I260" s="34" t="str">
        <f t="shared" si="33"/>
        <v>·</v>
      </c>
      <c r="J260" s="35">
        <f t="shared" si="34"/>
        <v>20.215489131521988</v>
      </c>
      <c r="K260" s="35">
        <f t="shared" si="35"/>
        <v>18.951873027050169</v>
      </c>
      <c r="L260" s="35">
        <f t="shared" si="36"/>
        <v>1.2625758672977438</v>
      </c>
      <c r="M260" s="36"/>
      <c r="N260" s="35">
        <f t="shared" si="37"/>
        <v>20.215489131521988</v>
      </c>
      <c r="O260" s="37">
        <v>499886</v>
      </c>
      <c r="P260" s="38">
        <v>10105440</v>
      </c>
      <c r="Q260" s="38">
        <v>9473776</v>
      </c>
      <c r="R260" s="38">
        <v>631144</v>
      </c>
      <c r="S260" s="39"/>
      <c r="T260" s="40">
        <v>101.086</v>
      </c>
      <c r="U260" s="40">
        <v>105.858</v>
      </c>
      <c r="V260" s="40">
        <v>32.546100000000003</v>
      </c>
      <c r="W260" s="40">
        <v>37.514200000000002</v>
      </c>
      <c r="X260" s="40">
        <v>38.6402</v>
      </c>
      <c r="Y260" s="41"/>
      <c r="Z260" s="42"/>
      <c r="AA260" s="42"/>
      <c r="AC260" s="34" t="str">
        <f t="shared" si="38"/>
        <v>·</v>
      </c>
      <c r="AD260" s="35">
        <f t="shared" si="39"/>
        <v>19.816566177088376</v>
      </c>
      <c r="AE260" s="35">
        <f t="shared" si="40"/>
        <v>18.951873027050169</v>
      </c>
      <c r="AF260" s="35">
        <f t="shared" si="41"/>
        <v>0.86366891651296496</v>
      </c>
      <c r="AG260" s="36"/>
      <c r="AH260" s="35">
        <f t="shared" si="42"/>
        <v>19.816566177088376</v>
      </c>
      <c r="AI260" s="37">
        <v>499886</v>
      </c>
      <c r="AJ260" s="38">
        <v>9906024</v>
      </c>
      <c r="AK260" s="38">
        <v>9473776</v>
      </c>
      <c r="AL260" s="38">
        <v>431736</v>
      </c>
      <c r="AM260" s="39"/>
      <c r="AN260" s="40">
        <v>101.086</v>
      </c>
      <c r="AO260" s="40">
        <v>105.858</v>
      </c>
      <c r="AP260" s="40">
        <v>30.736599999999999</v>
      </c>
      <c r="AQ260" s="40">
        <v>35.555900000000001</v>
      </c>
      <c r="AR260" s="40">
        <v>36.756399999999999</v>
      </c>
      <c r="AS260" s="41"/>
      <c r="AT260" s="42"/>
      <c r="AU260" s="42"/>
      <c r="AW260" s="43">
        <f t="shared" si="43"/>
        <v>1.8872459800097885E-2</v>
      </c>
      <c r="AX260" s="43"/>
      <c r="AZ260" s="44"/>
      <c r="BA260" s="44"/>
      <c r="BB260" s="44"/>
      <c r="BC260" s="44"/>
      <c r="BD260" s="44"/>
      <c r="BE260" s="45"/>
      <c r="BG260" s="44"/>
      <c r="BH260" s="44"/>
      <c r="BI260" s="44"/>
      <c r="BJ260" s="44"/>
      <c r="BK260" s="44"/>
      <c r="BL260" s="45"/>
    </row>
    <row r="261" spans="1:64" outlineLevel="1" x14ac:dyDescent="0.15">
      <c r="A261" s="16"/>
      <c r="B261" s="16" t="s">
        <v>357</v>
      </c>
      <c r="C261" s="17" t="s">
        <v>229</v>
      </c>
      <c r="D261" s="16">
        <v>499886</v>
      </c>
      <c r="E261" s="18">
        <v>20</v>
      </c>
      <c r="F261" s="17">
        <v>1</v>
      </c>
      <c r="G261" s="17"/>
      <c r="I261" s="19" t="str">
        <f t="shared" ref="I261:I324" si="44">IF(OR(ISBLANK(P261),ISBLANK(G261)),"·",P261*G261/F261/1000000)</f>
        <v>·</v>
      </c>
      <c r="J261" s="20">
        <f t="shared" ref="J261:J324" si="45">IF(ISBLANK(P261),"·",P261/D261)</f>
        <v>27.466854442812963</v>
      </c>
      <c r="K261" s="20">
        <f t="shared" ref="K261:K324" si="46">IF(Q261="","·",Q261/D261)</f>
        <v>25.07634140584053</v>
      </c>
      <c r="L261" s="20">
        <f t="shared" ref="L261:L298" si="47">IF(ISBLANK(R261),"·",R261/D261)</f>
        <v>2.3894567961495219</v>
      </c>
      <c r="M261" s="21"/>
      <c r="N261" s="20">
        <f t="shared" ref="N261:N324" si="48">IF(ISBLANK(P261),"·",P261/O261)</f>
        <v>27.466854442812963</v>
      </c>
      <c r="O261" s="22">
        <v>499886</v>
      </c>
      <c r="P261" s="23">
        <v>13730296</v>
      </c>
      <c r="Q261" s="23">
        <v>12535312</v>
      </c>
      <c r="R261" s="23">
        <v>1194456</v>
      </c>
      <c r="S261" s="24"/>
      <c r="T261" s="25">
        <v>113.002</v>
      </c>
      <c r="U261" s="25">
        <v>117.824</v>
      </c>
      <c r="V261" s="25">
        <v>36.889200000000002</v>
      </c>
      <c r="W261" s="25">
        <v>40.267400000000002</v>
      </c>
      <c r="X261" s="25">
        <v>41.342100000000002</v>
      </c>
      <c r="Y261" s="26"/>
      <c r="Z261" s="27"/>
      <c r="AA261" s="27"/>
      <c r="AC261" s="19" t="str">
        <f t="shared" ref="AC261:AC324" si="49">IF(OR(ISBLANK(AJ261),ISBLANK(G261)),"·",AJ261*G261/F261/1000000)</f>
        <v>·</v>
      </c>
      <c r="AD261" s="20">
        <f t="shared" ref="AD261:AD324" si="50">IF(ISBLANK(AJ261),"·",AJ261/D261)</f>
        <v>26.914664543515922</v>
      </c>
      <c r="AE261" s="20">
        <f t="shared" ref="AE261:AE324" si="51">IF(AK261="","·",AK261/D261)</f>
        <v>25.07634140584053</v>
      </c>
      <c r="AF261" s="20">
        <f t="shared" ref="AF261:AF298" si="52">IF(ISBLANK(AL261),"·",AL261/D261)</f>
        <v>1.8372829005013143</v>
      </c>
      <c r="AG261" s="21"/>
      <c r="AH261" s="20">
        <f t="shared" ref="AH261:AH324" si="53">IF(ISBLANK(AJ261),"·",AJ261/AI261)</f>
        <v>26.914664543515922</v>
      </c>
      <c r="AI261" s="22">
        <v>499886</v>
      </c>
      <c r="AJ261" s="23">
        <v>13454264</v>
      </c>
      <c r="AK261" s="23">
        <v>12535312</v>
      </c>
      <c r="AL261" s="23">
        <v>918432</v>
      </c>
      <c r="AM261" s="24"/>
      <c r="AN261" s="25">
        <v>113.002</v>
      </c>
      <c r="AO261" s="25">
        <v>117.824</v>
      </c>
      <c r="AP261" s="25">
        <v>35.327500000000001</v>
      </c>
      <c r="AQ261" s="25">
        <v>38.514000000000003</v>
      </c>
      <c r="AR261" s="25">
        <v>39.590800000000002</v>
      </c>
      <c r="AS261" s="26"/>
      <c r="AT261" s="27"/>
      <c r="AU261" s="27"/>
      <c r="AW261" s="28">
        <f t="shared" ref="AW261:AW324" si="54">(AK261/AJ261) - (Q261/P261)</f>
        <v>1.8730731349056562E-2</v>
      </c>
      <c r="AX261" s="28"/>
      <c r="AZ261" s="29"/>
      <c r="BA261" s="29"/>
      <c r="BB261" s="29"/>
      <c r="BC261" s="29"/>
      <c r="BD261" s="29"/>
      <c r="BE261" s="30"/>
      <c r="BG261" s="29"/>
      <c r="BH261" s="29"/>
      <c r="BI261" s="29"/>
      <c r="BJ261" s="29"/>
      <c r="BK261" s="29"/>
      <c r="BL261" s="30"/>
    </row>
    <row r="262" spans="1:64" outlineLevel="1" x14ac:dyDescent="0.15">
      <c r="A262" s="31"/>
      <c r="B262" s="46" t="s">
        <v>357</v>
      </c>
      <c r="C262" s="47" t="s">
        <v>230</v>
      </c>
      <c r="D262" s="46">
        <v>499886</v>
      </c>
      <c r="E262" s="48">
        <v>20</v>
      </c>
      <c r="F262" s="47">
        <v>1</v>
      </c>
      <c r="G262" s="47"/>
      <c r="I262" s="49" t="str">
        <f t="shared" si="44"/>
        <v>·</v>
      </c>
      <c r="J262" s="50">
        <f t="shared" si="45"/>
        <v>32.261163545288326</v>
      </c>
      <c r="K262" s="50">
        <f t="shared" si="46"/>
        <v>28.132942310846872</v>
      </c>
      <c r="L262" s="50">
        <f t="shared" si="47"/>
        <v>4.1271489899697134</v>
      </c>
      <c r="M262" s="51"/>
      <c r="N262" s="50">
        <f t="shared" si="48"/>
        <v>32.261163545288326</v>
      </c>
      <c r="O262" s="52">
        <v>499886</v>
      </c>
      <c r="P262" s="53">
        <v>16126904</v>
      </c>
      <c r="Q262" s="53">
        <v>14063264</v>
      </c>
      <c r="R262" s="53">
        <v>2063104</v>
      </c>
      <c r="S262" s="54"/>
      <c r="T262" s="55">
        <v>118.63800000000001</v>
      </c>
      <c r="U262" s="55">
        <v>123.60299999999999</v>
      </c>
      <c r="V262" s="55">
        <v>41.781799999999997</v>
      </c>
      <c r="W262" s="55">
        <v>43.712499999999999</v>
      </c>
      <c r="X262" s="55">
        <v>44.510100000000001</v>
      </c>
      <c r="Y262" s="56"/>
      <c r="Z262" s="57"/>
      <c r="AA262" s="57"/>
      <c r="AC262" s="49" t="str">
        <f t="shared" si="49"/>
        <v>·</v>
      </c>
      <c r="AD262" s="50">
        <f t="shared" si="50"/>
        <v>31.453315355901147</v>
      </c>
      <c r="AE262" s="50">
        <f t="shared" si="51"/>
        <v>28.132942310846872</v>
      </c>
      <c r="AF262" s="50">
        <f t="shared" si="52"/>
        <v>3.3193168042313648</v>
      </c>
      <c r="AG262" s="51"/>
      <c r="AH262" s="50">
        <f t="shared" si="53"/>
        <v>31.453315355901147</v>
      </c>
      <c r="AI262" s="52">
        <v>499886</v>
      </c>
      <c r="AJ262" s="53">
        <v>15723072</v>
      </c>
      <c r="AK262" s="53">
        <v>14063264</v>
      </c>
      <c r="AL262" s="53">
        <v>1659280</v>
      </c>
      <c r="AM262" s="54"/>
      <c r="AN262" s="55">
        <v>118.63800000000001</v>
      </c>
      <c r="AO262" s="55">
        <v>123.60299999999999</v>
      </c>
      <c r="AP262" s="55">
        <v>40.081499999999998</v>
      </c>
      <c r="AQ262" s="55">
        <v>41.941800000000001</v>
      </c>
      <c r="AR262" s="55">
        <v>42.791400000000003</v>
      </c>
      <c r="AS262" s="56"/>
      <c r="AT262" s="57"/>
      <c r="AU262" s="57"/>
      <c r="AW262" s="58">
        <f t="shared" si="54"/>
        <v>2.2397443800085237E-2</v>
      </c>
      <c r="AX262" s="58"/>
      <c r="AZ262" s="59"/>
      <c r="BA262" s="59"/>
      <c r="BB262" s="59"/>
      <c r="BC262" s="59"/>
      <c r="BD262" s="59"/>
      <c r="BE262" s="60"/>
      <c r="BG262" s="59"/>
      <c r="BH262" s="59"/>
      <c r="BI262" s="59"/>
      <c r="BJ262" s="59"/>
      <c r="BK262" s="59"/>
      <c r="BL262" s="60"/>
    </row>
    <row r="263" spans="1:64" collapsed="1" x14ac:dyDescent="0.15">
      <c r="A263" s="16"/>
      <c r="B263" s="16" t="s">
        <v>360</v>
      </c>
      <c r="C263" s="17" t="s">
        <v>225</v>
      </c>
      <c r="D263" s="16">
        <v>63787119</v>
      </c>
      <c r="E263" s="18">
        <v>15</v>
      </c>
      <c r="F263" s="17">
        <v>1</v>
      </c>
      <c r="G263" s="17"/>
      <c r="I263" s="19" t="str">
        <f t="shared" si="44"/>
        <v>·</v>
      </c>
      <c r="J263" s="20">
        <f t="shared" si="45"/>
        <v>3.1454626442683516E-4</v>
      </c>
      <c r="K263" s="20">
        <f t="shared" si="46"/>
        <v>2.3891971041990469E-4</v>
      </c>
      <c r="L263" s="20">
        <f t="shared" si="47"/>
        <v>6.7850689415836454E-5</v>
      </c>
      <c r="M263" s="21"/>
      <c r="N263" s="20">
        <f t="shared" si="48"/>
        <v>1.6749311294765841</v>
      </c>
      <c r="O263" s="22">
        <v>11979</v>
      </c>
      <c r="P263" s="23">
        <v>20064</v>
      </c>
      <c r="Q263" s="23">
        <v>15240</v>
      </c>
      <c r="R263" s="23">
        <v>4328</v>
      </c>
      <c r="S263" s="24"/>
      <c r="T263" s="25">
        <v>47.495600000000003</v>
      </c>
      <c r="U263" s="25">
        <v>53.3249</v>
      </c>
      <c r="V263" s="25">
        <v>16.099699999999999</v>
      </c>
      <c r="W263" s="25">
        <v>23.134399999999999</v>
      </c>
      <c r="X263" s="25">
        <v>21.538599999999999</v>
      </c>
      <c r="Y263" s="26"/>
      <c r="Z263" s="27"/>
      <c r="AA263" s="27"/>
      <c r="AC263" s="19" t="str">
        <f t="shared" si="49"/>
        <v>·</v>
      </c>
      <c r="AD263" s="20">
        <f t="shared" si="50"/>
        <v>2.8507322928317236E-4</v>
      </c>
      <c r="AE263" s="20">
        <f t="shared" si="51"/>
        <v>2.3891971041990469E-4</v>
      </c>
      <c r="AF263" s="20">
        <f t="shared" si="52"/>
        <v>3.8503071442997765E-5</v>
      </c>
      <c r="AG263" s="21"/>
      <c r="AH263" s="20">
        <f t="shared" si="53"/>
        <v>1.5179898155104767</v>
      </c>
      <c r="AI263" s="22">
        <v>11979</v>
      </c>
      <c r="AJ263" s="23">
        <v>18184</v>
      </c>
      <c r="AK263" s="23">
        <v>15240</v>
      </c>
      <c r="AL263" s="23">
        <v>2456</v>
      </c>
      <c r="AM263" s="24"/>
      <c r="AN263" s="25">
        <v>47.495600000000003</v>
      </c>
      <c r="AO263" s="25">
        <v>53.3249</v>
      </c>
      <c r="AP263" s="25">
        <v>15.521599999999999</v>
      </c>
      <c r="AQ263" s="25">
        <v>21.8081</v>
      </c>
      <c r="AR263" s="25">
        <v>20.7149</v>
      </c>
      <c r="AS263" s="26"/>
      <c r="AT263" s="27"/>
      <c r="AU263" s="27"/>
      <c r="AW263" s="28">
        <f t="shared" si="54"/>
        <v>7.853005007820113E-2</v>
      </c>
      <c r="AX263" s="28">
        <f t="array" ref="AX263">AVERAGE(AK263:AK268/AJ263:AJ268) - AVERAGE(Q263:Q268/P263:P268)</f>
        <v>8.2671442018809382E-2</v>
      </c>
      <c r="AZ263" s="29">
        <f>IF( OR(ISBLANK(Q263:Q268),ISBLANK(AK263:AK268), ISBLANK(T263:T268),ISBLANK(AN263:AN268)), "·", bdRateExtend( Q263:Q268,T263:T268, AK263:AK268,AN263:AN268))</f>
        <v>0</v>
      </c>
      <c r="BA263" s="29">
        <f>IF( OR(ISBLANK(Q263:Q268),ISBLANK(AK263:AK268), ISBLANK(U263:U268),ISBLANK(AO263:AO268)), "·", bdRateExtend( Q263:Q268,U263:U268, AK263:AK268,AO263:AO268))</f>
        <v>0</v>
      </c>
      <c r="BB263" s="29">
        <f>IF( OR(ISBLANK(R263:R268),ISBLANK(AL263:AL268), ISBLANK(V263:V268),ISBLANK(AP263:AP268)), "·", bdRateExtend( R263:R268,V263:V268, AL263:AL268,AP263:AP268))</f>
        <v>-0.20580082653712894</v>
      </c>
      <c r="BC263" s="29">
        <f>IF( OR(ISBLANK(R263:R268),ISBLANK(AL263:AL268), ISBLANK(W263:W268),ISBLANK(AQ263:AQ268)), "·", bdRateExtend( R263:R268,W263:W268, AL263:AL268,AQ263:AQ268))</f>
        <v>-9.5870801565991481E-3</v>
      </c>
      <c r="BD263" s="29">
        <f>IF( OR(ISBLANK(R263:R268),ISBLANK(AL263:AL268), ISBLANK(X263:X268),ISBLANK(AR263:AR268)), "·", bdRateExtend( R263:R268,X263:X268, AL263:AL268,AR263:AR268))</f>
        <v>-8.5664345345057957E-2</v>
      </c>
      <c r="BE263" s="30"/>
      <c r="BG263" s="29">
        <f>IF( OR(ISBLANK(P263:P268),ISBLANK(AJ263:AJ268), ISBLANK(T263:T268),ISBLANK(AN263:AN268)), "·", bdRateExtend( P263:P268,T263:T268, AJ263:AJ268,AN263:AN268))</f>
        <v>-0.12149763514554479</v>
      </c>
      <c r="BH263" s="29">
        <f>IF( OR(ISBLANK(P263:P268),ISBLANK(AJ263:AJ268), ISBLANK(U263:U268),ISBLANK(AO263:AO268)), "·", bdRateExtend( P263:P268,U263:U268, AJ263:AJ268,AO263:AO268))</f>
        <v>-0.12087839868054751</v>
      </c>
      <c r="BI263" s="29">
        <f>IF( OR(ISBLANK(P263:P268),ISBLANK(AJ263:AJ268), ISBLANK(V263:V268),ISBLANK(AP263:AP268)), "·", bdRateExtend( P263:P268,V263:V268, AJ263:AJ268,AP263:AP268))</f>
        <v>3.616399367524803E-2</v>
      </c>
      <c r="BJ263" s="29">
        <f>IF( OR(ISBLANK(P263:P268),ISBLANK(AJ263:AJ268), ISBLANK(W263:W268),ISBLANK(AQ263:AQ268)), "·", bdRateExtend( P263:P268,W263:W268, AJ263:AJ268,AQ263:AQ268))</f>
        <v>0.31544746331976392</v>
      </c>
      <c r="BK263" s="29">
        <f>IF( OR(ISBLANK(P263:P268),ISBLANK(AJ263:AJ268), ISBLANK(X263:X268),ISBLANK(AR263:AR268)), "·", bdRateExtend( P263:P268,X263:X268, AJ263:AJ268,AR263:AR268))</f>
        <v>0.22183524361440887</v>
      </c>
      <c r="BL263" s="30"/>
    </row>
    <row r="264" spans="1:64" outlineLevel="1" x14ac:dyDescent="0.15">
      <c r="A264" s="31"/>
      <c r="B264" s="31" t="s">
        <v>360</v>
      </c>
      <c r="C264" s="32" t="s">
        <v>226</v>
      </c>
      <c r="D264" s="31">
        <v>63787119</v>
      </c>
      <c r="E264" s="33">
        <v>15</v>
      </c>
      <c r="F264" s="32">
        <v>1</v>
      </c>
      <c r="G264" s="32"/>
      <c r="I264" s="34" t="str">
        <f t="shared" si="44"/>
        <v>·</v>
      </c>
      <c r="J264" s="35">
        <f t="shared" si="45"/>
        <v>1.2837701605554563E-3</v>
      </c>
      <c r="K264" s="35">
        <f t="shared" si="46"/>
        <v>8.5409093331210019E-4</v>
      </c>
      <c r="L264" s="35">
        <f t="shared" si="47"/>
        <v>4.2190336265226212E-4</v>
      </c>
      <c r="M264" s="36"/>
      <c r="N264" s="35">
        <f t="shared" si="48"/>
        <v>1.9455452601568068</v>
      </c>
      <c r="O264" s="37">
        <v>42090</v>
      </c>
      <c r="P264" s="38">
        <v>81888</v>
      </c>
      <c r="Q264" s="38">
        <v>54480</v>
      </c>
      <c r="R264" s="38">
        <v>26912</v>
      </c>
      <c r="S264" s="39"/>
      <c r="T264" s="40">
        <v>53.1601</v>
      </c>
      <c r="U264" s="40">
        <v>57.823300000000003</v>
      </c>
      <c r="V264" s="40">
        <v>18.616800000000001</v>
      </c>
      <c r="W264" s="40">
        <v>27.759799999999998</v>
      </c>
      <c r="X264" s="40">
        <v>26.8475</v>
      </c>
      <c r="Y264" s="41"/>
      <c r="Z264" s="42"/>
      <c r="AA264" s="42"/>
      <c r="AC264" s="34" t="str">
        <f t="shared" si="49"/>
        <v>·</v>
      </c>
      <c r="AD264" s="35">
        <f t="shared" si="50"/>
        <v>1.1091894587683135E-3</v>
      </c>
      <c r="AE264" s="35">
        <f t="shared" si="51"/>
        <v>8.5409093331210019E-4</v>
      </c>
      <c r="AF264" s="35">
        <f t="shared" si="52"/>
        <v>2.4744807803594326E-4</v>
      </c>
      <c r="AG264" s="36"/>
      <c r="AH264" s="35">
        <f t="shared" si="53"/>
        <v>1.6809693513898789</v>
      </c>
      <c r="AI264" s="37">
        <v>42090</v>
      </c>
      <c r="AJ264" s="38">
        <v>70752</v>
      </c>
      <c r="AK264" s="38">
        <v>54480</v>
      </c>
      <c r="AL264" s="38">
        <v>15784</v>
      </c>
      <c r="AM264" s="39"/>
      <c r="AN264" s="40">
        <v>53.1601</v>
      </c>
      <c r="AO264" s="40">
        <v>57.823300000000003</v>
      </c>
      <c r="AP264" s="40">
        <v>18.142499999999998</v>
      </c>
      <c r="AQ264" s="40">
        <v>27.123799999999999</v>
      </c>
      <c r="AR264" s="40">
        <v>26.285299999999999</v>
      </c>
      <c r="AS264" s="41"/>
      <c r="AT264" s="42"/>
      <c r="AU264" s="42"/>
      <c r="AW264" s="43">
        <f t="shared" si="54"/>
        <v>0.10471462362067951</v>
      </c>
      <c r="AX264" s="43"/>
      <c r="AZ264" s="44"/>
      <c r="BA264" s="44"/>
      <c r="BB264" s="44"/>
      <c r="BC264" s="44"/>
      <c r="BD264" s="44"/>
      <c r="BE264" s="45"/>
      <c r="BG264" s="44"/>
      <c r="BH264" s="44"/>
      <c r="BI264" s="44"/>
      <c r="BJ264" s="44"/>
      <c r="BK264" s="44"/>
      <c r="BL264" s="45"/>
    </row>
    <row r="265" spans="1:64" outlineLevel="1" x14ac:dyDescent="0.15">
      <c r="A265" s="16"/>
      <c r="B265" s="16" t="s">
        <v>360</v>
      </c>
      <c r="C265" s="17" t="s">
        <v>227</v>
      </c>
      <c r="D265" s="16">
        <v>63787119</v>
      </c>
      <c r="E265" s="18">
        <v>15</v>
      </c>
      <c r="F265" s="17">
        <v>1</v>
      </c>
      <c r="G265" s="17"/>
      <c r="I265" s="19" t="str">
        <f t="shared" si="44"/>
        <v>·</v>
      </c>
      <c r="J265" s="20">
        <f t="shared" si="45"/>
        <v>1.6487842945219083E-2</v>
      </c>
      <c r="K265" s="20">
        <f t="shared" si="46"/>
        <v>1.0081659276695033E-2</v>
      </c>
      <c r="L265" s="20">
        <f t="shared" si="47"/>
        <v>6.3982823867621301E-3</v>
      </c>
      <c r="M265" s="21"/>
      <c r="N265" s="20">
        <f t="shared" si="48"/>
        <v>1.7569998529863813</v>
      </c>
      <c r="O265" s="22">
        <v>598584</v>
      </c>
      <c r="P265" s="23">
        <v>1051712</v>
      </c>
      <c r="Q265" s="23">
        <v>643080</v>
      </c>
      <c r="R265" s="23">
        <v>408128</v>
      </c>
      <c r="S265" s="24"/>
      <c r="T265" s="25">
        <v>65.0261</v>
      </c>
      <c r="U265" s="25">
        <v>68.845500000000001</v>
      </c>
      <c r="V265" s="25">
        <v>23.9895</v>
      </c>
      <c r="W265" s="25">
        <v>35.6173</v>
      </c>
      <c r="X265" s="25">
        <v>34.2913</v>
      </c>
      <c r="Y265" s="26"/>
      <c r="Z265" s="27"/>
      <c r="AA265" s="27"/>
      <c r="AC265" s="19" t="str">
        <f t="shared" si="49"/>
        <v>·</v>
      </c>
      <c r="AD265" s="20">
        <f t="shared" si="50"/>
        <v>1.4293794958822329E-2</v>
      </c>
      <c r="AE265" s="20">
        <f t="shared" si="51"/>
        <v>1.0081659276695033E-2</v>
      </c>
      <c r="AF265" s="20">
        <f t="shared" si="52"/>
        <v>4.2043598175362023E-3</v>
      </c>
      <c r="AG265" s="21"/>
      <c r="AH265" s="20">
        <f t="shared" si="53"/>
        <v>1.5231947395854215</v>
      </c>
      <c r="AI265" s="22">
        <v>598584</v>
      </c>
      <c r="AJ265" s="23">
        <v>911760</v>
      </c>
      <c r="AK265" s="23">
        <v>643080</v>
      </c>
      <c r="AL265" s="23">
        <v>268184</v>
      </c>
      <c r="AM265" s="24"/>
      <c r="AN265" s="25">
        <v>65.0261</v>
      </c>
      <c r="AO265" s="25">
        <v>68.845500000000001</v>
      </c>
      <c r="AP265" s="25">
        <v>23.616099999999999</v>
      </c>
      <c r="AQ265" s="25">
        <v>34.1751</v>
      </c>
      <c r="AR265" s="25">
        <v>33.131399999999999</v>
      </c>
      <c r="AS265" s="26"/>
      <c r="AT265" s="27"/>
      <c r="AU265" s="27"/>
      <c r="AW265" s="28">
        <f t="shared" si="54"/>
        <v>9.3857017127962461E-2</v>
      </c>
      <c r="AX265" s="28"/>
      <c r="AZ265" s="29"/>
      <c r="BA265" s="29"/>
      <c r="BB265" s="29"/>
      <c r="BC265" s="29"/>
      <c r="BD265" s="29"/>
      <c r="BE265" s="30"/>
      <c r="BG265" s="29"/>
      <c r="BH265" s="29"/>
      <c r="BI265" s="29"/>
      <c r="BJ265" s="29"/>
      <c r="BK265" s="29"/>
      <c r="BL265" s="30"/>
    </row>
    <row r="266" spans="1:64" outlineLevel="1" x14ac:dyDescent="0.15">
      <c r="A266" s="31"/>
      <c r="B266" s="31" t="s">
        <v>360</v>
      </c>
      <c r="C266" s="32" t="s">
        <v>228</v>
      </c>
      <c r="D266" s="31">
        <v>63787119</v>
      </c>
      <c r="E266" s="33">
        <v>15</v>
      </c>
      <c r="F266" s="32">
        <v>1</v>
      </c>
      <c r="G266" s="32"/>
      <c r="I266" s="34" t="str">
        <f t="shared" si="44"/>
        <v>·</v>
      </c>
      <c r="J266" s="35">
        <f t="shared" si="45"/>
        <v>6.9801302673663634E-2</v>
      </c>
      <c r="K266" s="35">
        <f t="shared" si="46"/>
        <v>3.8047932530077114E-2</v>
      </c>
      <c r="L266" s="35">
        <f t="shared" si="47"/>
        <v>3.1741706346699872E-2</v>
      </c>
      <c r="M266" s="36"/>
      <c r="N266" s="35">
        <f t="shared" si="48"/>
        <v>1.9777387874399783</v>
      </c>
      <c r="O266" s="37">
        <v>2251270</v>
      </c>
      <c r="P266" s="38">
        <v>4452424</v>
      </c>
      <c r="Q266" s="38">
        <v>2426968</v>
      </c>
      <c r="R266" s="38">
        <v>2024712</v>
      </c>
      <c r="S266" s="39"/>
      <c r="T266" s="40">
        <v>71.002399999999994</v>
      </c>
      <c r="U266" s="40">
        <v>74.810699999999997</v>
      </c>
      <c r="V266" s="40">
        <v>27.643699999999999</v>
      </c>
      <c r="W266" s="40">
        <v>40.583100000000002</v>
      </c>
      <c r="X266" s="40">
        <v>38.591799999999999</v>
      </c>
      <c r="Y266" s="41"/>
      <c r="Z266" s="42"/>
      <c r="AA266" s="42"/>
      <c r="AC266" s="34" t="str">
        <f t="shared" si="49"/>
        <v>·</v>
      </c>
      <c r="AD266" s="35">
        <f t="shared" si="50"/>
        <v>6.0339455055181283E-2</v>
      </c>
      <c r="AE266" s="35">
        <f t="shared" si="51"/>
        <v>3.8047932530077114E-2</v>
      </c>
      <c r="AF266" s="35">
        <f t="shared" si="52"/>
        <v>2.227998414538835E-2</v>
      </c>
      <c r="AG266" s="36"/>
      <c r="AH266" s="35">
        <f t="shared" si="53"/>
        <v>1.7096483318304778</v>
      </c>
      <c r="AI266" s="37">
        <v>2251270</v>
      </c>
      <c r="AJ266" s="38">
        <v>3848880</v>
      </c>
      <c r="AK266" s="38">
        <v>2426968</v>
      </c>
      <c r="AL266" s="38">
        <v>1421176</v>
      </c>
      <c r="AM266" s="39"/>
      <c r="AN266" s="40">
        <v>71.002399999999994</v>
      </c>
      <c r="AO266" s="40">
        <v>74.810699999999997</v>
      </c>
      <c r="AP266" s="40">
        <v>27.353400000000001</v>
      </c>
      <c r="AQ266" s="40">
        <v>39.190899999999999</v>
      </c>
      <c r="AR266" s="40">
        <v>37.526400000000002</v>
      </c>
      <c r="AS266" s="41"/>
      <c r="AT266" s="42"/>
      <c r="AU266" s="42"/>
      <c r="AW266" s="43">
        <f t="shared" si="54"/>
        <v>8.5475588769751143E-2</v>
      </c>
      <c r="AX266" s="43"/>
      <c r="AZ266" s="44"/>
      <c r="BA266" s="44"/>
      <c r="BB266" s="44"/>
      <c r="BC266" s="44"/>
      <c r="BD266" s="44"/>
      <c r="BE266" s="45"/>
      <c r="BG266" s="44"/>
      <c r="BH266" s="44"/>
      <c r="BI266" s="44"/>
      <c r="BJ266" s="44"/>
      <c r="BK266" s="44"/>
      <c r="BL266" s="45"/>
    </row>
    <row r="267" spans="1:64" outlineLevel="1" x14ac:dyDescent="0.15">
      <c r="A267" s="16"/>
      <c r="B267" s="16" t="s">
        <v>360</v>
      </c>
      <c r="C267" s="17" t="s">
        <v>229</v>
      </c>
      <c r="D267" s="16">
        <v>63787119</v>
      </c>
      <c r="E267" s="18">
        <v>15</v>
      </c>
      <c r="F267" s="17">
        <v>1</v>
      </c>
      <c r="G267" s="17"/>
      <c r="I267" s="19" t="str">
        <f t="shared" si="44"/>
        <v>·</v>
      </c>
      <c r="J267" s="20">
        <f t="shared" si="45"/>
        <v>0.95156992432907972</v>
      </c>
      <c r="K267" s="20">
        <f t="shared" si="46"/>
        <v>0.64116117236773151</v>
      </c>
      <c r="L267" s="20">
        <f t="shared" si="47"/>
        <v>0.3103693709697094</v>
      </c>
      <c r="M267" s="21"/>
      <c r="N267" s="20">
        <f t="shared" si="48"/>
        <v>2.4180865414854003</v>
      </c>
      <c r="O267" s="22">
        <v>25101626</v>
      </c>
      <c r="P267" s="23">
        <v>60697904</v>
      </c>
      <c r="Q267" s="23">
        <v>40897824</v>
      </c>
      <c r="R267" s="23">
        <v>19797568</v>
      </c>
      <c r="S267" s="24"/>
      <c r="T267" s="25">
        <v>82.900999999999996</v>
      </c>
      <c r="U267" s="25">
        <v>87.6691</v>
      </c>
      <c r="V267" s="25">
        <v>35.316499999999998</v>
      </c>
      <c r="W267" s="25">
        <v>47.919400000000003</v>
      </c>
      <c r="X267" s="25">
        <v>45.929600000000001</v>
      </c>
      <c r="Y267" s="26"/>
      <c r="Z267" s="27"/>
      <c r="AA267" s="27"/>
      <c r="AC267" s="19" t="str">
        <f t="shared" si="49"/>
        <v>·</v>
      </c>
      <c r="AD267" s="20">
        <f t="shared" si="50"/>
        <v>0.86289659829283083</v>
      </c>
      <c r="AE267" s="20">
        <f t="shared" si="51"/>
        <v>0.64116117236773151</v>
      </c>
      <c r="AF267" s="20">
        <f t="shared" si="52"/>
        <v>0.22169617035063144</v>
      </c>
      <c r="AG267" s="21"/>
      <c r="AH267" s="20">
        <f t="shared" si="53"/>
        <v>2.1927538877361967</v>
      </c>
      <c r="AI267" s="22">
        <v>25101626</v>
      </c>
      <c r="AJ267" s="23">
        <v>55041688</v>
      </c>
      <c r="AK267" s="23">
        <v>40897824</v>
      </c>
      <c r="AL267" s="23">
        <v>14141360</v>
      </c>
      <c r="AM267" s="24"/>
      <c r="AN267" s="25">
        <v>82.900999999999996</v>
      </c>
      <c r="AO267" s="25">
        <v>87.6691</v>
      </c>
      <c r="AP267" s="25">
        <v>34.835000000000001</v>
      </c>
      <c r="AQ267" s="25">
        <v>46.456000000000003</v>
      </c>
      <c r="AR267" s="25">
        <v>44.696899999999999</v>
      </c>
      <c r="AS267" s="26"/>
      <c r="AT267" s="27"/>
      <c r="AU267" s="27"/>
      <c r="AW267" s="28">
        <f t="shared" si="54"/>
        <v>6.924058826698698E-2</v>
      </c>
      <c r="AX267" s="28"/>
      <c r="AZ267" s="29"/>
      <c r="BA267" s="29"/>
      <c r="BB267" s="29"/>
      <c r="BC267" s="29"/>
      <c r="BD267" s="29"/>
      <c r="BE267" s="30"/>
      <c r="BG267" s="29"/>
      <c r="BH267" s="29"/>
      <c r="BI267" s="29"/>
      <c r="BJ267" s="29"/>
      <c r="BK267" s="29"/>
      <c r="BL267" s="30"/>
    </row>
    <row r="268" spans="1:64" outlineLevel="1" x14ac:dyDescent="0.15">
      <c r="A268" s="31"/>
      <c r="B268" s="46" t="s">
        <v>360</v>
      </c>
      <c r="C268" s="47" t="s">
        <v>230</v>
      </c>
      <c r="D268" s="46">
        <v>63787119</v>
      </c>
      <c r="E268" s="48">
        <v>15</v>
      </c>
      <c r="F268" s="47">
        <v>1</v>
      </c>
      <c r="G268" s="47"/>
      <c r="I268" s="49" t="str">
        <f t="shared" si="44"/>
        <v>·</v>
      </c>
      <c r="J268" s="50">
        <f t="shared" si="45"/>
        <v>3.3716146358640215</v>
      </c>
      <c r="K268" s="50">
        <f t="shared" si="46"/>
        <v>2.4285199022705508</v>
      </c>
      <c r="L268" s="50">
        <f t="shared" si="47"/>
        <v>0.94302776082425044</v>
      </c>
      <c r="M268" s="51"/>
      <c r="N268" s="50">
        <f t="shared" si="48"/>
        <v>4.3143182277338781</v>
      </c>
      <c r="O268" s="52">
        <v>49849263</v>
      </c>
      <c r="P268" s="53">
        <v>215065584</v>
      </c>
      <c r="Q268" s="53">
        <v>154908288</v>
      </c>
      <c r="R268" s="53">
        <v>60153024</v>
      </c>
      <c r="S268" s="54"/>
      <c r="T268" s="55">
        <v>88.546199999999999</v>
      </c>
      <c r="U268" s="55">
        <v>93.603300000000004</v>
      </c>
      <c r="V268" s="55">
        <v>40.534599999999998</v>
      </c>
      <c r="W268" s="55">
        <v>51.2682</v>
      </c>
      <c r="X268" s="55">
        <v>50.037300000000002</v>
      </c>
      <c r="Y268" s="56"/>
      <c r="Z268" s="57"/>
      <c r="AA268" s="57"/>
      <c r="AC268" s="49" t="str">
        <f t="shared" si="49"/>
        <v>·</v>
      </c>
      <c r="AD268" s="50">
        <f t="shared" si="50"/>
        <v>3.09564844902307</v>
      </c>
      <c r="AE268" s="50">
        <f t="shared" si="51"/>
        <v>2.4285199022705508</v>
      </c>
      <c r="AF268" s="50">
        <f t="shared" si="52"/>
        <v>0.66706169940046989</v>
      </c>
      <c r="AG268" s="51"/>
      <c r="AH268" s="50">
        <f t="shared" si="53"/>
        <v>3.9611918836192221</v>
      </c>
      <c r="AI268" s="52">
        <v>49849263</v>
      </c>
      <c r="AJ268" s="53">
        <v>197462496</v>
      </c>
      <c r="AK268" s="53">
        <v>154908288</v>
      </c>
      <c r="AL268" s="53">
        <v>42549944</v>
      </c>
      <c r="AM268" s="54"/>
      <c r="AN268" s="55">
        <v>88.546199999999999</v>
      </c>
      <c r="AO268" s="55">
        <v>93.603300000000004</v>
      </c>
      <c r="AP268" s="55">
        <v>39.741300000000003</v>
      </c>
      <c r="AQ268" s="55">
        <v>49.783099999999997</v>
      </c>
      <c r="AR268" s="55">
        <v>48.650599999999997</v>
      </c>
      <c r="AS268" s="56"/>
      <c r="AT268" s="57"/>
      <c r="AU268" s="57"/>
      <c r="AW268" s="58">
        <f t="shared" si="54"/>
        <v>6.4210784249274622E-2</v>
      </c>
      <c r="AX268" s="58"/>
      <c r="AZ268" s="59"/>
      <c r="BA268" s="59"/>
      <c r="BB268" s="59"/>
      <c r="BC268" s="59"/>
      <c r="BD268" s="59"/>
      <c r="BE268" s="60"/>
      <c r="BG268" s="59"/>
      <c r="BH268" s="59"/>
      <c r="BI268" s="59"/>
      <c r="BJ268" s="59"/>
      <c r="BK268" s="59"/>
      <c r="BL268" s="60"/>
    </row>
    <row r="269" spans="1:64" collapsed="1" x14ac:dyDescent="0.15">
      <c r="A269" s="16"/>
      <c r="B269" s="16" t="s">
        <v>363</v>
      </c>
      <c r="C269" s="17" t="s">
        <v>225</v>
      </c>
      <c r="D269" s="16">
        <v>63864641</v>
      </c>
      <c r="E269" s="18">
        <v>20</v>
      </c>
      <c r="F269" s="17">
        <v>1</v>
      </c>
      <c r="G269" s="17"/>
      <c r="I269" s="19" t="str">
        <f t="shared" si="44"/>
        <v>·</v>
      </c>
      <c r="J269" s="20">
        <f t="shared" si="45"/>
        <v>0.15843283296621052</v>
      </c>
      <c r="K269" s="20">
        <f t="shared" si="46"/>
        <v>0.1497973189890788</v>
      </c>
      <c r="L269" s="20">
        <f t="shared" si="47"/>
        <v>8.6187284760592328E-3</v>
      </c>
      <c r="M269" s="21"/>
      <c r="N269" s="20">
        <f t="shared" si="48"/>
        <v>1.252894381496563</v>
      </c>
      <c r="O269" s="22">
        <v>8075905</v>
      </c>
      <c r="P269" s="23">
        <v>10118256</v>
      </c>
      <c r="Q269" s="23">
        <v>9566752</v>
      </c>
      <c r="R269" s="23">
        <v>550432</v>
      </c>
      <c r="S269" s="24"/>
      <c r="T269" s="25">
        <v>77.024000000000001</v>
      </c>
      <c r="U269" s="25">
        <v>81.140500000000003</v>
      </c>
      <c r="V269" s="25">
        <v>25.7851</v>
      </c>
      <c r="W269" s="25">
        <v>36.226399999999998</v>
      </c>
      <c r="X269" s="25">
        <v>35.374899999999997</v>
      </c>
      <c r="Y269" s="26"/>
      <c r="Z269" s="27"/>
      <c r="AA269" s="27"/>
      <c r="AC269" s="19" t="str">
        <f t="shared" si="49"/>
        <v>·</v>
      </c>
      <c r="AD269" s="20">
        <f t="shared" si="50"/>
        <v>0.15393193864504773</v>
      </c>
      <c r="AE269" s="20">
        <f t="shared" si="51"/>
        <v>0.1497973189890788</v>
      </c>
      <c r="AF269" s="20">
        <f t="shared" si="52"/>
        <v>4.1179594198298237E-3</v>
      </c>
      <c r="AG269" s="21"/>
      <c r="AH269" s="20">
        <f t="shared" si="53"/>
        <v>1.217301095047552</v>
      </c>
      <c r="AI269" s="22">
        <v>8075905</v>
      </c>
      <c r="AJ269" s="23">
        <v>9830808</v>
      </c>
      <c r="AK269" s="23">
        <v>9566752</v>
      </c>
      <c r="AL269" s="23">
        <v>262992</v>
      </c>
      <c r="AM269" s="24"/>
      <c r="AN269" s="25">
        <v>77.024000000000001</v>
      </c>
      <c r="AO269" s="25">
        <v>81.140500000000003</v>
      </c>
      <c r="AP269" s="25">
        <v>24.2897</v>
      </c>
      <c r="AQ269" s="25">
        <v>34.657899999999998</v>
      </c>
      <c r="AR269" s="25">
        <v>33.354399999999998</v>
      </c>
      <c r="AS269" s="26"/>
      <c r="AT269" s="27"/>
      <c r="AU269" s="27"/>
      <c r="AW269" s="28">
        <f t="shared" si="54"/>
        <v>2.7645785220739127E-2</v>
      </c>
      <c r="AX269" s="28">
        <f t="array" ref="AX269">AVERAGE(AK269:AK274/AJ269:AJ274) - AVERAGE(Q269:Q274/P269:P274)</f>
        <v>1.7204904813012734E-2</v>
      </c>
      <c r="AZ269" s="29">
        <f>IF( OR(ISBLANK(Q269:Q274),ISBLANK(AK269:AK274), ISBLANK(T269:T274),ISBLANK(AN269:AN274)), "·", bdRateExtend( Q269:Q274,T269:T274, AK269:AK274,AN269:AN274))</f>
        <v>0</v>
      </c>
      <c r="BA269" s="29">
        <f>IF( OR(ISBLANK(Q269:Q274),ISBLANK(AK269:AK274), ISBLANK(U269:U274),ISBLANK(AO269:AO274)), "·", bdRateExtend( Q269:Q274,U269:U274, AK269:AK274,AO269:AO274))</f>
        <v>0</v>
      </c>
      <c r="BB269" s="29">
        <f>IF( OR(ISBLANK(R269:R274),ISBLANK(AL269:AL274), ISBLANK(V269:V274),ISBLANK(AP269:AP274)), "·", bdRateExtend( R269:R274,V269:V274, AL269:AL274,AP269:AP274))</f>
        <v>-6.3725782883894633E-2</v>
      </c>
      <c r="BC269" s="29">
        <f>IF( OR(ISBLANK(R269:R274),ISBLANK(AL269:AL274), ISBLANK(W269:W274),ISBLANK(AQ269:AQ274)), "·", bdRateExtend( R269:R274,W269:W274, AL269:AL274,AQ269:AQ274))</f>
        <v>0.15559321401227155</v>
      </c>
      <c r="BD269" s="29">
        <f>IF( OR(ISBLANK(R269:R274),ISBLANK(AL269:AL274), ISBLANK(X269:X274),ISBLANK(AR269:AR274)), "·", bdRateExtend( R269:R274,X269:X274, AL269:AL274,AR269:AR274))</f>
        <v>0.12474285492018455</v>
      </c>
      <c r="BE269" s="30"/>
      <c r="BG269" s="29">
        <f>IF( OR(ISBLANK(P269:P274),ISBLANK(AJ269:AJ274), ISBLANK(T269:T274),ISBLANK(AN269:AN274)), "·", bdRateExtend( P269:P274,T269:T274, AJ269:AJ274,AN269:AN274))</f>
        <v>-1.6034702023785319E-2</v>
      </c>
      <c r="BH269" s="29">
        <f>IF( OR(ISBLANK(P269:P274),ISBLANK(AJ269:AJ274), ISBLANK(U269:U274),ISBLANK(AO269:AO274)), "·", bdRateExtend( P269:P274,U269:U274, AJ269:AJ274,AO269:AO274))</f>
        <v>-1.6219784087537437E-2</v>
      </c>
      <c r="BI269" s="29">
        <f>IF( OR(ISBLANK(P269:P274),ISBLANK(AJ269:AJ274), ISBLANK(V269:V274),ISBLANK(AP269:AP274)), "·", bdRateExtend( P269:P274,V269:V274, AJ269:AJ274,AP269:AP274))</f>
        <v>0.55307357517537037</v>
      </c>
      <c r="BJ269" s="29">
        <f>IF( OR(ISBLANK(P269:P274),ISBLANK(AJ269:AJ274), ISBLANK(W269:W274),ISBLANK(AQ269:AQ274)), "·", bdRateExtend( P269:P274,W269:W274, AJ269:AJ274,AQ269:AQ274))</f>
        <v>1.0293007550329567</v>
      </c>
      <c r="BK269" s="29">
        <f>IF( OR(ISBLANK(P269:P274),ISBLANK(AJ269:AJ274), ISBLANK(X269:X274),ISBLANK(AR269:AR274)), "·", bdRateExtend( P269:P274,X269:X274, AJ269:AJ274,AR269:AR274))</f>
        <v>0.90015274821924773</v>
      </c>
      <c r="BL269" s="30"/>
    </row>
    <row r="270" spans="1:64" outlineLevel="1" x14ac:dyDescent="0.15">
      <c r="A270" s="31"/>
      <c r="B270" s="31" t="s">
        <v>363</v>
      </c>
      <c r="C270" s="32" t="s">
        <v>226</v>
      </c>
      <c r="D270" s="31">
        <v>63864641</v>
      </c>
      <c r="E270" s="33">
        <v>20</v>
      </c>
      <c r="F270" s="32">
        <v>1</v>
      </c>
      <c r="G270" s="32"/>
      <c r="I270" s="34" t="str">
        <f t="shared" si="44"/>
        <v>·</v>
      </c>
      <c r="J270" s="35">
        <f t="shared" si="45"/>
        <v>0.67658446557305474</v>
      </c>
      <c r="K270" s="35">
        <f t="shared" si="46"/>
        <v>0.64052369761226713</v>
      </c>
      <c r="L270" s="35">
        <f t="shared" si="47"/>
        <v>3.6021434771707245E-2</v>
      </c>
      <c r="M270" s="36"/>
      <c r="N270" s="35">
        <f t="shared" si="48"/>
        <v>1.7214925979301607</v>
      </c>
      <c r="O270" s="37">
        <v>25100209</v>
      </c>
      <c r="P270" s="38">
        <v>43209824</v>
      </c>
      <c r="Q270" s="38">
        <v>40906816</v>
      </c>
      <c r="R270" s="38">
        <v>2300496</v>
      </c>
      <c r="S270" s="39"/>
      <c r="T270" s="40">
        <v>83.034899999999993</v>
      </c>
      <c r="U270" s="40">
        <v>87.722499999999997</v>
      </c>
      <c r="V270" s="40">
        <v>29.642099999999999</v>
      </c>
      <c r="W270" s="40">
        <v>41.293999999999997</v>
      </c>
      <c r="X270" s="40">
        <v>39.317500000000003</v>
      </c>
      <c r="Y270" s="41"/>
      <c r="Z270" s="42"/>
      <c r="AA270" s="42"/>
      <c r="AC270" s="34" t="str">
        <f t="shared" si="49"/>
        <v>·</v>
      </c>
      <c r="AD270" s="35">
        <f t="shared" si="50"/>
        <v>0.65906428566630482</v>
      </c>
      <c r="AE270" s="35">
        <f t="shared" si="51"/>
        <v>0.64052369761226713</v>
      </c>
      <c r="AF270" s="35">
        <f t="shared" si="52"/>
        <v>1.8501380129890655E-2</v>
      </c>
      <c r="AG270" s="36"/>
      <c r="AH270" s="35">
        <f t="shared" si="53"/>
        <v>1.676914483062671</v>
      </c>
      <c r="AI270" s="37">
        <v>25100209</v>
      </c>
      <c r="AJ270" s="38">
        <v>42090904</v>
      </c>
      <c r="AK270" s="38">
        <v>40906816</v>
      </c>
      <c r="AL270" s="38">
        <v>1181584</v>
      </c>
      <c r="AM270" s="39"/>
      <c r="AN270" s="40">
        <v>83.034899999999993</v>
      </c>
      <c r="AO270" s="40">
        <v>87.722499999999997</v>
      </c>
      <c r="AP270" s="40">
        <v>28.030799999999999</v>
      </c>
      <c r="AQ270" s="40">
        <v>38.899000000000001</v>
      </c>
      <c r="AR270" s="40">
        <v>37.339599999999997</v>
      </c>
      <c r="AS270" s="41"/>
      <c r="AT270" s="42"/>
      <c r="AU270" s="42"/>
      <c r="AW270" s="43">
        <f t="shared" si="54"/>
        <v>2.516656620542046E-2</v>
      </c>
      <c r="AX270" s="43"/>
      <c r="AZ270" s="44"/>
      <c r="BA270" s="44"/>
      <c r="BB270" s="44"/>
      <c r="BC270" s="44"/>
      <c r="BD270" s="44"/>
      <c r="BE270" s="45"/>
      <c r="BG270" s="44"/>
      <c r="BH270" s="44"/>
      <c r="BI270" s="44"/>
      <c r="BJ270" s="44"/>
      <c r="BK270" s="44"/>
      <c r="BL270" s="45"/>
    </row>
    <row r="271" spans="1:64" outlineLevel="1" x14ac:dyDescent="0.15">
      <c r="A271" s="16"/>
      <c r="B271" s="16" t="s">
        <v>363</v>
      </c>
      <c r="C271" s="17" t="s">
        <v>227</v>
      </c>
      <c r="D271" s="16">
        <v>63864641</v>
      </c>
      <c r="E271" s="18">
        <v>20</v>
      </c>
      <c r="F271" s="17">
        <v>1</v>
      </c>
      <c r="G271" s="17"/>
      <c r="I271" s="19" t="str">
        <f t="shared" si="44"/>
        <v>·</v>
      </c>
      <c r="J271" s="20">
        <f t="shared" si="45"/>
        <v>5.4505101187369078</v>
      </c>
      <c r="K271" s="20">
        <f t="shared" si="46"/>
        <v>5.3107481493554474</v>
      </c>
      <c r="L271" s="20">
        <f t="shared" si="47"/>
        <v>0.13968117349943296</v>
      </c>
      <c r="M271" s="21"/>
      <c r="N271" s="20">
        <f t="shared" si="48"/>
        <v>5.6056961282089421</v>
      </c>
      <c r="O271" s="22">
        <v>62096636</v>
      </c>
      <c r="P271" s="23">
        <v>348094872</v>
      </c>
      <c r="Q271" s="23">
        <v>339169024</v>
      </c>
      <c r="R271" s="23">
        <v>8920688</v>
      </c>
      <c r="S271" s="24"/>
      <c r="T271" s="25">
        <v>95.078599999999994</v>
      </c>
      <c r="U271" s="25">
        <v>99.903700000000001</v>
      </c>
      <c r="V271" s="25">
        <v>34.403300000000002</v>
      </c>
      <c r="W271" s="25">
        <v>45.5762</v>
      </c>
      <c r="X271" s="25">
        <v>44.031199999999998</v>
      </c>
      <c r="Y271" s="26"/>
      <c r="Z271" s="27"/>
      <c r="AA271" s="27"/>
      <c r="AC271" s="19" t="str">
        <f t="shared" si="49"/>
        <v>·</v>
      </c>
      <c r="AD271" s="20">
        <f t="shared" si="50"/>
        <v>5.3895516926181424</v>
      </c>
      <c r="AE271" s="20">
        <f t="shared" si="51"/>
        <v>5.3107481493554474</v>
      </c>
      <c r="AF271" s="20">
        <f t="shared" si="52"/>
        <v>7.8722872645600558E-2</v>
      </c>
      <c r="AG271" s="21"/>
      <c r="AH271" s="20">
        <f t="shared" si="53"/>
        <v>5.5430021040109159</v>
      </c>
      <c r="AI271" s="22">
        <v>62096636</v>
      </c>
      <c r="AJ271" s="23">
        <v>344201784</v>
      </c>
      <c r="AK271" s="23">
        <v>339169024</v>
      </c>
      <c r="AL271" s="23">
        <v>5027608</v>
      </c>
      <c r="AM271" s="24"/>
      <c r="AN271" s="25">
        <v>95.078599999999994</v>
      </c>
      <c r="AO271" s="25">
        <v>99.903700000000001</v>
      </c>
      <c r="AP271" s="25">
        <v>32.525100000000002</v>
      </c>
      <c r="AQ271" s="25">
        <v>43.218499999999999</v>
      </c>
      <c r="AR271" s="25">
        <v>41.673699999999997</v>
      </c>
      <c r="AS271" s="26"/>
      <c r="AT271" s="27"/>
      <c r="AU271" s="27"/>
      <c r="AW271" s="28">
        <f t="shared" si="54"/>
        <v>1.1020458410582412E-2</v>
      </c>
      <c r="AX271" s="28"/>
      <c r="AZ271" s="29"/>
      <c r="BA271" s="29"/>
      <c r="BB271" s="29"/>
      <c r="BC271" s="29"/>
      <c r="BD271" s="29"/>
      <c r="BE271" s="30"/>
      <c r="BG271" s="29"/>
      <c r="BH271" s="29"/>
      <c r="BI271" s="29"/>
      <c r="BJ271" s="29"/>
      <c r="BK271" s="29"/>
      <c r="BL271" s="30"/>
    </row>
    <row r="272" spans="1:64" outlineLevel="1" x14ac:dyDescent="0.15">
      <c r="A272" s="31"/>
      <c r="B272" s="31" t="s">
        <v>363</v>
      </c>
      <c r="C272" s="32" t="s">
        <v>228</v>
      </c>
      <c r="D272" s="31">
        <v>63864641</v>
      </c>
      <c r="E272" s="33">
        <v>20</v>
      </c>
      <c r="F272" s="32">
        <v>1</v>
      </c>
      <c r="G272" s="32"/>
      <c r="I272" s="34" t="str">
        <f t="shared" si="44"/>
        <v>·</v>
      </c>
      <c r="J272" s="35">
        <f t="shared" si="45"/>
        <v>8.6653564685347568</v>
      </c>
      <c r="K272" s="35">
        <f t="shared" si="46"/>
        <v>8.3728663565179993</v>
      </c>
      <c r="L272" s="35">
        <f t="shared" si="47"/>
        <v>0.29240806348539561</v>
      </c>
      <c r="M272" s="36"/>
      <c r="N272" s="35">
        <f t="shared" si="48"/>
        <v>8.675924269657461</v>
      </c>
      <c r="O272" s="37">
        <v>63786850</v>
      </c>
      <c r="P272" s="38">
        <v>553409880</v>
      </c>
      <c r="Q272" s="38">
        <v>534730104</v>
      </c>
      <c r="R272" s="38">
        <v>18674536</v>
      </c>
      <c r="S272" s="39"/>
      <c r="T272" s="40">
        <v>101.092</v>
      </c>
      <c r="U272" s="40">
        <v>105.86499999999999</v>
      </c>
      <c r="V272" s="40">
        <v>37.070500000000003</v>
      </c>
      <c r="W272" s="40">
        <v>47.9497</v>
      </c>
      <c r="X272" s="40">
        <v>46.691699999999997</v>
      </c>
      <c r="Y272" s="41"/>
      <c r="Z272" s="42"/>
      <c r="AA272" s="42"/>
      <c r="AC272" s="34" t="str">
        <f t="shared" si="49"/>
        <v>·</v>
      </c>
      <c r="AD272" s="35">
        <f t="shared" si="50"/>
        <v>8.5547202246075411</v>
      </c>
      <c r="AE272" s="35">
        <f t="shared" si="51"/>
        <v>8.3728663565179993</v>
      </c>
      <c r="AF272" s="35">
        <f t="shared" si="52"/>
        <v>0.18177194482311426</v>
      </c>
      <c r="AG272" s="36"/>
      <c r="AH272" s="35">
        <f t="shared" si="53"/>
        <v>8.5651530997376426</v>
      </c>
      <c r="AI272" s="37">
        <v>63786850</v>
      </c>
      <c r="AJ272" s="38">
        <v>546344136</v>
      </c>
      <c r="AK272" s="38">
        <v>534730104</v>
      </c>
      <c r="AL272" s="38">
        <v>11608800</v>
      </c>
      <c r="AM272" s="39"/>
      <c r="AN272" s="40">
        <v>101.092</v>
      </c>
      <c r="AO272" s="40">
        <v>105.86499999999999</v>
      </c>
      <c r="AP272" s="40">
        <v>35.397399999999998</v>
      </c>
      <c r="AQ272" s="40">
        <v>45.734999999999999</v>
      </c>
      <c r="AR272" s="40">
        <v>44.377000000000002</v>
      </c>
      <c r="AS272" s="41"/>
      <c r="AT272" s="42"/>
      <c r="AU272" s="42"/>
      <c r="AW272" s="43">
        <f t="shared" si="54"/>
        <v>1.2496239451332936E-2</v>
      </c>
      <c r="AX272" s="43"/>
      <c r="AZ272" s="44"/>
      <c r="BA272" s="44"/>
      <c r="BB272" s="44"/>
      <c r="BC272" s="44"/>
      <c r="BD272" s="44"/>
      <c r="BE272" s="45"/>
      <c r="BG272" s="44"/>
      <c r="BH272" s="44"/>
      <c r="BI272" s="44"/>
      <c r="BJ272" s="44"/>
      <c r="BK272" s="44"/>
      <c r="BL272" s="45"/>
    </row>
    <row r="273" spans="1:64" outlineLevel="1" x14ac:dyDescent="0.15">
      <c r="A273" s="16"/>
      <c r="B273" s="16" t="s">
        <v>363</v>
      </c>
      <c r="C273" s="17" t="s">
        <v>229</v>
      </c>
      <c r="D273" s="16">
        <v>63864641</v>
      </c>
      <c r="E273" s="18">
        <v>20</v>
      </c>
      <c r="F273" s="17">
        <v>1</v>
      </c>
      <c r="G273" s="17"/>
      <c r="I273" s="19" t="str">
        <f t="shared" si="44"/>
        <v>·</v>
      </c>
      <c r="J273" s="20">
        <f t="shared" si="45"/>
        <v>15.181355329312819</v>
      </c>
      <c r="K273" s="20">
        <f t="shared" si="46"/>
        <v>14.585467160145784</v>
      </c>
      <c r="L273" s="20">
        <f t="shared" si="47"/>
        <v>0.59580599537074042</v>
      </c>
      <c r="M273" s="21"/>
      <c r="N273" s="20">
        <f t="shared" si="48"/>
        <v>15.181438528770327</v>
      </c>
      <c r="O273" s="22">
        <v>63864291</v>
      </c>
      <c r="P273" s="23">
        <v>969551808</v>
      </c>
      <c r="Q273" s="23">
        <v>931495624</v>
      </c>
      <c r="R273" s="23">
        <v>38050936</v>
      </c>
      <c r="S273" s="24"/>
      <c r="T273" s="25">
        <v>113.00700000000001</v>
      </c>
      <c r="U273" s="25">
        <v>117.786</v>
      </c>
      <c r="V273" s="25">
        <v>40.014600000000002</v>
      </c>
      <c r="W273" s="25">
        <v>50.0745</v>
      </c>
      <c r="X273" s="25">
        <v>49.044400000000003</v>
      </c>
      <c r="Y273" s="26"/>
      <c r="Z273" s="27"/>
      <c r="AA273" s="27"/>
      <c r="AC273" s="19" t="str">
        <f t="shared" si="49"/>
        <v>·</v>
      </c>
      <c r="AD273" s="20">
        <f t="shared" si="50"/>
        <v>15.003405593401833</v>
      </c>
      <c r="AE273" s="20">
        <f t="shared" si="51"/>
        <v>14.585467160145784</v>
      </c>
      <c r="AF273" s="20">
        <f t="shared" si="52"/>
        <v>0.41785638472468672</v>
      </c>
      <c r="AG273" s="21"/>
      <c r="AH273" s="20">
        <f t="shared" si="53"/>
        <v>15.003487817628791</v>
      </c>
      <c r="AI273" s="22">
        <v>63864291</v>
      </c>
      <c r="AJ273" s="23">
        <v>958187112</v>
      </c>
      <c r="AK273" s="23">
        <v>931495624</v>
      </c>
      <c r="AL273" s="23">
        <v>26686248</v>
      </c>
      <c r="AM273" s="24"/>
      <c r="AN273" s="25">
        <v>113.00700000000001</v>
      </c>
      <c r="AO273" s="25">
        <v>117.786</v>
      </c>
      <c r="AP273" s="25">
        <v>38.670200000000001</v>
      </c>
      <c r="AQ273" s="25">
        <v>48.216700000000003</v>
      </c>
      <c r="AR273" s="25">
        <v>47.084699999999998</v>
      </c>
      <c r="AS273" s="26"/>
      <c r="AT273" s="27"/>
      <c r="AU273" s="27"/>
      <c r="AW273" s="28">
        <f t="shared" si="54"/>
        <v>1.139507784433702E-2</v>
      </c>
      <c r="AX273" s="28"/>
      <c r="AZ273" s="29"/>
      <c r="BA273" s="29"/>
      <c r="BB273" s="29"/>
      <c r="BC273" s="29"/>
      <c r="BD273" s="29"/>
      <c r="BE273" s="30"/>
      <c r="BG273" s="29"/>
      <c r="BH273" s="29"/>
      <c r="BI273" s="29"/>
      <c r="BJ273" s="29"/>
      <c r="BK273" s="29"/>
      <c r="BL273" s="30"/>
    </row>
    <row r="274" spans="1:64" outlineLevel="1" x14ac:dyDescent="0.15">
      <c r="A274" s="31"/>
      <c r="B274" s="46" t="s">
        <v>363</v>
      </c>
      <c r="C274" s="47" t="s">
        <v>230</v>
      </c>
      <c r="D274" s="46">
        <v>63864641</v>
      </c>
      <c r="E274" s="48">
        <v>20</v>
      </c>
      <c r="F274" s="47">
        <v>1</v>
      </c>
      <c r="G274" s="47"/>
      <c r="I274" s="49" t="str">
        <f t="shared" si="44"/>
        <v>·</v>
      </c>
      <c r="J274" s="50">
        <f t="shared" si="45"/>
        <v>18.939434858797686</v>
      </c>
      <c r="K274" s="50">
        <f t="shared" si="46"/>
        <v>17.782541923315595</v>
      </c>
      <c r="L274" s="50">
        <f t="shared" si="47"/>
        <v>1.1568106364208639</v>
      </c>
      <c r="M274" s="51"/>
      <c r="N274" s="50">
        <f t="shared" si="48"/>
        <v>18.939439900249003</v>
      </c>
      <c r="O274" s="52">
        <v>63864624</v>
      </c>
      <c r="P274" s="53">
        <v>1209560208</v>
      </c>
      <c r="Q274" s="53">
        <v>1135675656</v>
      </c>
      <c r="R274" s="53">
        <v>73879296</v>
      </c>
      <c r="S274" s="54"/>
      <c r="T274" s="55">
        <v>118.645</v>
      </c>
      <c r="U274" s="55">
        <v>123.446</v>
      </c>
      <c r="V274" s="55">
        <v>43.3461</v>
      </c>
      <c r="W274" s="55">
        <v>51.953400000000002</v>
      </c>
      <c r="X274" s="55">
        <v>51.025199999999998</v>
      </c>
      <c r="Y274" s="56"/>
      <c r="Z274" s="57"/>
      <c r="AA274" s="57"/>
      <c r="AC274" s="49" t="str">
        <f t="shared" si="49"/>
        <v>·</v>
      </c>
      <c r="AD274" s="50">
        <f t="shared" si="50"/>
        <v>18.631749358772719</v>
      </c>
      <c r="AE274" s="50">
        <f t="shared" si="51"/>
        <v>17.782541923315595</v>
      </c>
      <c r="AF274" s="50">
        <f t="shared" si="52"/>
        <v>0.84912526166083047</v>
      </c>
      <c r="AG274" s="51"/>
      <c r="AH274" s="50">
        <f t="shared" si="53"/>
        <v>18.631754318321832</v>
      </c>
      <c r="AI274" s="52">
        <v>63864624</v>
      </c>
      <c r="AJ274" s="53">
        <v>1189909984</v>
      </c>
      <c r="AK274" s="53">
        <v>1135675656</v>
      </c>
      <c r="AL274" s="53">
        <v>54229080</v>
      </c>
      <c r="AM274" s="54"/>
      <c r="AN274" s="55">
        <v>118.645</v>
      </c>
      <c r="AO274" s="55">
        <v>123.446</v>
      </c>
      <c r="AP274" s="55">
        <v>42.066800000000001</v>
      </c>
      <c r="AQ274" s="55">
        <v>50.359299999999998</v>
      </c>
      <c r="AR274" s="55">
        <v>49.450299999999999</v>
      </c>
      <c r="AS274" s="56"/>
      <c r="AT274" s="57"/>
      <c r="AU274" s="57"/>
      <c r="AW274" s="58">
        <f t="shared" si="54"/>
        <v>1.5505301745664779E-2</v>
      </c>
      <c r="AX274" s="58"/>
      <c r="AZ274" s="59"/>
      <c r="BA274" s="59"/>
      <c r="BB274" s="59"/>
      <c r="BC274" s="59"/>
      <c r="BD274" s="59"/>
      <c r="BE274" s="60"/>
      <c r="BG274" s="59"/>
      <c r="BH274" s="59"/>
      <c r="BI274" s="59"/>
      <c r="BJ274" s="59"/>
      <c r="BK274" s="59"/>
      <c r="BL274" s="60"/>
    </row>
    <row r="275" spans="1:64" collapsed="1" x14ac:dyDescent="0.15">
      <c r="A275" s="16"/>
      <c r="B275" s="16" t="s">
        <v>366</v>
      </c>
      <c r="C275" s="17" t="s">
        <v>225</v>
      </c>
      <c r="D275" s="16">
        <v>2000297</v>
      </c>
      <c r="E275" s="18">
        <v>20</v>
      </c>
      <c r="F275" s="17">
        <v>1</v>
      </c>
      <c r="G275" s="17"/>
      <c r="I275" s="19" t="str">
        <f t="shared" si="44"/>
        <v>·</v>
      </c>
      <c r="J275" s="20">
        <f t="shared" si="45"/>
        <v>5.6322876052906148</v>
      </c>
      <c r="K275" s="20">
        <f t="shared" si="46"/>
        <v>5.5402892670438444</v>
      </c>
      <c r="L275" s="20">
        <f t="shared" si="47"/>
        <v>9.1702382196243853E-2</v>
      </c>
      <c r="M275" s="21"/>
      <c r="N275" s="20">
        <f t="shared" si="48"/>
        <v>5.9236743007789041</v>
      </c>
      <c r="O275" s="22">
        <v>1901902</v>
      </c>
      <c r="P275" s="23">
        <v>11266248</v>
      </c>
      <c r="Q275" s="23">
        <v>11082224</v>
      </c>
      <c r="R275" s="23">
        <v>183432</v>
      </c>
      <c r="S275" s="24"/>
      <c r="T275" s="25">
        <v>77.500200000000007</v>
      </c>
      <c r="U275" s="25">
        <v>83.3553</v>
      </c>
      <c r="V275" s="25">
        <v>24.524000000000001</v>
      </c>
      <c r="W275" s="25">
        <v>34.626600000000003</v>
      </c>
      <c r="X275" s="25">
        <v>33.830599999999997</v>
      </c>
      <c r="Y275" s="26"/>
      <c r="Z275" s="27"/>
      <c r="AA275" s="27"/>
      <c r="AC275" s="19" t="str">
        <f t="shared" si="49"/>
        <v>·</v>
      </c>
      <c r="AD275" s="20">
        <f t="shared" si="50"/>
        <v>5.5880781703916966</v>
      </c>
      <c r="AE275" s="20">
        <f t="shared" si="51"/>
        <v>5.5402892670438444</v>
      </c>
      <c r="AF275" s="20">
        <f t="shared" si="52"/>
        <v>4.749694670341454E-2</v>
      </c>
      <c r="AG275" s="21"/>
      <c r="AH275" s="20">
        <f t="shared" si="53"/>
        <v>5.8771776884403089</v>
      </c>
      <c r="AI275" s="22">
        <v>1901902</v>
      </c>
      <c r="AJ275" s="23">
        <v>11177816</v>
      </c>
      <c r="AK275" s="23">
        <v>11082224</v>
      </c>
      <c r="AL275" s="23">
        <v>95008</v>
      </c>
      <c r="AM275" s="24"/>
      <c r="AN275" s="25">
        <v>77.500200000000007</v>
      </c>
      <c r="AO275" s="25">
        <v>83.3553</v>
      </c>
      <c r="AP275" s="25">
        <v>22.719899999999999</v>
      </c>
      <c r="AQ275" s="25">
        <v>33.2029</v>
      </c>
      <c r="AR275" s="25">
        <v>32.013100000000001</v>
      </c>
      <c r="AS275" s="26"/>
      <c r="AT275" s="27"/>
      <c r="AU275" s="27"/>
      <c r="AW275" s="28">
        <f t="shared" si="54"/>
        <v>7.7821591478353103E-3</v>
      </c>
      <c r="AX275" s="28">
        <f t="array" ref="AX275">AVERAGE(AK275:AK280/AJ275:AJ280) - AVERAGE(Q275:Q280/P275:P280)</f>
        <v>9.6237127107486886E-3</v>
      </c>
      <c r="AZ275" s="29">
        <f>IF( OR(ISBLANK(Q275:Q280),ISBLANK(AK275:AK280), ISBLANK(T275:T280),ISBLANK(AN275:AN280)), "·", bdRateExtend( Q275:Q280,T275:T280, AK275:AK280,AN275:AN280))</f>
        <v>0</v>
      </c>
      <c r="BA275" s="29">
        <f>IF( OR(ISBLANK(Q275:Q280),ISBLANK(AK275:AK280), ISBLANK(U275:U280),ISBLANK(AO275:AO280)), "·", bdRateExtend( Q275:Q280,U275:U280, AK275:AK280,AO275:AO280))</f>
        <v>0</v>
      </c>
      <c r="BB275" s="29">
        <f>IF( OR(ISBLANK(R275:R280),ISBLANK(AL275:AL280), ISBLANK(V275:V280),ISBLANK(AP275:AP280)), "·", bdRateExtend( R275:R280,V275:V280, AL275:AL280,AP275:AP280))</f>
        <v>2.2772906979061869E-2</v>
      </c>
      <c r="BC275" s="29">
        <f>IF( OR(ISBLANK(R275:R280),ISBLANK(AL275:AL280), ISBLANK(W275:W280),ISBLANK(AQ275:AQ280)), "·", bdRateExtend( R275:R280,W275:W280, AL275:AL280,AQ275:AQ280))</f>
        <v>0.21156449241128605</v>
      </c>
      <c r="BD275" s="29">
        <f>IF( OR(ISBLANK(R275:R280),ISBLANK(AL275:AL280), ISBLANK(X275:X280),ISBLANK(AR275:AR280)), "·", bdRateExtend( R275:R280,X275:X280, AL275:AL280,AR275:AR280))</f>
        <v>0.21686168399859507</v>
      </c>
      <c r="BE275" s="30"/>
      <c r="BG275" s="29">
        <f>IF( OR(ISBLANK(P275:P280),ISBLANK(AJ275:AJ280), ISBLANK(T275:T280),ISBLANK(AN275:AN280)), "·", bdRateExtend( P275:P280,T275:T280, AJ275:AJ280,AN275:AN280))</f>
        <v>-9.9436114154537458E-3</v>
      </c>
      <c r="BH275" s="29">
        <f>IF( OR(ISBLANK(P275:P280),ISBLANK(AJ275:AJ280), ISBLANK(U275:U280),ISBLANK(AO275:AO280)), "·", bdRateExtend( P275:P280,U275:U280, AJ275:AJ280,AO275:AO280))</f>
        <v>-9.9393575080344299E-3</v>
      </c>
      <c r="BI275" s="29">
        <f>IF( OR(ISBLANK(P275:P280),ISBLANK(AJ275:AJ280), ISBLANK(V275:V280),ISBLANK(AP275:AP280)), "·", bdRateExtend( P275:P280,V275:V280, AJ275:AJ280,AP275:AP280))</f>
        <v>0.15068750493662098</v>
      </c>
      <c r="BJ275" s="29">
        <f>IF( OR(ISBLANK(P275:P280),ISBLANK(AJ275:AJ280), ISBLANK(W275:W280),ISBLANK(AQ275:AQ280)), "·", bdRateExtend( P275:P280,W275:W280, AJ275:AJ280,AQ275:AQ280))</f>
        <v>0.2561578691472155</v>
      </c>
      <c r="BK275" s="29">
        <f>IF( OR(ISBLANK(P275:P280),ISBLANK(AJ275:AJ280), ISBLANK(X275:X280),ISBLANK(AR275:AR280)), "·", bdRateExtend( P275:P280,X275:X280, AJ275:AJ280,AR275:AR280))</f>
        <v>0.24890381123974814</v>
      </c>
      <c r="BL275" s="30"/>
    </row>
    <row r="276" spans="1:64" outlineLevel="1" x14ac:dyDescent="0.15">
      <c r="A276" s="31"/>
      <c r="B276" s="31" t="s">
        <v>366</v>
      </c>
      <c r="C276" s="32" t="s">
        <v>226</v>
      </c>
      <c r="D276" s="31">
        <v>2000297</v>
      </c>
      <c r="E276" s="33">
        <v>20</v>
      </c>
      <c r="F276" s="32">
        <v>1</v>
      </c>
      <c r="G276" s="32"/>
      <c r="I276" s="34" t="str">
        <f t="shared" si="44"/>
        <v>·</v>
      </c>
      <c r="J276" s="35">
        <f t="shared" si="45"/>
        <v>8.6130569610412859</v>
      </c>
      <c r="K276" s="35">
        <f t="shared" si="46"/>
        <v>8.4089392725180314</v>
      </c>
      <c r="L276" s="35">
        <f t="shared" si="47"/>
        <v>0.20382173247272781</v>
      </c>
      <c r="M276" s="36"/>
      <c r="N276" s="35">
        <f t="shared" si="48"/>
        <v>8.7080388520676735</v>
      </c>
      <c r="O276" s="37">
        <v>1978479</v>
      </c>
      <c r="P276" s="38">
        <v>17228672</v>
      </c>
      <c r="Q276" s="38">
        <v>16820376</v>
      </c>
      <c r="R276" s="38">
        <v>407704</v>
      </c>
      <c r="S276" s="39"/>
      <c r="T276" s="40">
        <v>83.522199999999998</v>
      </c>
      <c r="U276" s="40">
        <v>89.423500000000004</v>
      </c>
      <c r="V276" s="40">
        <v>27.0548</v>
      </c>
      <c r="W276" s="40">
        <v>37.173499999999997</v>
      </c>
      <c r="X276" s="40">
        <v>35.945999999999998</v>
      </c>
      <c r="Y276" s="41"/>
      <c r="Z276" s="42"/>
      <c r="AA276" s="42"/>
      <c r="AC276" s="34" t="str">
        <f t="shared" si="49"/>
        <v>·</v>
      </c>
      <c r="AD276" s="35">
        <f t="shared" si="50"/>
        <v>8.5288934593212904</v>
      </c>
      <c r="AE276" s="35">
        <f t="shared" si="51"/>
        <v>8.4089392725180314</v>
      </c>
      <c r="AF276" s="35">
        <f t="shared" si="52"/>
        <v>0.11966223015882141</v>
      </c>
      <c r="AG276" s="36"/>
      <c r="AH276" s="35">
        <f t="shared" si="53"/>
        <v>8.6229472235995424</v>
      </c>
      <c r="AI276" s="37">
        <v>1978479</v>
      </c>
      <c r="AJ276" s="38">
        <v>17060320</v>
      </c>
      <c r="AK276" s="38">
        <v>16820376</v>
      </c>
      <c r="AL276" s="38">
        <v>239360</v>
      </c>
      <c r="AM276" s="39"/>
      <c r="AN276" s="40">
        <v>83.522199999999998</v>
      </c>
      <c r="AO276" s="40">
        <v>89.423500000000004</v>
      </c>
      <c r="AP276" s="40">
        <v>25.072700000000001</v>
      </c>
      <c r="AQ276" s="40">
        <v>35.143700000000003</v>
      </c>
      <c r="AR276" s="40">
        <v>33.910899999999998</v>
      </c>
      <c r="AS276" s="41"/>
      <c r="AT276" s="42"/>
      <c r="AU276" s="42"/>
      <c r="AW276" s="43">
        <f t="shared" si="54"/>
        <v>9.6341854954063999E-3</v>
      </c>
      <c r="AX276" s="43"/>
      <c r="AZ276" s="44"/>
      <c r="BA276" s="44"/>
      <c r="BB276" s="44"/>
      <c r="BC276" s="44"/>
      <c r="BD276" s="44"/>
      <c r="BE276" s="45"/>
      <c r="BG276" s="44"/>
      <c r="BH276" s="44"/>
      <c r="BI276" s="44"/>
      <c r="BJ276" s="44"/>
      <c r="BK276" s="44"/>
      <c r="BL276" s="45"/>
    </row>
    <row r="277" spans="1:64" outlineLevel="1" x14ac:dyDescent="0.15">
      <c r="A277" s="16"/>
      <c r="B277" s="16" t="s">
        <v>366</v>
      </c>
      <c r="C277" s="17" t="s">
        <v>227</v>
      </c>
      <c r="D277" s="16">
        <v>2000297</v>
      </c>
      <c r="E277" s="18">
        <v>20</v>
      </c>
      <c r="F277" s="17">
        <v>1</v>
      </c>
      <c r="G277" s="17"/>
      <c r="I277" s="19" t="str">
        <f t="shared" si="44"/>
        <v>·</v>
      </c>
      <c r="J277" s="20">
        <f t="shared" si="45"/>
        <v>14.478793899105982</v>
      </c>
      <c r="K277" s="20">
        <f t="shared" si="46"/>
        <v>14.028192813367214</v>
      </c>
      <c r="L277" s="20">
        <f t="shared" si="47"/>
        <v>0.45030113028215307</v>
      </c>
      <c r="M277" s="21"/>
      <c r="N277" s="20">
        <f t="shared" si="48"/>
        <v>14.48722421169577</v>
      </c>
      <c r="O277" s="22">
        <v>1999133</v>
      </c>
      <c r="P277" s="23">
        <v>28961888</v>
      </c>
      <c r="Q277" s="23">
        <v>28060552</v>
      </c>
      <c r="R277" s="23">
        <v>900736</v>
      </c>
      <c r="S277" s="24"/>
      <c r="T277" s="25">
        <v>95.565299999999993</v>
      </c>
      <c r="U277" s="25">
        <v>101.501</v>
      </c>
      <c r="V277" s="25">
        <v>30.707799999999999</v>
      </c>
      <c r="W277" s="25">
        <v>39.7761</v>
      </c>
      <c r="X277" s="25">
        <v>38.544499999999999</v>
      </c>
      <c r="Y277" s="26"/>
      <c r="Z277" s="27"/>
      <c r="AA277" s="27"/>
      <c r="AC277" s="19" t="str">
        <f t="shared" si="49"/>
        <v>·</v>
      </c>
      <c r="AD277" s="20">
        <f t="shared" si="50"/>
        <v>14.346541538581521</v>
      </c>
      <c r="AE277" s="20">
        <f t="shared" si="51"/>
        <v>14.028192813367214</v>
      </c>
      <c r="AF277" s="20">
        <f t="shared" si="52"/>
        <v>0.31805276916377917</v>
      </c>
      <c r="AG277" s="21"/>
      <c r="AH277" s="20">
        <f t="shared" si="53"/>
        <v>14.354894846916139</v>
      </c>
      <c r="AI277" s="22">
        <v>1999133</v>
      </c>
      <c r="AJ277" s="23">
        <v>28697344</v>
      </c>
      <c r="AK277" s="23">
        <v>28060552</v>
      </c>
      <c r="AL277" s="23">
        <v>636200</v>
      </c>
      <c r="AM277" s="24"/>
      <c r="AN277" s="25">
        <v>95.565299999999993</v>
      </c>
      <c r="AO277" s="25">
        <v>101.501</v>
      </c>
      <c r="AP277" s="25">
        <v>28.801500000000001</v>
      </c>
      <c r="AQ277" s="25">
        <v>37.711199999999998</v>
      </c>
      <c r="AR277" s="25">
        <v>36.453899999999997</v>
      </c>
      <c r="AS277" s="26"/>
      <c r="AT277" s="27"/>
      <c r="AU277" s="27"/>
      <c r="AW277" s="28">
        <f t="shared" si="54"/>
        <v>8.9315236513900498E-3</v>
      </c>
      <c r="AX277" s="28"/>
      <c r="AZ277" s="29"/>
      <c r="BA277" s="29"/>
      <c r="BB277" s="29"/>
      <c r="BC277" s="29"/>
      <c r="BD277" s="29"/>
      <c r="BE277" s="30"/>
      <c r="BG277" s="29"/>
      <c r="BH277" s="29"/>
      <c r="BI277" s="29"/>
      <c r="BJ277" s="29"/>
      <c r="BK277" s="29"/>
      <c r="BL277" s="30"/>
    </row>
    <row r="278" spans="1:64" outlineLevel="1" x14ac:dyDescent="0.15">
      <c r="A278" s="31"/>
      <c r="B278" s="31" t="s">
        <v>366</v>
      </c>
      <c r="C278" s="32" t="s">
        <v>228</v>
      </c>
      <c r="D278" s="31">
        <v>2000297</v>
      </c>
      <c r="E278" s="33">
        <v>20</v>
      </c>
      <c r="F278" s="32">
        <v>1</v>
      </c>
      <c r="G278" s="32"/>
      <c r="I278" s="34" t="str">
        <f t="shared" si="44"/>
        <v>·</v>
      </c>
      <c r="J278" s="35">
        <f t="shared" si="45"/>
        <v>17.739925621045273</v>
      </c>
      <c r="K278" s="35">
        <f t="shared" si="46"/>
        <v>16.887716174148139</v>
      </c>
      <c r="L278" s="35">
        <f t="shared" si="47"/>
        <v>0.85190949144052108</v>
      </c>
      <c r="M278" s="36"/>
      <c r="N278" s="35">
        <f t="shared" si="48"/>
        <v>17.742222897764943</v>
      </c>
      <c r="O278" s="37">
        <v>2000038</v>
      </c>
      <c r="P278" s="38">
        <v>35485120</v>
      </c>
      <c r="Q278" s="38">
        <v>33780448</v>
      </c>
      <c r="R278" s="38">
        <v>1704072</v>
      </c>
      <c r="S278" s="39"/>
      <c r="T278" s="40">
        <v>101.57299999999999</v>
      </c>
      <c r="U278" s="40">
        <v>107.511</v>
      </c>
      <c r="V278" s="40">
        <v>34.8294</v>
      </c>
      <c r="W278" s="40">
        <v>42.555999999999997</v>
      </c>
      <c r="X278" s="40">
        <v>41.364600000000003</v>
      </c>
      <c r="Y278" s="41"/>
      <c r="Z278" s="42"/>
      <c r="AA278" s="42"/>
      <c r="AC278" s="34" t="str">
        <f t="shared" si="49"/>
        <v>·</v>
      </c>
      <c r="AD278" s="35">
        <f t="shared" si="50"/>
        <v>17.543074853384272</v>
      </c>
      <c r="AE278" s="35">
        <f t="shared" si="51"/>
        <v>16.887716174148139</v>
      </c>
      <c r="AF278" s="35">
        <f t="shared" si="52"/>
        <v>0.65506272318560699</v>
      </c>
      <c r="AG278" s="36"/>
      <c r="AH278" s="35">
        <f t="shared" si="53"/>
        <v>17.545346638413871</v>
      </c>
      <c r="AI278" s="37">
        <v>2000038</v>
      </c>
      <c r="AJ278" s="38">
        <v>35091360</v>
      </c>
      <c r="AK278" s="38">
        <v>33780448</v>
      </c>
      <c r="AL278" s="38">
        <v>1310320</v>
      </c>
      <c r="AM278" s="39"/>
      <c r="AN278" s="40">
        <v>101.57299999999999</v>
      </c>
      <c r="AO278" s="40">
        <v>107.511</v>
      </c>
      <c r="AP278" s="40">
        <v>32.905200000000001</v>
      </c>
      <c r="AQ278" s="40">
        <v>40.389600000000002</v>
      </c>
      <c r="AR278" s="40">
        <v>39.1845</v>
      </c>
      <c r="AS278" s="41"/>
      <c r="AT278" s="42"/>
      <c r="AU278" s="42"/>
      <c r="AW278" s="43">
        <f t="shared" si="54"/>
        <v>1.0681949562872717E-2</v>
      </c>
      <c r="AX278" s="43"/>
      <c r="AZ278" s="44"/>
      <c r="BA278" s="44"/>
      <c r="BB278" s="44"/>
      <c r="BC278" s="44"/>
      <c r="BD278" s="44"/>
      <c r="BE278" s="45"/>
      <c r="BG278" s="44"/>
      <c r="BH278" s="44"/>
      <c r="BI278" s="44"/>
      <c r="BJ278" s="44"/>
      <c r="BK278" s="44"/>
      <c r="BL278" s="45"/>
    </row>
    <row r="279" spans="1:64" outlineLevel="1" x14ac:dyDescent="0.15">
      <c r="A279" s="16"/>
      <c r="B279" s="16" t="s">
        <v>366</v>
      </c>
      <c r="C279" s="17" t="s">
        <v>229</v>
      </c>
      <c r="D279" s="16">
        <v>2000297</v>
      </c>
      <c r="E279" s="18">
        <v>20</v>
      </c>
      <c r="F279" s="17">
        <v>1</v>
      </c>
      <c r="G279" s="17"/>
      <c r="I279" s="19" t="str">
        <f t="shared" si="44"/>
        <v>·</v>
      </c>
      <c r="J279" s="20">
        <f t="shared" si="45"/>
        <v>23.968316704969311</v>
      </c>
      <c r="K279" s="20">
        <f t="shared" si="46"/>
        <v>22.507209679362614</v>
      </c>
      <c r="L279" s="20">
        <f t="shared" si="47"/>
        <v>1.4608030707439945</v>
      </c>
      <c r="M279" s="21"/>
      <c r="N279" s="20">
        <f t="shared" si="48"/>
        <v>23.968460494379549</v>
      </c>
      <c r="O279" s="22">
        <v>2000285</v>
      </c>
      <c r="P279" s="23">
        <v>47943752</v>
      </c>
      <c r="Q279" s="23">
        <v>45021104</v>
      </c>
      <c r="R279" s="23">
        <v>2922040</v>
      </c>
      <c r="S279" s="24"/>
      <c r="T279" s="25">
        <v>113.461</v>
      </c>
      <c r="U279" s="25">
        <v>119.34699999999999</v>
      </c>
      <c r="V279" s="25">
        <v>39.349499999999999</v>
      </c>
      <c r="W279" s="25">
        <v>45.613700000000001</v>
      </c>
      <c r="X279" s="25">
        <v>44.575499999999998</v>
      </c>
      <c r="Y279" s="26"/>
      <c r="Z279" s="27"/>
      <c r="AA279" s="27"/>
      <c r="AC279" s="19" t="str">
        <f t="shared" si="49"/>
        <v>·</v>
      </c>
      <c r="AD279" s="20">
        <f t="shared" si="50"/>
        <v>23.7275244626173</v>
      </c>
      <c r="AE279" s="20">
        <f t="shared" si="51"/>
        <v>22.507209679362614</v>
      </c>
      <c r="AF279" s="20">
        <f t="shared" si="52"/>
        <v>1.220014827798072</v>
      </c>
      <c r="AG279" s="21"/>
      <c r="AH279" s="20">
        <f t="shared" si="53"/>
        <v>23.727666807479935</v>
      </c>
      <c r="AI279" s="22">
        <v>2000285</v>
      </c>
      <c r="AJ279" s="23">
        <v>47462096</v>
      </c>
      <c r="AK279" s="23">
        <v>45021104</v>
      </c>
      <c r="AL279" s="23">
        <v>2440392</v>
      </c>
      <c r="AM279" s="24"/>
      <c r="AN279" s="25">
        <v>113.461</v>
      </c>
      <c r="AO279" s="25">
        <v>119.34699999999999</v>
      </c>
      <c r="AP279" s="25">
        <v>37.634300000000003</v>
      </c>
      <c r="AQ279" s="25">
        <v>43.578699999999998</v>
      </c>
      <c r="AR279" s="25">
        <v>42.543199999999999</v>
      </c>
      <c r="AS279" s="26"/>
      <c r="AT279" s="27"/>
      <c r="AU279" s="27"/>
      <c r="AW279" s="28">
        <f t="shared" si="54"/>
        <v>9.5295892874950328E-3</v>
      </c>
      <c r="AX279" s="28"/>
      <c r="AZ279" s="29"/>
      <c r="BA279" s="29"/>
      <c r="BB279" s="29"/>
      <c r="BC279" s="29"/>
      <c r="BD279" s="29"/>
      <c r="BE279" s="30"/>
      <c r="BG279" s="29"/>
      <c r="BH279" s="29"/>
      <c r="BI279" s="29"/>
      <c r="BJ279" s="29"/>
      <c r="BK279" s="29"/>
      <c r="BL279" s="30"/>
    </row>
    <row r="280" spans="1:64" outlineLevel="1" x14ac:dyDescent="0.15">
      <c r="A280" s="46"/>
      <c r="B280" s="46" t="s">
        <v>366</v>
      </c>
      <c r="C280" s="47" t="s">
        <v>230</v>
      </c>
      <c r="D280" s="46">
        <v>2000297</v>
      </c>
      <c r="E280" s="48">
        <v>20</v>
      </c>
      <c r="F280" s="47">
        <v>1</v>
      </c>
      <c r="G280" s="47"/>
      <c r="I280" s="49" t="str">
        <f t="shared" si="44"/>
        <v>·</v>
      </c>
      <c r="J280" s="50">
        <f t="shared" si="45"/>
        <v>27.611271726148669</v>
      </c>
      <c r="K280" s="50">
        <f t="shared" si="46"/>
        <v>25.286121011029863</v>
      </c>
      <c r="L280" s="50">
        <f t="shared" si="47"/>
        <v>2.324842760850014</v>
      </c>
      <c r="M280" s="51"/>
      <c r="N280" s="50">
        <f t="shared" si="48"/>
        <v>27.611313136968864</v>
      </c>
      <c r="O280" s="52">
        <v>2000294</v>
      </c>
      <c r="P280" s="53">
        <v>55230744</v>
      </c>
      <c r="Q280" s="53">
        <v>50579752</v>
      </c>
      <c r="R280" s="53">
        <v>4650376</v>
      </c>
      <c r="S280" s="54"/>
      <c r="T280" s="55">
        <v>119.03400000000001</v>
      </c>
      <c r="U280" s="55">
        <v>124.837</v>
      </c>
      <c r="V280" s="55">
        <v>44.145000000000003</v>
      </c>
      <c r="W280" s="55">
        <v>48.781700000000001</v>
      </c>
      <c r="X280" s="55">
        <v>48.013100000000001</v>
      </c>
      <c r="Y280" s="56"/>
      <c r="Z280" s="57"/>
      <c r="AA280" s="57"/>
      <c r="AC280" s="49" t="str">
        <f t="shared" si="49"/>
        <v>·</v>
      </c>
      <c r="AD280" s="50">
        <f t="shared" si="50"/>
        <v>27.278173191281095</v>
      </c>
      <c r="AE280" s="50">
        <f t="shared" si="51"/>
        <v>25.286121011029863</v>
      </c>
      <c r="AF280" s="50">
        <f t="shared" si="52"/>
        <v>1.9917482253885299</v>
      </c>
      <c r="AG280" s="51"/>
      <c r="AH280" s="50">
        <f t="shared" si="53"/>
        <v>27.278214102526928</v>
      </c>
      <c r="AI280" s="52">
        <v>2000294</v>
      </c>
      <c r="AJ280" s="53">
        <v>54564448</v>
      </c>
      <c r="AK280" s="53">
        <v>50579752</v>
      </c>
      <c r="AL280" s="53">
        <v>3984088</v>
      </c>
      <c r="AM280" s="54"/>
      <c r="AN280" s="55">
        <v>119.03400000000001</v>
      </c>
      <c r="AO280" s="55">
        <v>124.837</v>
      </c>
      <c r="AP280" s="55">
        <v>42.247900000000001</v>
      </c>
      <c r="AQ280" s="55">
        <v>46.755800000000001</v>
      </c>
      <c r="AR280" s="55">
        <v>45.959600000000002</v>
      </c>
      <c r="AS280" s="56"/>
      <c r="AT280" s="57"/>
      <c r="AU280" s="57"/>
      <c r="AW280" s="58">
        <f t="shared" si="54"/>
        <v>1.1182869119492622E-2</v>
      </c>
      <c r="AX280" s="58"/>
      <c r="AZ280" s="59"/>
      <c r="BA280" s="59"/>
      <c r="BB280" s="59"/>
      <c r="BC280" s="59"/>
      <c r="BD280" s="59"/>
      <c r="BE280" s="60"/>
      <c r="BG280" s="59"/>
      <c r="BH280" s="59"/>
      <c r="BI280" s="59"/>
      <c r="BJ280" s="59"/>
      <c r="BK280" s="59"/>
      <c r="BL280" s="60"/>
    </row>
    <row r="281" spans="1:64" collapsed="1" x14ac:dyDescent="0.15">
      <c r="A281" s="16" t="s">
        <v>370</v>
      </c>
      <c r="B281" s="16" t="s">
        <v>369</v>
      </c>
      <c r="C281" s="17" t="s">
        <v>225</v>
      </c>
      <c r="D281" s="16">
        <v>19948121</v>
      </c>
      <c r="E281" s="18">
        <v>21</v>
      </c>
      <c r="F281" s="17">
        <v>1</v>
      </c>
      <c r="G281" s="17"/>
      <c r="I281" s="19" t="str">
        <f t="shared" si="44"/>
        <v>·</v>
      </c>
      <c r="J281" s="20">
        <f t="shared" si="45"/>
        <v>9.576601224746932E-2</v>
      </c>
      <c r="K281" s="20">
        <f t="shared" si="46"/>
        <v>8.492148207843736E-2</v>
      </c>
      <c r="L281" s="20">
        <f t="shared" si="47"/>
        <v>6.6091437885302581E-3</v>
      </c>
      <c r="M281" s="20">
        <f t="shared" ref="M281:M312" si="55">IF(ISBLANK(Q281),"·",S281/D281)</f>
        <v>4.1988917151645514E-3</v>
      </c>
      <c r="N281" s="20">
        <f t="shared" si="48"/>
        <v>2.4486794948702566</v>
      </c>
      <c r="O281" s="22">
        <v>780156</v>
      </c>
      <c r="P281" s="23">
        <v>1910352</v>
      </c>
      <c r="Q281" s="23">
        <v>1694024</v>
      </c>
      <c r="R281" s="23">
        <v>131840</v>
      </c>
      <c r="S281" s="23">
        <v>83760</v>
      </c>
      <c r="T281" s="25">
        <v>46.154200000000003</v>
      </c>
      <c r="U281" s="25">
        <v>51.5351</v>
      </c>
      <c r="V281" s="25">
        <v>14.611800000000001</v>
      </c>
      <c r="W281" s="25">
        <v>30.222999999999999</v>
      </c>
      <c r="X281" s="25">
        <v>29.610800000000001</v>
      </c>
      <c r="Y281" s="25">
        <v>18.8948</v>
      </c>
      <c r="Z281" s="27"/>
      <c r="AA281" s="27"/>
      <c r="AC281" s="19" t="str">
        <f t="shared" si="49"/>
        <v>·</v>
      </c>
      <c r="AD281" s="20">
        <f t="shared" si="50"/>
        <v>8.9800939146098019E-2</v>
      </c>
      <c r="AE281" s="20">
        <f t="shared" si="51"/>
        <v>8.492148207843736E-2</v>
      </c>
      <c r="AF281" s="20">
        <f t="shared" si="52"/>
        <v>3.0563279619168142E-3</v>
      </c>
      <c r="AG281" s="20">
        <f t="shared" ref="AG281:AG312" si="56">IF(ISBLANK(AK281),"·",AM281/D281)</f>
        <v>1.7910458834694254E-3</v>
      </c>
      <c r="AH281" s="20">
        <f t="shared" si="53"/>
        <v>2.2961561533847075</v>
      </c>
      <c r="AI281" s="22">
        <v>780156</v>
      </c>
      <c r="AJ281" s="23">
        <v>1791360</v>
      </c>
      <c r="AK281" s="23">
        <v>1694024</v>
      </c>
      <c r="AL281" s="23">
        <v>60968</v>
      </c>
      <c r="AM281" s="23">
        <v>35728</v>
      </c>
      <c r="AN281" s="25">
        <v>46.154200000000003</v>
      </c>
      <c r="AO281" s="25">
        <v>51.5351</v>
      </c>
      <c r="AP281" s="25">
        <v>14.178699999999999</v>
      </c>
      <c r="AQ281" s="25">
        <v>30.223099999999999</v>
      </c>
      <c r="AR281" s="25">
        <v>29.3856</v>
      </c>
      <c r="AS281" s="25">
        <v>18.2591</v>
      </c>
      <c r="AT281" s="27"/>
      <c r="AU281" s="27"/>
      <c r="AW281" s="28">
        <f t="shared" si="54"/>
        <v>5.8903493515975347E-2</v>
      </c>
      <c r="AX281" s="28">
        <f t="array" ref="AX281">AVERAGE(AK281:AK286/AJ281:AJ286) - AVERAGE(Q281:Q286/P281:P286)</f>
        <v>6.2254814580035678E-2</v>
      </c>
      <c r="AZ281" s="29">
        <f>IF( OR(ISBLANK(Q281:Q286),ISBLANK(AK281:AK286), ISBLANK(T281:T286),ISBLANK(AN281:AN286)), "·", bdRateExtend( Q281:Q286,T281:T286, AK281:AK286,AN281:AN286))</f>
        <v>0</v>
      </c>
      <c r="BA281" s="29">
        <f>IF( OR(ISBLANK(Q281:Q286),ISBLANK(AK281:AK286), ISBLANK(U281:U286),ISBLANK(AO281:AO286)), "·", bdRateExtend( Q281:Q286,U281:U286, AK281:AK286,AO281:AO286))</f>
        <v>0</v>
      </c>
      <c r="BB281" s="29">
        <f>IF( OR(ISBLANK(R281:R286),ISBLANK(AL281:AL286), ISBLANK(V281:V286),ISBLANK(AP281:AP286)), "·", bdRateExtend( R281:R286,V281:V286, AL281:AL286,AP281:AP286))</f>
        <v>-0.15816052171845985</v>
      </c>
      <c r="BC281" s="29">
        <f>IF( OR(ISBLANK(R281:R286),ISBLANK(AL281:AL286), ISBLANK(W281:W286),ISBLANK(AQ281:AQ286)), "·", bdRateExtend( R281:R286,W281:W286, AL281:AL286,AQ281:AQ286))</f>
        <v>-4.7197815203189886E-2</v>
      </c>
      <c r="BD281" s="29">
        <f>IF( OR(ISBLANK(R281:R286),ISBLANK(AL281:AL286), ISBLANK(X281:X286),ISBLANK(AR281:AR286)), "·", bdRateExtend( R281:R286,X281:X286, AL281:AL286,AR281:AR286))</f>
        <v>-2.4797358908320355E-2</v>
      </c>
      <c r="BE281" s="29">
        <f>IF( OR(ISBLANK(S281:S286),ISBLANK(AM281:AM286), ISBLANK(Y281:Y286),ISBLANK(AS281:AS286)), "·", bdRateExtend( S281:S286,Y281:Y286, AM281:AM286,AS281:AS286))</f>
        <v>-0.12914061999560245</v>
      </c>
      <c r="BG281" s="29">
        <f>IF( OR(ISBLANK(P281:P286),ISBLANK(AJ281:AJ286), ISBLANK(T281:T286),ISBLANK(AN281:AN286)), "·", bdRateExtend( P281:P286,T281:T286, AJ281:AJ286,AN281:AN286))</f>
        <v>-8.2244018322922163E-2</v>
      </c>
      <c r="BH281" s="29">
        <f>IF( OR(ISBLANK(P281:P286),ISBLANK(AJ281:AJ286), ISBLANK(U281:U286),ISBLANK(AO281:AO286)), "·", bdRateExtend( P281:P286,U281:U286, AJ281:AJ286,AO281:AO286))</f>
        <v>-8.2051869307182446E-2</v>
      </c>
      <c r="BI281" s="29">
        <f>IF( OR(ISBLANK(P281:P286),ISBLANK(AJ281:AJ286), ISBLANK(V281:V286),ISBLANK(AP281:AP286)), "·", bdRateExtend( P281:P286,V281:V286, AJ281:AJ286,AP281:AP286))</f>
        <v>7.6584926073242965E-2</v>
      </c>
      <c r="BJ281" s="29">
        <f>IF( OR(ISBLANK(P281:P286),ISBLANK(AJ281:AJ286), ISBLANK(W281:W286),ISBLANK(AQ281:AQ286)), "·", bdRateExtend( P281:P286,W281:W286, AJ281:AJ286,AQ281:AQ286))</f>
        <v>0.18179748946713215</v>
      </c>
      <c r="BK281" s="29">
        <f>IF( OR(ISBLANK(P281:P286),ISBLANK(AJ281:AJ286), ISBLANK(X281:X286),ISBLANK(AR281:AR286)), "·", bdRateExtend( P281:P286,X281:X286, AJ281:AJ286,AR281:AR286))</f>
        <v>0.19627603527980941</v>
      </c>
      <c r="BL281" s="29">
        <f>IF( OR(ISBLANK(P281:P286),ISBLANK(AJ281:AJ286), ISBLANK(Y281:Y286),ISBLANK(AS281:AS286)), "·", bdRateExtend( P281:P286,Y281:Y286, AJ281:AJ286,AS281:AS286))</f>
        <v>0.14517833070526698</v>
      </c>
    </row>
    <row r="282" spans="1:64" outlineLevel="1" x14ac:dyDescent="0.15">
      <c r="A282" s="31"/>
      <c r="B282" s="31" t="s">
        <v>369</v>
      </c>
      <c r="C282" s="32" t="s">
        <v>226</v>
      </c>
      <c r="D282" s="31">
        <v>19948121</v>
      </c>
      <c r="E282" s="33">
        <v>21</v>
      </c>
      <c r="F282" s="32">
        <v>1</v>
      </c>
      <c r="G282" s="32"/>
      <c r="I282" s="34" t="str">
        <f t="shared" si="44"/>
        <v>·</v>
      </c>
      <c r="J282" s="35">
        <f t="shared" si="45"/>
        <v>0.33974247499300814</v>
      </c>
      <c r="K282" s="35">
        <f t="shared" si="46"/>
        <v>0.26370563924291418</v>
      </c>
      <c r="L282" s="35">
        <f t="shared" si="47"/>
        <v>4.6683494650949835E-2</v>
      </c>
      <c r="M282" s="35">
        <f t="shared" si="55"/>
        <v>2.9268721600395346E-2</v>
      </c>
      <c r="N282" s="35">
        <f t="shared" si="48"/>
        <v>2.9480393163315197</v>
      </c>
      <c r="O282" s="37">
        <v>2298892</v>
      </c>
      <c r="P282" s="38">
        <v>6777224</v>
      </c>
      <c r="Q282" s="38">
        <v>5260432</v>
      </c>
      <c r="R282" s="38">
        <v>931248</v>
      </c>
      <c r="S282" s="38">
        <v>583856</v>
      </c>
      <c r="T282" s="40">
        <v>52.137099999999997</v>
      </c>
      <c r="U282" s="40">
        <v>57.4407</v>
      </c>
      <c r="V282" s="40">
        <v>15.9636</v>
      </c>
      <c r="W282" s="40">
        <v>31.078700000000001</v>
      </c>
      <c r="X282" s="40">
        <v>30.3306</v>
      </c>
      <c r="Y282" s="40">
        <v>21.4359</v>
      </c>
      <c r="Z282" s="42"/>
      <c r="AA282" s="42"/>
      <c r="AC282" s="34" t="str">
        <f t="shared" si="49"/>
        <v>·</v>
      </c>
      <c r="AD282" s="35">
        <f t="shared" si="50"/>
        <v>0.30637030926371461</v>
      </c>
      <c r="AE282" s="35">
        <f t="shared" si="51"/>
        <v>0.26370563924291418</v>
      </c>
      <c r="AF282" s="35">
        <f t="shared" si="52"/>
        <v>2.7849440055030747E-2</v>
      </c>
      <c r="AG282" s="35">
        <f t="shared" si="56"/>
        <v>1.4735021910083662E-2</v>
      </c>
      <c r="AH282" s="35">
        <f t="shared" si="53"/>
        <v>2.6584598145541416</v>
      </c>
      <c r="AI282" s="37">
        <v>2298892</v>
      </c>
      <c r="AJ282" s="38">
        <v>6111512</v>
      </c>
      <c r="AK282" s="38">
        <v>5260432</v>
      </c>
      <c r="AL282" s="38">
        <v>555544</v>
      </c>
      <c r="AM282" s="38">
        <v>293936</v>
      </c>
      <c r="AN282" s="40">
        <v>52.137099999999997</v>
      </c>
      <c r="AO282" s="40">
        <v>57.4407</v>
      </c>
      <c r="AP282" s="40">
        <v>15.544</v>
      </c>
      <c r="AQ282" s="40">
        <v>30.798500000000001</v>
      </c>
      <c r="AR282" s="40">
        <v>30.0047</v>
      </c>
      <c r="AS282" s="40">
        <v>20.635899999999999</v>
      </c>
      <c r="AT282" s="42"/>
      <c r="AU282" s="42"/>
      <c r="AW282" s="43">
        <f t="shared" si="54"/>
        <v>8.4548768755217996E-2</v>
      </c>
      <c r="AX282" s="43"/>
      <c r="AZ282" s="44"/>
      <c r="BA282" s="44"/>
      <c r="BB282" s="44"/>
      <c r="BC282" s="44"/>
      <c r="BD282" s="44"/>
      <c r="BE282" s="44"/>
      <c r="BG282" s="44"/>
      <c r="BH282" s="44"/>
      <c r="BI282" s="44"/>
      <c r="BJ282" s="44"/>
      <c r="BK282" s="44"/>
      <c r="BL282" s="44"/>
    </row>
    <row r="283" spans="1:64" outlineLevel="1" x14ac:dyDescent="0.15">
      <c r="A283" s="16"/>
      <c r="B283" s="16" t="s">
        <v>369</v>
      </c>
      <c r="C283" s="17" t="s">
        <v>227</v>
      </c>
      <c r="D283" s="16">
        <v>19948121</v>
      </c>
      <c r="E283" s="18">
        <v>21</v>
      </c>
      <c r="F283" s="17">
        <v>1</v>
      </c>
      <c r="G283" s="17"/>
      <c r="I283" s="19" t="str">
        <f t="shared" si="44"/>
        <v>·</v>
      </c>
      <c r="J283" s="20">
        <f t="shared" si="45"/>
        <v>2.9411588189183333</v>
      </c>
      <c r="K283" s="20">
        <f t="shared" si="46"/>
        <v>2.1636700519312071</v>
      </c>
      <c r="L283" s="20">
        <f t="shared" si="47"/>
        <v>0.49736854914806261</v>
      </c>
      <c r="M283" s="20">
        <f t="shared" si="55"/>
        <v>0.2799870724666248</v>
      </c>
      <c r="N283" s="20">
        <f t="shared" si="48"/>
        <v>4.767316511357345</v>
      </c>
      <c r="O283" s="22">
        <v>12306838</v>
      </c>
      <c r="P283" s="23">
        <v>58670592</v>
      </c>
      <c r="Q283" s="23">
        <v>43161152</v>
      </c>
      <c r="R283" s="23">
        <v>9921568</v>
      </c>
      <c r="S283" s="23">
        <v>5585216</v>
      </c>
      <c r="T283" s="25">
        <v>64.216999999999999</v>
      </c>
      <c r="U283" s="25">
        <v>69.197500000000005</v>
      </c>
      <c r="V283" s="25">
        <v>18.801200000000001</v>
      </c>
      <c r="W283" s="25">
        <v>32.843400000000003</v>
      </c>
      <c r="X283" s="25">
        <v>32.319899999999997</v>
      </c>
      <c r="Y283" s="25">
        <v>27.276499999999999</v>
      </c>
      <c r="Z283" s="27"/>
      <c r="AA283" s="27"/>
      <c r="AC283" s="19" t="str">
        <f t="shared" si="49"/>
        <v>·</v>
      </c>
      <c r="AD283" s="20">
        <f t="shared" si="50"/>
        <v>2.6714295546933968</v>
      </c>
      <c r="AE283" s="20">
        <f t="shared" si="51"/>
        <v>2.1636700519312071</v>
      </c>
      <c r="AF283" s="20">
        <f t="shared" si="52"/>
        <v>0.32811631732131563</v>
      </c>
      <c r="AG283" s="20">
        <f t="shared" si="56"/>
        <v>0.17951445151149825</v>
      </c>
      <c r="AH283" s="20">
        <f t="shared" si="53"/>
        <v>4.3301130639730534</v>
      </c>
      <c r="AI283" s="22">
        <v>12306838</v>
      </c>
      <c r="AJ283" s="23">
        <v>53290000</v>
      </c>
      <c r="AK283" s="23">
        <v>43161152</v>
      </c>
      <c r="AL283" s="23">
        <v>6545304</v>
      </c>
      <c r="AM283" s="23">
        <v>3580976</v>
      </c>
      <c r="AN283" s="25">
        <v>64.216999999999999</v>
      </c>
      <c r="AO283" s="25">
        <v>69.197500000000005</v>
      </c>
      <c r="AP283" s="25">
        <v>18.4663</v>
      </c>
      <c r="AQ283" s="25">
        <v>32.353299999999997</v>
      </c>
      <c r="AR283" s="25">
        <v>31.791899999999998</v>
      </c>
      <c r="AS283" s="25">
        <v>26.349599999999999</v>
      </c>
      <c r="AT283" s="27"/>
      <c r="AU283" s="27"/>
      <c r="AW283" s="28">
        <f t="shared" si="54"/>
        <v>7.4277435131794523E-2</v>
      </c>
      <c r="AX283" s="28"/>
      <c r="AZ283" s="29"/>
      <c r="BA283" s="29"/>
      <c r="BB283" s="29"/>
      <c r="BC283" s="29"/>
      <c r="BD283" s="29"/>
      <c r="BE283" s="29"/>
      <c r="BG283" s="29"/>
      <c r="BH283" s="29"/>
      <c r="BI283" s="29"/>
      <c r="BJ283" s="29"/>
      <c r="BK283" s="29"/>
      <c r="BL283" s="29"/>
    </row>
    <row r="284" spans="1:64" outlineLevel="1" x14ac:dyDescent="0.15">
      <c r="A284" s="31"/>
      <c r="B284" s="31" t="s">
        <v>369</v>
      </c>
      <c r="C284" s="32" t="s">
        <v>228</v>
      </c>
      <c r="D284" s="31">
        <v>19948121</v>
      </c>
      <c r="E284" s="33">
        <v>21</v>
      </c>
      <c r="F284" s="32">
        <v>1</v>
      </c>
      <c r="G284" s="32"/>
      <c r="I284" s="34" t="str">
        <f t="shared" si="44"/>
        <v>·</v>
      </c>
      <c r="J284" s="35">
        <f t="shared" si="45"/>
        <v>6.2053804466094826</v>
      </c>
      <c r="K284" s="35">
        <f t="shared" si="46"/>
        <v>4.3253192618994039</v>
      </c>
      <c r="L284" s="35">
        <f t="shared" si="47"/>
        <v>1.2163491488747236</v>
      </c>
      <c r="M284" s="35">
        <f t="shared" si="55"/>
        <v>0.66356084365038692</v>
      </c>
      <c r="N284" s="35">
        <f t="shared" si="48"/>
        <v>8.0361395450746169</v>
      </c>
      <c r="O284" s="37">
        <v>15403625</v>
      </c>
      <c r="P284" s="38">
        <v>123785680</v>
      </c>
      <c r="Q284" s="38">
        <v>86281992</v>
      </c>
      <c r="R284" s="38">
        <v>24263880</v>
      </c>
      <c r="S284" s="38">
        <v>13236792</v>
      </c>
      <c r="T284" s="40">
        <v>70.226299999999995</v>
      </c>
      <c r="U284" s="40">
        <v>75.025400000000005</v>
      </c>
      <c r="V284" s="40">
        <v>20.168800000000001</v>
      </c>
      <c r="W284" s="40">
        <v>34.735599999999998</v>
      </c>
      <c r="X284" s="40">
        <v>34.2851</v>
      </c>
      <c r="Y284" s="40">
        <v>31.551200000000001</v>
      </c>
      <c r="Z284" s="42"/>
      <c r="AA284" s="42"/>
      <c r="AC284" s="34" t="str">
        <f t="shared" si="49"/>
        <v>·</v>
      </c>
      <c r="AD284" s="35">
        <f t="shared" si="50"/>
        <v>5.6881563932763388</v>
      </c>
      <c r="AE284" s="35">
        <f t="shared" si="51"/>
        <v>4.3253192618994039</v>
      </c>
      <c r="AF284" s="35">
        <f t="shared" si="52"/>
        <v>0.87266164066279728</v>
      </c>
      <c r="AG284" s="35">
        <f t="shared" si="56"/>
        <v>0.49002830893195404</v>
      </c>
      <c r="AH284" s="35">
        <f t="shared" si="53"/>
        <v>7.3663200707625638</v>
      </c>
      <c r="AI284" s="37">
        <v>15403625</v>
      </c>
      <c r="AJ284" s="38">
        <v>113468032</v>
      </c>
      <c r="AK284" s="38">
        <v>86281992</v>
      </c>
      <c r="AL284" s="38">
        <v>17407960</v>
      </c>
      <c r="AM284" s="38">
        <v>9775144</v>
      </c>
      <c r="AN284" s="40">
        <v>70.226299999999995</v>
      </c>
      <c r="AO284" s="40">
        <v>75.025400000000005</v>
      </c>
      <c r="AP284" s="40">
        <v>20.020700000000001</v>
      </c>
      <c r="AQ284" s="40">
        <v>34.026499999999999</v>
      </c>
      <c r="AR284" s="40">
        <v>33.594999999999999</v>
      </c>
      <c r="AS284" s="40">
        <v>30.511299999999999</v>
      </c>
      <c r="AT284" s="42"/>
      <c r="AU284" s="42"/>
      <c r="AW284" s="43">
        <f t="shared" si="54"/>
        <v>6.3380686834545896E-2</v>
      </c>
      <c r="AX284" s="43"/>
      <c r="AZ284" s="44"/>
      <c r="BA284" s="44"/>
      <c r="BB284" s="44"/>
      <c r="BC284" s="44"/>
      <c r="BD284" s="44"/>
      <c r="BE284" s="44"/>
      <c r="BG284" s="44"/>
      <c r="BH284" s="44"/>
      <c r="BI284" s="44"/>
      <c r="BJ284" s="44"/>
      <c r="BK284" s="44"/>
      <c r="BL284" s="44"/>
    </row>
    <row r="285" spans="1:64" outlineLevel="1" x14ac:dyDescent="0.15">
      <c r="A285" s="16"/>
      <c r="B285" s="16" t="s">
        <v>369</v>
      </c>
      <c r="C285" s="17" t="s">
        <v>229</v>
      </c>
      <c r="D285" s="16">
        <v>19948121</v>
      </c>
      <c r="E285" s="18">
        <v>21</v>
      </c>
      <c r="F285" s="17">
        <v>1</v>
      </c>
      <c r="G285" s="17"/>
      <c r="I285" s="19" t="str">
        <f t="shared" si="44"/>
        <v>·</v>
      </c>
      <c r="J285" s="20">
        <f t="shared" si="45"/>
        <v>12.780384478317531</v>
      </c>
      <c r="K285" s="20">
        <f t="shared" si="46"/>
        <v>9.0291796405285485</v>
      </c>
      <c r="L285" s="20">
        <f t="shared" si="47"/>
        <v>2.4962940619820784</v>
      </c>
      <c r="M285" s="20">
        <f t="shared" si="55"/>
        <v>1.2547475524135832</v>
      </c>
      <c r="N285" s="20">
        <f t="shared" si="48"/>
        <v>15.116960767240235</v>
      </c>
      <c r="O285" s="22">
        <v>16864809</v>
      </c>
      <c r="P285" s="23">
        <v>254944656</v>
      </c>
      <c r="Q285" s="23">
        <v>180115168</v>
      </c>
      <c r="R285" s="23">
        <v>49796376</v>
      </c>
      <c r="S285" s="23">
        <v>25029856</v>
      </c>
      <c r="T285" s="25">
        <v>82.138199999999998</v>
      </c>
      <c r="U285" s="25">
        <v>86.9375</v>
      </c>
      <c r="V285" s="25">
        <v>22.677900000000001</v>
      </c>
      <c r="W285" s="25">
        <v>37.288800000000002</v>
      </c>
      <c r="X285" s="25">
        <v>36.7498</v>
      </c>
      <c r="Y285" s="25">
        <v>36.314300000000003</v>
      </c>
      <c r="Z285" s="27"/>
      <c r="AA285" s="27"/>
      <c r="AC285" s="19" t="str">
        <f t="shared" si="49"/>
        <v>·</v>
      </c>
      <c r="AD285" s="20">
        <f t="shared" si="50"/>
        <v>11.993949705839462</v>
      </c>
      <c r="AE285" s="20">
        <f t="shared" si="51"/>
        <v>9.0291796405285485</v>
      </c>
      <c r="AF285" s="20">
        <f t="shared" si="52"/>
        <v>1.9471211348677904</v>
      </c>
      <c r="AG285" s="20">
        <f t="shared" si="56"/>
        <v>1.0174897174525861</v>
      </c>
      <c r="AH285" s="20">
        <f t="shared" si="53"/>
        <v>14.186745903852216</v>
      </c>
      <c r="AI285" s="22">
        <v>16864809</v>
      </c>
      <c r="AJ285" s="23">
        <v>239256760</v>
      </c>
      <c r="AK285" s="23">
        <v>180115168</v>
      </c>
      <c r="AL285" s="23">
        <v>38841408</v>
      </c>
      <c r="AM285" s="23">
        <v>20297008</v>
      </c>
      <c r="AN285" s="25">
        <v>82.138199999999998</v>
      </c>
      <c r="AO285" s="25">
        <v>86.9375</v>
      </c>
      <c r="AP285" s="25">
        <v>22.619</v>
      </c>
      <c r="AQ285" s="25">
        <v>36.623899999999999</v>
      </c>
      <c r="AR285" s="25">
        <v>36.126600000000003</v>
      </c>
      <c r="AS285" s="25">
        <v>35.232599999999998</v>
      </c>
      <c r="AT285" s="27"/>
      <c r="AU285" s="27"/>
      <c r="AW285" s="28">
        <f t="shared" si="54"/>
        <v>4.6323872635519181E-2</v>
      </c>
      <c r="AX285" s="28"/>
      <c r="AZ285" s="29"/>
      <c r="BA285" s="29"/>
      <c r="BB285" s="29"/>
      <c r="BC285" s="29"/>
      <c r="BD285" s="29"/>
      <c r="BE285" s="29"/>
      <c r="BG285" s="29"/>
      <c r="BH285" s="29"/>
      <c r="BI285" s="29"/>
      <c r="BJ285" s="29"/>
      <c r="BK285" s="29"/>
      <c r="BL285" s="29"/>
    </row>
    <row r="286" spans="1:64" outlineLevel="1" x14ac:dyDescent="0.15">
      <c r="A286" s="31"/>
      <c r="B286" s="46" t="s">
        <v>369</v>
      </c>
      <c r="C286" s="47" t="s">
        <v>230</v>
      </c>
      <c r="D286" s="46">
        <v>19948121</v>
      </c>
      <c r="E286" s="48">
        <v>21</v>
      </c>
      <c r="F286" s="47">
        <v>1</v>
      </c>
      <c r="G286" s="47"/>
      <c r="I286" s="49" t="str">
        <f t="shared" si="44"/>
        <v>·</v>
      </c>
      <c r="J286" s="50">
        <f t="shared" si="45"/>
        <v>18.149880682997662</v>
      </c>
      <c r="K286" s="50">
        <f t="shared" si="46"/>
        <v>11.641390785628381</v>
      </c>
      <c r="L286" s="50">
        <f t="shared" si="47"/>
        <v>4.4394878094032011</v>
      </c>
      <c r="M286" s="50">
        <f t="shared" si="55"/>
        <v>2.0688384635324799</v>
      </c>
      <c r="N286" s="50">
        <f t="shared" si="48"/>
        <v>20.62211251791269</v>
      </c>
      <c r="O286" s="52">
        <v>17556689</v>
      </c>
      <c r="P286" s="53">
        <v>362056016</v>
      </c>
      <c r="Q286" s="53">
        <v>232223872</v>
      </c>
      <c r="R286" s="53">
        <v>88559440</v>
      </c>
      <c r="S286" s="53">
        <v>41269440</v>
      </c>
      <c r="T286" s="55">
        <v>87.781800000000004</v>
      </c>
      <c r="U286" s="55">
        <v>92.624399999999994</v>
      </c>
      <c r="V286" s="55">
        <v>24.476400000000002</v>
      </c>
      <c r="W286" s="55">
        <v>39.778799999999997</v>
      </c>
      <c r="X286" s="55">
        <v>39.132399999999997</v>
      </c>
      <c r="Y286" s="55">
        <v>40.423699999999997</v>
      </c>
      <c r="Z286" s="57"/>
      <c r="AA286" s="57"/>
      <c r="AC286" s="49" t="str">
        <f t="shared" si="49"/>
        <v>·</v>
      </c>
      <c r="AD286" s="50">
        <f t="shared" si="50"/>
        <v>16.932986520384553</v>
      </c>
      <c r="AE286" s="50">
        <f t="shared" si="51"/>
        <v>11.641390785628381</v>
      </c>
      <c r="AF286" s="50">
        <f t="shared" si="52"/>
        <v>3.5672813494564224</v>
      </c>
      <c r="AG286" s="50">
        <f t="shared" si="56"/>
        <v>1.7241547712689331</v>
      </c>
      <c r="AH286" s="50">
        <f t="shared" si="53"/>
        <v>19.239462748357621</v>
      </c>
      <c r="AI286" s="52">
        <v>17556689</v>
      </c>
      <c r="AJ286" s="53">
        <v>337781264</v>
      </c>
      <c r="AK286" s="53">
        <v>232223872</v>
      </c>
      <c r="AL286" s="53">
        <v>71160560</v>
      </c>
      <c r="AM286" s="53">
        <v>34393648</v>
      </c>
      <c r="AN286" s="55">
        <v>87.781800000000004</v>
      </c>
      <c r="AO286" s="55">
        <v>92.624399999999994</v>
      </c>
      <c r="AP286" s="55">
        <v>24.440899999999999</v>
      </c>
      <c r="AQ286" s="55">
        <v>39.116</v>
      </c>
      <c r="AR286" s="55">
        <v>38.5413</v>
      </c>
      <c r="AS286" s="55">
        <v>39.320900000000002</v>
      </c>
      <c r="AT286" s="57"/>
      <c r="AU286" s="57"/>
      <c r="AW286" s="58">
        <f t="shared" si="54"/>
        <v>4.609463060716168E-2</v>
      </c>
      <c r="AX286" s="58"/>
      <c r="AZ286" s="59"/>
      <c r="BA286" s="59"/>
      <c r="BB286" s="59"/>
      <c r="BC286" s="59"/>
      <c r="BD286" s="59"/>
      <c r="BE286" s="59"/>
      <c r="BG286" s="59"/>
      <c r="BH286" s="59"/>
      <c r="BI286" s="59"/>
      <c r="BJ286" s="59"/>
      <c r="BK286" s="59"/>
      <c r="BL286" s="59"/>
    </row>
    <row r="287" spans="1:64" collapsed="1" x14ac:dyDescent="0.15">
      <c r="A287" s="16"/>
      <c r="B287" s="16" t="s">
        <v>373</v>
      </c>
      <c r="C287" s="17" t="s">
        <v>225</v>
      </c>
      <c r="D287" s="16">
        <v>5255920</v>
      </c>
      <c r="E287" s="18">
        <v>20</v>
      </c>
      <c r="F287" s="17">
        <v>1</v>
      </c>
      <c r="G287" s="17"/>
      <c r="I287" s="19" t="str">
        <f t="shared" si="44"/>
        <v>·</v>
      </c>
      <c r="J287" s="20">
        <f t="shared" si="45"/>
        <v>0.137339989954185</v>
      </c>
      <c r="K287" s="20">
        <f t="shared" si="46"/>
        <v>0.11997899511408089</v>
      </c>
      <c r="L287" s="20">
        <f t="shared" si="47"/>
        <v>1.0022983607056423E-2</v>
      </c>
      <c r="M287" s="20">
        <f t="shared" si="55"/>
        <v>7.2010228466186698E-3</v>
      </c>
      <c r="N287" s="20">
        <f t="shared" si="48"/>
        <v>2.1857424459429589</v>
      </c>
      <c r="O287" s="22">
        <v>330253</v>
      </c>
      <c r="P287" s="23">
        <v>721848</v>
      </c>
      <c r="Q287" s="23">
        <v>630600</v>
      </c>
      <c r="R287" s="23">
        <v>52680</v>
      </c>
      <c r="S287" s="23">
        <v>37848</v>
      </c>
      <c r="T287" s="25">
        <v>46.170299999999997</v>
      </c>
      <c r="U287" s="25">
        <v>51.370899999999999</v>
      </c>
      <c r="V287" s="25">
        <v>16.555</v>
      </c>
      <c r="W287" s="25">
        <v>30.7651</v>
      </c>
      <c r="X287" s="25">
        <v>30.521100000000001</v>
      </c>
      <c r="Y287" s="25">
        <v>18.590199999999999</v>
      </c>
      <c r="Z287" s="27"/>
      <c r="AA287" s="27"/>
      <c r="AC287" s="19" t="str">
        <f t="shared" si="49"/>
        <v>·</v>
      </c>
      <c r="AD287" s="20">
        <f t="shared" si="50"/>
        <v>0.12725460052664425</v>
      </c>
      <c r="AE287" s="20">
        <f t="shared" si="51"/>
        <v>0.11997899511408089</v>
      </c>
      <c r="AF287" s="20">
        <f t="shared" si="52"/>
        <v>4.3410097566172999E-3</v>
      </c>
      <c r="AG287" s="20">
        <f t="shared" si="56"/>
        <v>2.8143502945250309E-3</v>
      </c>
      <c r="AH287" s="20">
        <f t="shared" si="53"/>
        <v>2.0252351984690526</v>
      </c>
      <c r="AI287" s="22">
        <v>330253</v>
      </c>
      <c r="AJ287" s="23">
        <v>668840</v>
      </c>
      <c r="AK287" s="23">
        <v>630600</v>
      </c>
      <c r="AL287" s="23">
        <v>22816</v>
      </c>
      <c r="AM287" s="23">
        <v>14792</v>
      </c>
      <c r="AN287" s="25">
        <v>46.170299999999997</v>
      </c>
      <c r="AO287" s="25">
        <v>51.370899999999999</v>
      </c>
      <c r="AP287" s="25">
        <v>16.093299999999999</v>
      </c>
      <c r="AQ287" s="25">
        <v>30.657800000000002</v>
      </c>
      <c r="AR287" s="25">
        <v>30.2959</v>
      </c>
      <c r="AS287" s="25">
        <v>17.986899999999999</v>
      </c>
      <c r="AT287" s="27"/>
      <c r="AU287" s="27"/>
      <c r="AW287" s="28">
        <f t="shared" si="54"/>
        <v>6.923526984644679E-2</v>
      </c>
      <c r="AX287" s="28">
        <f t="array" ref="AX287">AVERAGE(AK287:AK292/AJ287:AJ292) - AVERAGE(Q287:Q292/P287:P292)</f>
        <v>6.1426719379198635E-2</v>
      </c>
      <c r="AZ287" s="29">
        <f>IF( OR(ISBLANK(Q287:Q292),ISBLANK(AK287:AK292), ISBLANK(T287:T292),ISBLANK(AN287:AN292)), "·", bdRateExtend( Q287:Q292,T287:T292, AK287:AK292,AN287:AN292))</f>
        <v>0</v>
      </c>
      <c r="BA287" s="29">
        <f>IF( OR(ISBLANK(Q287:Q292),ISBLANK(AK287:AK292), ISBLANK(U287:U292),ISBLANK(AO287:AO292)), "·", bdRateExtend( Q287:Q292,U287:U292, AK287:AK292,AO287:AO292))</f>
        <v>0</v>
      </c>
      <c r="BB287" s="29">
        <f>IF( OR(ISBLANK(R287:R292),ISBLANK(AL287:AL292), ISBLANK(V287:V292),ISBLANK(AP287:AP292)), "·", bdRateExtend( R287:R292,V287:V292, AL287:AL292,AP287:AP292))</f>
        <v>-0.20138918540495632</v>
      </c>
      <c r="BC287" s="29">
        <f>IF( OR(ISBLANK(R287:R292),ISBLANK(AL287:AL292), ISBLANK(W287:W292),ISBLANK(AQ287:AQ292)), "·", bdRateExtend( R287:R292,W287:W292, AL287:AL292,AQ287:AQ292))</f>
        <v>-6.9623721777680725E-2</v>
      </c>
      <c r="BD287" s="29">
        <f>IF( OR(ISBLANK(R287:R292),ISBLANK(AL287:AL292), ISBLANK(X287:X292),ISBLANK(AR287:AR292)), "·", bdRateExtend( R287:R292,X287:X292, AL287:AL292,AR287:AR292))</f>
        <v>-6.6657919472821625E-2</v>
      </c>
      <c r="BE287" s="29">
        <f>IF( OR(ISBLANK(S287:S292),ISBLANK(AM287:AM292), ISBLANK(Y287:Y292),ISBLANK(AS287:AS292)), "·", bdRateExtend( S287:S292,Y287:Y292, AM287:AM292,AS287:AS292))</f>
        <v>-0.15004340712512843</v>
      </c>
      <c r="BG287" s="29">
        <f>IF( OR(ISBLANK(P287:P292),ISBLANK(AJ287:AJ292), ISBLANK(T287:T292),ISBLANK(AN287:AN292)), "·", bdRateExtend( P287:P292,T287:T292, AJ287:AJ292,AN287:AN292))</f>
        <v>-7.6673428165971891E-2</v>
      </c>
      <c r="BH287" s="29">
        <f>IF( OR(ISBLANK(P287:P292),ISBLANK(AJ287:AJ292), ISBLANK(U287:U292),ISBLANK(AO287:AO292)), "·", bdRateExtend( P287:P292,U287:U292, AJ287:AJ292,AO287:AO292))</f>
        <v>-7.654879227671596E-2</v>
      </c>
      <c r="BI287" s="29">
        <f>IF( OR(ISBLANK(P287:P292),ISBLANK(AJ287:AJ292), ISBLANK(V287:V292),ISBLANK(AP287:AP292)), "·", bdRateExtend( P287:P292,V287:V292, AJ287:AJ292,AP287:AP292))</f>
        <v>7.0886880158497867E-2</v>
      </c>
      <c r="BJ287" s="29">
        <f>IF( OR(ISBLANK(P287:P292),ISBLANK(AJ287:AJ292), ISBLANK(W287:W292),ISBLANK(AQ287:AQ292)), "·", bdRateExtend( P287:P292,W287:W292, AJ287:AJ292,AQ287:AQ292))</f>
        <v>0.17442074891333892</v>
      </c>
      <c r="BK287" s="29">
        <f>IF( OR(ISBLANK(P287:P292),ISBLANK(AJ287:AJ292), ISBLANK(X287:X292),ISBLANK(AR287:AR292)), "·", bdRateExtend( P287:P292,X287:X292, AJ287:AJ292,AR287:AR292))</f>
        <v>0.17051282224313313</v>
      </c>
      <c r="BL287" s="29">
        <f>IF( OR(ISBLANK(P287:P292),ISBLANK(AJ287:AJ292), ISBLANK(Y287:Y292),ISBLANK(AS287:AS292)), "·", bdRateExtend( P287:P292,Y287:Y292, AJ287:AJ292,AS287:AS292))</f>
        <v>0.1565962539311323</v>
      </c>
    </row>
    <row r="288" spans="1:64" outlineLevel="1" x14ac:dyDescent="0.15">
      <c r="A288" s="31"/>
      <c r="B288" s="31" t="s">
        <v>373</v>
      </c>
      <c r="C288" s="32" t="s">
        <v>226</v>
      </c>
      <c r="D288" s="31">
        <v>5255920</v>
      </c>
      <c r="E288" s="33">
        <v>20</v>
      </c>
      <c r="F288" s="32">
        <v>1</v>
      </c>
      <c r="G288" s="32"/>
      <c r="I288" s="34" t="str">
        <f t="shared" si="44"/>
        <v>·</v>
      </c>
      <c r="J288" s="35">
        <f t="shared" si="45"/>
        <v>0.54943302028950214</v>
      </c>
      <c r="K288" s="35">
        <f t="shared" si="46"/>
        <v>0.43080868810788597</v>
      </c>
      <c r="L288" s="35">
        <f t="shared" si="47"/>
        <v>6.9765141021933361E-2</v>
      </c>
      <c r="M288" s="35">
        <f t="shared" si="55"/>
        <v>4.8720680680071231E-2</v>
      </c>
      <c r="N288" s="35">
        <f t="shared" si="48"/>
        <v>2.9330029047918909</v>
      </c>
      <c r="O288" s="37">
        <v>984580</v>
      </c>
      <c r="P288" s="38">
        <v>2887776</v>
      </c>
      <c r="Q288" s="38">
        <v>2264296</v>
      </c>
      <c r="R288" s="38">
        <v>366680</v>
      </c>
      <c r="S288" s="38">
        <v>256072</v>
      </c>
      <c r="T288" s="40">
        <v>52.181600000000003</v>
      </c>
      <c r="U288" s="40">
        <v>57.385800000000003</v>
      </c>
      <c r="V288" s="40">
        <v>18.613099999999999</v>
      </c>
      <c r="W288" s="40">
        <v>31.770700000000001</v>
      </c>
      <c r="X288" s="40">
        <v>31.317699999999999</v>
      </c>
      <c r="Y288" s="40">
        <v>21.365100000000002</v>
      </c>
      <c r="Z288" s="42"/>
      <c r="AA288" s="42"/>
      <c r="AC288" s="34" t="str">
        <f t="shared" si="49"/>
        <v>·</v>
      </c>
      <c r="AD288" s="35">
        <f t="shared" si="50"/>
        <v>0.49294966437845322</v>
      </c>
      <c r="AE288" s="35">
        <f t="shared" si="51"/>
        <v>0.43080868810788597</v>
      </c>
      <c r="AF288" s="35">
        <f t="shared" si="52"/>
        <v>3.9997564650907931E-2</v>
      </c>
      <c r="AG288" s="35">
        <f t="shared" si="56"/>
        <v>2.2021644165055785E-2</v>
      </c>
      <c r="AH288" s="35">
        <f t="shared" si="53"/>
        <v>2.6314814438643888</v>
      </c>
      <c r="AI288" s="37">
        <v>984580</v>
      </c>
      <c r="AJ288" s="38">
        <v>2590904</v>
      </c>
      <c r="AK288" s="38">
        <v>2264296</v>
      </c>
      <c r="AL288" s="38">
        <v>210224</v>
      </c>
      <c r="AM288" s="38">
        <v>115744</v>
      </c>
      <c r="AN288" s="40">
        <v>52.181600000000003</v>
      </c>
      <c r="AO288" s="40">
        <v>57.385800000000003</v>
      </c>
      <c r="AP288" s="40">
        <v>18.172699999999999</v>
      </c>
      <c r="AQ288" s="40">
        <v>31.525099999999998</v>
      </c>
      <c r="AR288" s="40">
        <v>31.0884</v>
      </c>
      <c r="AS288" s="40">
        <v>20.5307</v>
      </c>
      <c r="AT288" s="42"/>
      <c r="AU288" s="42"/>
      <c r="AW288" s="43">
        <f t="shared" si="54"/>
        <v>8.9843696779251525E-2</v>
      </c>
      <c r="AX288" s="43"/>
      <c r="AZ288" s="44"/>
      <c r="BA288" s="44"/>
      <c r="BB288" s="44"/>
      <c r="BC288" s="44"/>
      <c r="BD288" s="44"/>
      <c r="BE288" s="44"/>
      <c r="BG288" s="44"/>
      <c r="BH288" s="44"/>
      <c r="BI288" s="44"/>
      <c r="BJ288" s="44"/>
      <c r="BK288" s="44"/>
      <c r="BL288" s="44"/>
    </row>
    <row r="289" spans="1:64" outlineLevel="1" x14ac:dyDescent="0.15">
      <c r="A289" s="16"/>
      <c r="B289" s="16" t="s">
        <v>373</v>
      </c>
      <c r="C289" s="17" t="s">
        <v>227</v>
      </c>
      <c r="D289" s="16">
        <v>5255920</v>
      </c>
      <c r="E289" s="18">
        <v>20</v>
      </c>
      <c r="F289" s="17">
        <v>1</v>
      </c>
      <c r="G289" s="17"/>
      <c r="I289" s="19" t="str">
        <f t="shared" si="44"/>
        <v>·</v>
      </c>
      <c r="J289" s="20">
        <f t="shared" si="45"/>
        <v>4.468902114187431</v>
      </c>
      <c r="K289" s="20">
        <f t="shared" si="46"/>
        <v>3.46939222819221</v>
      </c>
      <c r="L289" s="20">
        <f t="shared" si="47"/>
        <v>0.60213854092147523</v>
      </c>
      <c r="M289" s="20">
        <f t="shared" si="55"/>
        <v>0.39713998690999863</v>
      </c>
      <c r="N289" s="20">
        <f t="shared" si="48"/>
        <v>5.4421003073204544</v>
      </c>
      <c r="O289" s="22">
        <v>4316016</v>
      </c>
      <c r="P289" s="23">
        <v>23488192</v>
      </c>
      <c r="Q289" s="23">
        <v>18234848</v>
      </c>
      <c r="R289" s="23">
        <v>3164792</v>
      </c>
      <c r="S289" s="23">
        <v>2087336</v>
      </c>
      <c r="T289" s="25">
        <v>64.215800000000002</v>
      </c>
      <c r="U289" s="25">
        <v>69.157600000000002</v>
      </c>
      <c r="V289" s="25">
        <v>23.4346</v>
      </c>
      <c r="W289" s="25">
        <v>33.798499999999997</v>
      </c>
      <c r="X289" s="25">
        <v>33.638399999999997</v>
      </c>
      <c r="Y289" s="25">
        <v>27.120100000000001</v>
      </c>
      <c r="Z289" s="27"/>
      <c r="AA289" s="27"/>
      <c r="AC289" s="19" t="str">
        <f t="shared" si="49"/>
        <v>·</v>
      </c>
      <c r="AD289" s="20">
        <f t="shared" si="50"/>
        <v>4.114064141006712</v>
      </c>
      <c r="AE289" s="20">
        <f t="shared" si="51"/>
        <v>3.46939222819221</v>
      </c>
      <c r="AF289" s="20">
        <f t="shared" si="52"/>
        <v>0.39772903697164341</v>
      </c>
      <c r="AG289" s="20">
        <f t="shared" si="56"/>
        <v>0.24672826070412029</v>
      </c>
      <c r="AH289" s="20">
        <f t="shared" si="53"/>
        <v>5.0099888415612917</v>
      </c>
      <c r="AI289" s="22">
        <v>4316016</v>
      </c>
      <c r="AJ289" s="23">
        <v>21623192</v>
      </c>
      <c r="AK289" s="23">
        <v>18234848</v>
      </c>
      <c r="AL289" s="23">
        <v>2090432</v>
      </c>
      <c r="AM289" s="23">
        <v>1296784</v>
      </c>
      <c r="AN289" s="25">
        <v>64.215800000000002</v>
      </c>
      <c r="AO289" s="25">
        <v>69.157600000000002</v>
      </c>
      <c r="AP289" s="25">
        <v>22.916699999999999</v>
      </c>
      <c r="AQ289" s="25">
        <v>33.216200000000001</v>
      </c>
      <c r="AR289" s="25">
        <v>33.0137</v>
      </c>
      <c r="AS289" s="25">
        <v>26.066700000000001</v>
      </c>
      <c r="AT289" s="27"/>
      <c r="AU289" s="27"/>
      <c r="AW289" s="28">
        <f t="shared" si="54"/>
        <v>6.6959405754893897E-2</v>
      </c>
      <c r="AX289" s="28"/>
      <c r="AZ289" s="29"/>
      <c r="BA289" s="29"/>
      <c r="BB289" s="29"/>
      <c r="BC289" s="29"/>
      <c r="BD289" s="29"/>
      <c r="BE289" s="29"/>
      <c r="BG289" s="29"/>
      <c r="BH289" s="29"/>
      <c r="BI289" s="29"/>
      <c r="BJ289" s="29"/>
      <c r="BK289" s="29"/>
      <c r="BL289" s="29"/>
    </row>
    <row r="290" spans="1:64" outlineLevel="1" x14ac:dyDescent="0.15">
      <c r="A290" s="31"/>
      <c r="B290" s="31" t="s">
        <v>373</v>
      </c>
      <c r="C290" s="32" t="s">
        <v>228</v>
      </c>
      <c r="D290" s="31">
        <v>5255920</v>
      </c>
      <c r="E290" s="33">
        <v>20</v>
      </c>
      <c r="F290" s="32">
        <v>1</v>
      </c>
      <c r="G290" s="32"/>
      <c r="I290" s="34" t="str">
        <f t="shared" si="44"/>
        <v>·</v>
      </c>
      <c r="J290" s="35">
        <f t="shared" si="45"/>
        <v>8.4445653662917248</v>
      </c>
      <c r="K290" s="35">
        <f t="shared" si="46"/>
        <v>6.2024536142102615</v>
      </c>
      <c r="L290" s="35">
        <f t="shared" si="47"/>
        <v>1.3437236487617772</v>
      </c>
      <c r="M290" s="35">
        <f t="shared" si="55"/>
        <v>0.89808977305590654</v>
      </c>
      <c r="N290" s="35">
        <f t="shared" si="48"/>
        <v>8.9609659374367183</v>
      </c>
      <c r="O290" s="37">
        <v>4953033</v>
      </c>
      <c r="P290" s="38">
        <v>44383960</v>
      </c>
      <c r="Q290" s="38">
        <v>32599600</v>
      </c>
      <c r="R290" s="38">
        <v>7062504</v>
      </c>
      <c r="S290" s="38">
        <v>4720288</v>
      </c>
      <c r="T290" s="40">
        <v>70.222700000000003</v>
      </c>
      <c r="U290" s="40">
        <v>75.009299999999996</v>
      </c>
      <c r="V290" s="40">
        <v>25.998799999999999</v>
      </c>
      <c r="W290" s="40">
        <v>36.051900000000003</v>
      </c>
      <c r="X290" s="40">
        <v>36.052799999999998</v>
      </c>
      <c r="Y290" s="40">
        <v>31.4194</v>
      </c>
      <c r="Z290" s="42"/>
      <c r="AA290" s="42"/>
      <c r="AC290" s="34" t="str">
        <f t="shared" si="49"/>
        <v>·</v>
      </c>
      <c r="AD290" s="35">
        <f t="shared" si="50"/>
        <v>7.8251510677483678</v>
      </c>
      <c r="AE290" s="35">
        <f t="shared" si="51"/>
        <v>6.2024536142102615</v>
      </c>
      <c r="AF290" s="35">
        <f t="shared" si="52"/>
        <v>0.96319730893925326</v>
      </c>
      <c r="AG290" s="35">
        <f t="shared" si="56"/>
        <v>0.65921703526689901</v>
      </c>
      <c r="AH290" s="35">
        <f t="shared" si="53"/>
        <v>8.3036733250111592</v>
      </c>
      <c r="AI290" s="37">
        <v>4953033</v>
      </c>
      <c r="AJ290" s="38">
        <v>41128368</v>
      </c>
      <c r="AK290" s="38">
        <v>32599600</v>
      </c>
      <c r="AL290" s="38">
        <v>5062488</v>
      </c>
      <c r="AM290" s="38">
        <v>3464792</v>
      </c>
      <c r="AN290" s="40">
        <v>70.222700000000003</v>
      </c>
      <c r="AO290" s="40">
        <v>75.009299999999996</v>
      </c>
      <c r="AP290" s="40">
        <v>25.604299999999999</v>
      </c>
      <c r="AQ290" s="40">
        <v>35.087400000000002</v>
      </c>
      <c r="AR290" s="40">
        <v>35.084600000000002</v>
      </c>
      <c r="AS290" s="40">
        <v>30.174800000000001</v>
      </c>
      <c r="AT290" s="42"/>
      <c r="AU290" s="42"/>
      <c r="AW290" s="43">
        <f t="shared" si="54"/>
        <v>5.8139958725176633E-2</v>
      </c>
      <c r="AX290" s="43"/>
      <c r="AZ290" s="44"/>
      <c r="BA290" s="44"/>
      <c r="BB290" s="44"/>
      <c r="BC290" s="44"/>
      <c r="BD290" s="44"/>
      <c r="BE290" s="44"/>
      <c r="BG290" s="44"/>
      <c r="BH290" s="44"/>
      <c r="BI290" s="44"/>
      <c r="BJ290" s="44"/>
      <c r="BK290" s="44"/>
      <c r="BL290" s="44"/>
    </row>
    <row r="291" spans="1:64" outlineLevel="1" x14ac:dyDescent="0.15">
      <c r="A291" s="16"/>
      <c r="B291" s="16" t="s">
        <v>373</v>
      </c>
      <c r="C291" s="17" t="s">
        <v>229</v>
      </c>
      <c r="D291" s="16">
        <v>5255920</v>
      </c>
      <c r="E291" s="18">
        <v>20</v>
      </c>
      <c r="F291" s="17">
        <v>1</v>
      </c>
      <c r="G291" s="17"/>
      <c r="I291" s="19" t="str">
        <f t="shared" si="44"/>
        <v>·</v>
      </c>
      <c r="J291" s="20">
        <f t="shared" si="45"/>
        <v>16.010280217354907</v>
      </c>
      <c r="K291" s="20">
        <f t="shared" si="46"/>
        <v>11.829030883270674</v>
      </c>
      <c r="L291" s="20">
        <f t="shared" si="47"/>
        <v>2.5587786724303263</v>
      </c>
      <c r="M291" s="20">
        <f t="shared" si="55"/>
        <v>1.6221708092969451</v>
      </c>
      <c r="N291" s="20">
        <f t="shared" si="48"/>
        <v>16.596411492973392</v>
      </c>
      <c r="O291" s="22">
        <v>5070298</v>
      </c>
      <c r="P291" s="23">
        <v>84148752</v>
      </c>
      <c r="Q291" s="23">
        <v>62172440</v>
      </c>
      <c r="R291" s="23">
        <v>13448736</v>
      </c>
      <c r="S291" s="23">
        <v>8526000</v>
      </c>
      <c r="T291" s="25">
        <v>82.138900000000007</v>
      </c>
      <c r="U291" s="25">
        <v>86.928100000000001</v>
      </c>
      <c r="V291" s="25">
        <v>28.627600000000001</v>
      </c>
      <c r="W291" s="25">
        <v>38.859200000000001</v>
      </c>
      <c r="X291" s="25">
        <v>38.944899999999997</v>
      </c>
      <c r="Y291" s="25">
        <v>36.241100000000003</v>
      </c>
      <c r="Z291" s="27"/>
      <c r="AA291" s="27"/>
      <c r="AC291" s="19" t="str">
        <f t="shared" si="49"/>
        <v>·</v>
      </c>
      <c r="AD291" s="20">
        <f t="shared" si="50"/>
        <v>15.151495456551849</v>
      </c>
      <c r="AE291" s="20">
        <f t="shared" si="51"/>
        <v>11.829030883270674</v>
      </c>
      <c r="AF291" s="20">
        <f t="shared" si="52"/>
        <v>1.9962708717027657</v>
      </c>
      <c r="AG291" s="20">
        <f t="shared" si="56"/>
        <v>1.3259090701532747</v>
      </c>
      <c r="AH291" s="20">
        <f t="shared" si="53"/>
        <v>15.706186894734786</v>
      </c>
      <c r="AI291" s="22">
        <v>5070298</v>
      </c>
      <c r="AJ291" s="23">
        <v>79635048</v>
      </c>
      <c r="AK291" s="23">
        <v>62172440</v>
      </c>
      <c r="AL291" s="23">
        <v>10492240</v>
      </c>
      <c r="AM291" s="23">
        <v>6968872</v>
      </c>
      <c r="AN291" s="25">
        <v>82.138900000000007</v>
      </c>
      <c r="AO291" s="25">
        <v>86.928100000000001</v>
      </c>
      <c r="AP291" s="25">
        <v>28.414400000000001</v>
      </c>
      <c r="AQ291" s="25">
        <v>38.004899999999999</v>
      </c>
      <c r="AR291" s="25">
        <v>38.044199999999996</v>
      </c>
      <c r="AS291" s="25">
        <v>35.072600000000001</v>
      </c>
      <c r="AT291" s="27"/>
      <c r="AU291" s="27"/>
      <c r="AW291" s="28">
        <f t="shared" si="54"/>
        <v>4.187733747443978E-2</v>
      </c>
      <c r="AX291" s="28"/>
      <c r="AZ291" s="29"/>
      <c r="BA291" s="29"/>
      <c r="BB291" s="29"/>
      <c r="BC291" s="29"/>
      <c r="BD291" s="29"/>
      <c r="BE291" s="29"/>
      <c r="BG291" s="29"/>
      <c r="BH291" s="29"/>
      <c r="BI291" s="29"/>
      <c r="BJ291" s="29"/>
      <c r="BK291" s="29"/>
      <c r="BL291" s="29"/>
    </row>
    <row r="292" spans="1:64" outlineLevel="1" x14ac:dyDescent="0.15">
      <c r="A292" s="31"/>
      <c r="B292" s="46" t="s">
        <v>373</v>
      </c>
      <c r="C292" s="47" t="s">
        <v>230</v>
      </c>
      <c r="D292" s="46">
        <v>5255920</v>
      </c>
      <c r="E292" s="48">
        <v>20</v>
      </c>
      <c r="F292" s="47">
        <v>1</v>
      </c>
      <c r="G292" s="47"/>
      <c r="I292" s="49" t="str">
        <f t="shared" si="44"/>
        <v>·</v>
      </c>
      <c r="J292" s="50">
        <f t="shared" si="45"/>
        <v>21.720221007930107</v>
      </c>
      <c r="K292" s="50">
        <f t="shared" si="46"/>
        <v>14.770970638822508</v>
      </c>
      <c r="L292" s="50">
        <f t="shared" si="47"/>
        <v>4.395611805354724</v>
      </c>
      <c r="M292" s="50">
        <f t="shared" si="55"/>
        <v>2.5533387113959116</v>
      </c>
      <c r="N292" s="50">
        <f t="shared" si="48"/>
        <v>22.321230126220033</v>
      </c>
      <c r="O292" s="52">
        <v>5114402</v>
      </c>
      <c r="P292" s="53">
        <v>114159744</v>
      </c>
      <c r="Q292" s="53">
        <v>77635040</v>
      </c>
      <c r="R292" s="53">
        <v>23102984</v>
      </c>
      <c r="S292" s="53">
        <v>13420144</v>
      </c>
      <c r="T292" s="55">
        <v>87.780900000000003</v>
      </c>
      <c r="U292" s="55">
        <v>92.598399999999998</v>
      </c>
      <c r="V292" s="55">
        <v>30.6511</v>
      </c>
      <c r="W292" s="55">
        <v>41.8262</v>
      </c>
      <c r="X292" s="55">
        <v>41.987000000000002</v>
      </c>
      <c r="Y292" s="55">
        <v>41.176299999999998</v>
      </c>
      <c r="Z292" s="57"/>
      <c r="AA292" s="57"/>
      <c r="AC292" s="49" t="str">
        <f t="shared" si="49"/>
        <v>·</v>
      </c>
      <c r="AD292" s="50">
        <f t="shared" si="50"/>
        <v>20.442528805613481</v>
      </c>
      <c r="AE292" s="50">
        <f t="shared" si="51"/>
        <v>14.770970638822508</v>
      </c>
      <c r="AF292" s="50">
        <f t="shared" si="52"/>
        <v>3.510077778961628</v>
      </c>
      <c r="AG292" s="50">
        <f t="shared" si="56"/>
        <v>2.161195756404207</v>
      </c>
      <c r="AH292" s="50">
        <f t="shared" si="53"/>
        <v>21.008183556943706</v>
      </c>
      <c r="AI292" s="52">
        <v>5114402</v>
      </c>
      <c r="AJ292" s="53">
        <v>107444296</v>
      </c>
      <c r="AK292" s="53">
        <v>77635040</v>
      </c>
      <c r="AL292" s="53">
        <v>18448688</v>
      </c>
      <c r="AM292" s="53">
        <v>11359072</v>
      </c>
      <c r="AN292" s="55">
        <v>87.780900000000003</v>
      </c>
      <c r="AO292" s="55">
        <v>92.598399999999998</v>
      </c>
      <c r="AP292" s="55">
        <v>30.513100000000001</v>
      </c>
      <c r="AQ292" s="55">
        <v>40.9223</v>
      </c>
      <c r="AR292" s="55">
        <v>41.029299999999999</v>
      </c>
      <c r="AS292" s="55">
        <v>39.736899999999999</v>
      </c>
      <c r="AT292" s="57"/>
      <c r="AU292" s="57"/>
      <c r="AW292" s="58">
        <f t="shared" si="54"/>
        <v>4.25046476949833E-2</v>
      </c>
      <c r="AX292" s="58"/>
      <c r="AZ292" s="59"/>
      <c r="BA292" s="59"/>
      <c r="BB292" s="59"/>
      <c r="BC292" s="59"/>
      <c r="BD292" s="59"/>
      <c r="BE292" s="59"/>
      <c r="BG292" s="59"/>
      <c r="BH292" s="59"/>
      <c r="BI292" s="59"/>
      <c r="BJ292" s="59"/>
      <c r="BK292" s="59"/>
      <c r="BL292" s="59"/>
    </row>
    <row r="293" spans="1:64" collapsed="1" x14ac:dyDescent="0.15">
      <c r="A293" s="16"/>
      <c r="B293" s="16" t="s">
        <v>376</v>
      </c>
      <c r="C293" s="17" t="s">
        <v>225</v>
      </c>
      <c r="D293" s="16">
        <v>7148516</v>
      </c>
      <c r="E293" s="18">
        <v>21</v>
      </c>
      <c r="F293" s="17">
        <v>1</v>
      </c>
      <c r="G293" s="17"/>
      <c r="I293" s="19" t="str">
        <f t="shared" si="44"/>
        <v>·</v>
      </c>
      <c r="J293" s="20">
        <f t="shared" si="45"/>
        <v>0.13789715236001429</v>
      </c>
      <c r="K293" s="20">
        <f t="shared" si="46"/>
        <v>0.12317857300732069</v>
      </c>
      <c r="L293" s="20">
        <f t="shared" si="47"/>
        <v>7.4118880058462481E-3</v>
      </c>
      <c r="M293" s="20">
        <f t="shared" si="55"/>
        <v>7.2048520280293144E-3</v>
      </c>
      <c r="N293" s="20">
        <f t="shared" si="48"/>
        <v>2.0278662928120763</v>
      </c>
      <c r="O293" s="22">
        <v>486107</v>
      </c>
      <c r="P293" s="23">
        <v>985760</v>
      </c>
      <c r="Q293" s="23">
        <v>880544</v>
      </c>
      <c r="R293" s="23">
        <v>52984</v>
      </c>
      <c r="S293" s="23">
        <v>51504</v>
      </c>
      <c r="T293" s="25">
        <v>46.136200000000002</v>
      </c>
      <c r="U293" s="25">
        <v>51.073999999999998</v>
      </c>
      <c r="V293" s="25">
        <v>17.127199999999998</v>
      </c>
      <c r="W293" s="25">
        <v>32.3217</v>
      </c>
      <c r="X293" s="25">
        <v>31.4482</v>
      </c>
      <c r="Y293" s="25">
        <v>17.635100000000001</v>
      </c>
      <c r="Z293" s="27"/>
      <c r="AA293" s="27"/>
      <c r="AC293" s="19" t="str">
        <f t="shared" si="49"/>
        <v>·</v>
      </c>
      <c r="AD293" s="20">
        <f t="shared" si="50"/>
        <v>0.12877190174855871</v>
      </c>
      <c r="AE293" s="20">
        <f t="shared" si="51"/>
        <v>0.12317857300732069</v>
      </c>
      <c r="AF293" s="20">
        <f t="shared" si="52"/>
        <v>2.7921879170446006E-3</v>
      </c>
      <c r="AG293" s="20">
        <f t="shared" si="56"/>
        <v>2.7116117527050368E-3</v>
      </c>
      <c r="AH293" s="20">
        <f t="shared" si="53"/>
        <v>1.8936736150682874</v>
      </c>
      <c r="AI293" s="22">
        <v>486107</v>
      </c>
      <c r="AJ293" s="23">
        <v>920528</v>
      </c>
      <c r="AK293" s="23">
        <v>880544</v>
      </c>
      <c r="AL293" s="23">
        <v>19960</v>
      </c>
      <c r="AM293" s="23">
        <v>19384</v>
      </c>
      <c r="AN293" s="25">
        <v>46.136200000000002</v>
      </c>
      <c r="AO293" s="25">
        <v>51.073999999999998</v>
      </c>
      <c r="AP293" s="25">
        <v>16.594899999999999</v>
      </c>
      <c r="AQ293" s="25">
        <v>32.381900000000002</v>
      </c>
      <c r="AR293" s="25">
        <v>31.2239</v>
      </c>
      <c r="AS293" s="25">
        <v>17.129799999999999</v>
      </c>
      <c r="AT293" s="27"/>
      <c r="AU293" s="27"/>
      <c r="AW293" s="28">
        <f t="shared" si="54"/>
        <v>6.3299978381531341E-2</v>
      </c>
      <c r="AX293" s="28">
        <f t="array" ref="AX293">AVERAGE(AK293:AK298/AJ293:AJ298) - AVERAGE(Q293:Q298/P293:P298)</f>
        <v>5.7419360404816433E-2</v>
      </c>
      <c r="AZ293" s="29">
        <f>IF( OR(ISBLANK(Q293:Q298),ISBLANK(AK293:AK298), ISBLANK(T293:T298),ISBLANK(AN293:AN298)), "·", bdRateExtend( Q293:Q298,T293:T298, AK293:AK298,AN293:AN298))</f>
        <v>0</v>
      </c>
      <c r="BA293" s="29">
        <f>IF( OR(ISBLANK(Q293:Q298),ISBLANK(AK293:AK298), ISBLANK(U293:U298),ISBLANK(AO293:AO298)), "·", bdRateExtend( Q293:Q298,U293:U298, AK293:AK298,AO293:AO298))</f>
        <v>0</v>
      </c>
      <c r="BB293" s="29">
        <f>IF( OR(ISBLANK(R293:R298),ISBLANK(AL293:AL298), ISBLANK(V293:V298),ISBLANK(AP293:AP298)), "·", bdRateExtend( R293:R298,V293:V298, AL293:AL298,AP293:AP298))</f>
        <v>-0.1725429028506138</v>
      </c>
      <c r="BC293" s="29">
        <f>IF( OR(ISBLANK(R293:R298),ISBLANK(AL293:AL298), ISBLANK(W293:W298),ISBLANK(AQ293:AQ298)), "·", bdRateExtend( R293:R298,W293:W298, AL293:AL298,AQ293:AQ298))</f>
        <v>-2.9275688296061531E-2</v>
      </c>
      <c r="BD293" s="29">
        <f>IF( OR(ISBLANK(R293:R298),ISBLANK(AL293:AL298), ISBLANK(X293:X298),ISBLANK(AR293:AR298)), "·", bdRateExtend( R293:R298,X293:X298, AL293:AL298,AR293:AR298))</f>
        <v>-6.1728401484671958E-3</v>
      </c>
      <c r="BE293" s="29">
        <f>IF( OR(ISBLANK(S293:S298),ISBLANK(AM293:AM298), ISBLANK(Y293:Y298),ISBLANK(AS293:AS298)), "·", bdRateExtend( S293:S298,Y293:Y298, AM293:AM298,AS293:AS298))</f>
        <v>-0.11179741215561445</v>
      </c>
      <c r="BG293" s="29">
        <f>IF( OR(ISBLANK(P293:P298),ISBLANK(AJ293:AJ298), ISBLANK(T293:T298),ISBLANK(AN293:AN298)), "·", bdRateExtend( P293:P298,T293:T298, AJ293:AJ298,AN293:AN298))</f>
        <v>-7.2318771965657169E-2</v>
      </c>
      <c r="BH293" s="29">
        <f>IF( OR(ISBLANK(P293:P298),ISBLANK(AJ293:AJ298), ISBLANK(U293:U298),ISBLANK(AO293:AO298)), "·", bdRateExtend( P293:P298,U293:U298, AJ293:AJ298,AO293:AO298))</f>
        <v>-7.2288675491907428E-2</v>
      </c>
      <c r="BI293" s="29">
        <f>IF( OR(ISBLANK(P293:P298),ISBLANK(AJ293:AJ298), ISBLANK(V293:V298),ISBLANK(AP293:AP298)), "·", bdRateExtend( P293:P298,V293:V298, AJ293:AJ298,AP293:AP298))</f>
        <v>9.0958353082566168E-2</v>
      </c>
      <c r="BJ293" s="29">
        <f>IF( OR(ISBLANK(P293:P298),ISBLANK(AJ293:AJ298), ISBLANK(W293:W298),ISBLANK(AQ293:AQ298)), "·", bdRateExtend( P293:P298,W293:W298, AJ293:AJ298,AQ293:AQ298))</f>
        <v>0.23403733603064913</v>
      </c>
      <c r="BK293" s="29">
        <f>IF( OR(ISBLANK(P293:P298),ISBLANK(AJ293:AJ298), ISBLANK(X293:X298),ISBLANK(AR293:AR298)), "·", bdRateExtend( P293:P298,X293:X298, AJ293:AJ298,AR293:AR298))</f>
        <v>0.2366680011421316</v>
      </c>
      <c r="BL293" s="29">
        <f>IF( OR(ISBLANK(P293:P298),ISBLANK(AJ293:AJ298), ISBLANK(Y293:Y298),ISBLANK(AS293:AS298)), "·", bdRateExtend( P293:P298,Y293:Y298, AJ293:AJ298,AS293:AS298))</f>
        <v>0.13457872769660661</v>
      </c>
    </row>
    <row r="294" spans="1:64" outlineLevel="1" x14ac:dyDescent="0.15">
      <c r="A294" s="31"/>
      <c r="B294" s="31" t="s">
        <v>376</v>
      </c>
      <c r="C294" s="32" t="s">
        <v>226</v>
      </c>
      <c r="D294" s="31">
        <v>7148516</v>
      </c>
      <c r="E294" s="33">
        <v>21</v>
      </c>
      <c r="F294" s="32">
        <v>1</v>
      </c>
      <c r="G294" s="32"/>
      <c r="I294" s="34" t="str">
        <f t="shared" si="44"/>
        <v>·</v>
      </c>
      <c r="J294" s="35">
        <f t="shared" si="45"/>
        <v>0.52415466370922303</v>
      </c>
      <c r="K294" s="35">
        <f t="shared" si="46"/>
        <v>0.41041581217696094</v>
      </c>
      <c r="L294" s="35">
        <f t="shared" si="47"/>
        <v>5.7408278865151874E-2</v>
      </c>
      <c r="M294" s="35">
        <f t="shared" si="55"/>
        <v>5.6094439741059543E-2</v>
      </c>
      <c r="N294" s="35">
        <f t="shared" si="48"/>
        <v>2.5744721784012268</v>
      </c>
      <c r="O294" s="37">
        <v>1455416</v>
      </c>
      <c r="P294" s="38">
        <v>3746928</v>
      </c>
      <c r="Q294" s="38">
        <v>2933864</v>
      </c>
      <c r="R294" s="38">
        <v>410384</v>
      </c>
      <c r="S294" s="38">
        <v>400992</v>
      </c>
      <c r="T294" s="40">
        <v>52.167000000000002</v>
      </c>
      <c r="U294" s="40">
        <v>57.188400000000001</v>
      </c>
      <c r="V294" s="40">
        <v>19.627199999999998</v>
      </c>
      <c r="W294" s="40">
        <v>33.591999999999999</v>
      </c>
      <c r="X294" s="40">
        <v>32.285600000000002</v>
      </c>
      <c r="Y294" s="40">
        <v>20.182400000000001</v>
      </c>
      <c r="Z294" s="42"/>
      <c r="AA294" s="42"/>
      <c r="AC294" s="34" t="str">
        <f t="shared" si="49"/>
        <v>·</v>
      </c>
      <c r="AD294" s="35">
        <f t="shared" si="50"/>
        <v>0.47420079915887436</v>
      </c>
      <c r="AE294" s="35">
        <f t="shared" si="51"/>
        <v>0.41041581217696094</v>
      </c>
      <c r="AF294" s="35">
        <f t="shared" si="52"/>
        <v>3.3316005727622347E-2</v>
      </c>
      <c r="AG294" s="35">
        <f t="shared" si="56"/>
        <v>3.0245158575570089E-2</v>
      </c>
      <c r="AH294" s="35">
        <f t="shared" si="53"/>
        <v>2.3291155243586714</v>
      </c>
      <c r="AI294" s="37">
        <v>1455416</v>
      </c>
      <c r="AJ294" s="38">
        <v>3389832</v>
      </c>
      <c r="AK294" s="38">
        <v>2933864</v>
      </c>
      <c r="AL294" s="38">
        <v>238160</v>
      </c>
      <c r="AM294" s="38">
        <v>216208</v>
      </c>
      <c r="AN294" s="40">
        <v>52.167000000000002</v>
      </c>
      <c r="AO294" s="40">
        <v>57.188400000000001</v>
      </c>
      <c r="AP294" s="40">
        <v>19.088699999999999</v>
      </c>
      <c r="AQ294" s="40">
        <v>33.1967</v>
      </c>
      <c r="AR294" s="40">
        <v>31.863499999999998</v>
      </c>
      <c r="AS294" s="40">
        <v>19.509399999999999</v>
      </c>
      <c r="AT294" s="42"/>
      <c r="AU294" s="42"/>
      <c r="AW294" s="43">
        <f t="shared" si="54"/>
        <v>8.2484328015064889E-2</v>
      </c>
      <c r="AX294" s="43"/>
      <c r="AZ294" s="44"/>
      <c r="BA294" s="44"/>
      <c r="BB294" s="44"/>
      <c r="BC294" s="44"/>
      <c r="BD294" s="44"/>
      <c r="BE294" s="44"/>
      <c r="BG294" s="44"/>
      <c r="BH294" s="44"/>
      <c r="BI294" s="44"/>
      <c r="BJ294" s="44"/>
      <c r="BK294" s="44"/>
      <c r="BL294" s="44"/>
    </row>
    <row r="295" spans="1:64" outlineLevel="1" x14ac:dyDescent="0.15">
      <c r="A295" s="16"/>
      <c r="B295" s="16" t="s">
        <v>376</v>
      </c>
      <c r="C295" s="17" t="s">
        <v>227</v>
      </c>
      <c r="D295" s="16">
        <v>7148516</v>
      </c>
      <c r="E295" s="18">
        <v>21</v>
      </c>
      <c r="F295" s="17">
        <v>1</v>
      </c>
      <c r="G295" s="17"/>
      <c r="I295" s="19" t="str">
        <f t="shared" si="44"/>
        <v>·</v>
      </c>
      <c r="J295" s="20">
        <f t="shared" si="45"/>
        <v>4.2970764841262161</v>
      </c>
      <c r="K295" s="20">
        <f t="shared" si="46"/>
        <v>3.2858713612727453</v>
      </c>
      <c r="L295" s="20">
        <f t="shared" si="47"/>
        <v>0.5461967211096681</v>
      </c>
      <c r="M295" s="20">
        <f t="shared" si="55"/>
        <v>0.46472078960164598</v>
      </c>
      <c r="N295" s="20">
        <f t="shared" si="48"/>
        <v>4.927998079991581</v>
      </c>
      <c r="O295" s="22">
        <v>6233306</v>
      </c>
      <c r="P295" s="23">
        <v>30717720</v>
      </c>
      <c r="Q295" s="23">
        <v>23489104</v>
      </c>
      <c r="R295" s="23">
        <v>3904496</v>
      </c>
      <c r="S295" s="23">
        <v>3322064</v>
      </c>
      <c r="T295" s="25">
        <v>64.206800000000001</v>
      </c>
      <c r="U295" s="25">
        <v>69.084999999999994</v>
      </c>
      <c r="V295" s="25">
        <v>26.987500000000001</v>
      </c>
      <c r="W295" s="25">
        <v>35.527099999999997</v>
      </c>
      <c r="X295" s="25">
        <v>34.5944</v>
      </c>
      <c r="Y295" s="25">
        <v>26.825199999999999</v>
      </c>
      <c r="Z295" s="27"/>
      <c r="AA295" s="27"/>
      <c r="AC295" s="19" t="str">
        <f t="shared" si="49"/>
        <v>·</v>
      </c>
      <c r="AD295" s="20">
        <f t="shared" si="50"/>
        <v>3.9650019668417893</v>
      </c>
      <c r="AE295" s="20">
        <f t="shared" si="51"/>
        <v>3.2858713612727453</v>
      </c>
      <c r="AF295" s="20">
        <f t="shared" si="52"/>
        <v>0.36286692230946954</v>
      </c>
      <c r="AG295" s="20">
        <f t="shared" si="56"/>
        <v>0.31598838136474761</v>
      </c>
      <c r="AH295" s="20">
        <f t="shared" si="53"/>
        <v>4.5471664635106954</v>
      </c>
      <c r="AI295" s="22">
        <v>6233306</v>
      </c>
      <c r="AJ295" s="23">
        <v>28343880</v>
      </c>
      <c r="AK295" s="23">
        <v>23489104</v>
      </c>
      <c r="AL295" s="23">
        <v>2593960</v>
      </c>
      <c r="AM295" s="23">
        <v>2258848</v>
      </c>
      <c r="AN295" s="25">
        <v>64.206800000000001</v>
      </c>
      <c r="AO295" s="25">
        <v>69.084999999999994</v>
      </c>
      <c r="AP295" s="25">
        <v>26.158200000000001</v>
      </c>
      <c r="AQ295" s="25">
        <v>34.858699999999999</v>
      </c>
      <c r="AR295" s="25">
        <v>33.855600000000003</v>
      </c>
      <c r="AS295" s="25">
        <v>25.764299999999999</v>
      </c>
      <c r="AT295" s="27"/>
      <c r="AU295" s="27"/>
      <c r="AW295" s="28">
        <f t="shared" si="54"/>
        <v>6.4042697510909075E-2</v>
      </c>
      <c r="AX295" s="28"/>
      <c r="AZ295" s="29"/>
      <c r="BA295" s="29"/>
      <c r="BB295" s="29"/>
      <c r="BC295" s="29"/>
      <c r="BD295" s="29"/>
      <c r="BE295" s="29"/>
      <c r="BG295" s="29"/>
      <c r="BH295" s="29"/>
      <c r="BI295" s="29"/>
      <c r="BJ295" s="29"/>
      <c r="BK295" s="29"/>
      <c r="BL295" s="29"/>
    </row>
    <row r="296" spans="1:64" outlineLevel="1" x14ac:dyDescent="0.15">
      <c r="A296" s="31"/>
      <c r="B296" s="31" t="s">
        <v>376</v>
      </c>
      <c r="C296" s="32" t="s">
        <v>228</v>
      </c>
      <c r="D296" s="31">
        <v>7148516</v>
      </c>
      <c r="E296" s="33">
        <v>21</v>
      </c>
      <c r="F296" s="32">
        <v>1</v>
      </c>
      <c r="G296" s="32"/>
      <c r="I296" s="34" t="str">
        <f t="shared" si="44"/>
        <v>·</v>
      </c>
      <c r="J296" s="35">
        <f t="shared" si="45"/>
        <v>8.1068988304705485</v>
      </c>
      <c r="K296" s="35">
        <f t="shared" si="46"/>
        <v>5.9299278339728136</v>
      </c>
      <c r="L296" s="35">
        <f t="shared" si="47"/>
        <v>1.2061714627203743</v>
      </c>
      <c r="M296" s="35">
        <f t="shared" si="55"/>
        <v>0.97051192163520372</v>
      </c>
      <c r="N296" s="35">
        <f t="shared" si="48"/>
        <v>8.1801740762415651</v>
      </c>
      <c r="O296" s="37">
        <v>7084482</v>
      </c>
      <c r="P296" s="38">
        <v>57952296</v>
      </c>
      <c r="Q296" s="38">
        <v>42390184</v>
      </c>
      <c r="R296" s="38">
        <v>8622336</v>
      </c>
      <c r="S296" s="38">
        <v>6937720</v>
      </c>
      <c r="T296" s="40">
        <v>70.223100000000002</v>
      </c>
      <c r="U296" s="40">
        <v>75.0047</v>
      </c>
      <c r="V296" s="40">
        <v>32.532600000000002</v>
      </c>
      <c r="W296" s="40">
        <v>37.746000000000002</v>
      </c>
      <c r="X296" s="40">
        <v>37.181600000000003</v>
      </c>
      <c r="Y296" s="40">
        <v>31.747499999999999</v>
      </c>
      <c r="Z296" s="42"/>
      <c r="AA296" s="42"/>
      <c r="AC296" s="34" t="str">
        <f t="shared" si="49"/>
        <v>·</v>
      </c>
      <c r="AD296" s="35">
        <f t="shared" si="50"/>
        <v>7.5383019356744816</v>
      </c>
      <c r="AE296" s="35">
        <f t="shared" si="51"/>
        <v>5.9299278339728136</v>
      </c>
      <c r="AF296" s="35">
        <f t="shared" si="52"/>
        <v>0.85153002385390197</v>
      </c>
      <c r="AG296" s="35">
        <f t="shared" si="56"/>
        <v>0.75656765683954541</v>
      </c>
      <c r="AH296" s="35">
        <f t="shared" si="53"/>
        <v>7.606437845420456</v>
      </c>
      <c r="AI296" s="37">
        <v>7084482</v>
      </c>
      <c r="AJ296" s="38">
        <v>53887672</v>
      </c>
      <c r="AK296" s="38">
        <v>42390184</v>
      </c>
      <c r="AL296" s="38">
        <v>6087176</v>
      </c>
      <c r="AM296" s="38">
        <v>5408336</v>
      </c>
      <c r="AN296" s="40">
        <v>70.223100000000002</v>
      </c>
      <c r="AO296" s="40">
        <v>75.0047</v>
      </c>
      <c r="AP296" s="40">
        <v>31.251799999999999</v>
      </c>
      <c r="AQ296" s="40">
        <v>36.691299999999998</v>
      </c>
      <c r="AR296" s="40">
        <v>36.064900000000002</v>
      </c>
      <c r="AS296" s="40">
        <v>30.384</v>
      </c>
      <c r="AT296" s="42"/>
      <c r="AU296" s="42"/>
      <c r="AW296" s="43">
        <f t="shared" si="54"/>
        <v>5.5172874334207145E-2</v>
      </c>
      <c r="AX296" s="43"/>
      <c r="AZ296" s="44"/>
      <c r="BA296" s="44"/>
      <c r="BB296" s="44"/>
      <c r="BC296" s="44"/>
      <c r="BD296" s="44"/>
      <c r="BE296" s="44"/>
      <c r="BG296" s="44"/>
      <c r="BH296" s="44"/>
      <c r="BI296" s="44"/>
      <c r="BJ296" s="44"/>
      <c r="BK296" s="44"/>
      <c r="BL296" s="44"/>
    </row>
    <row r="297" spans="1:64" outlineLevel="1" x14ac:dyDescent="0.15">
      <c r="A297" s="16"/>
      <c r="B297" s="16" t="s">
        <v>376</v>
      </c>
      <c r="C297" s="17" t="s">
        <v>229</v>
      </c>
      <c r="D297" s="16">
        <v>7148516</v>
      </c>
      <c r="E297" s="18">
        <v>21</v>
      </c>
      <c r="F297" s="17">
        <v>1</v>
      </c>
      <c r="G297" s="17"/>
      <c r="I297" s="19" t="str">
        <f t="shared" si="44"/>
        <v>·</v>
      </c>
      <c r="J297" s="20">
        <f t="shared" si="45"/>
        <v>15.506754129108755</v>
      </c>
      <c r="K297" s="20">
        <f t="shared" si="46"/>
        <v>11.604930589789545</v>
      </c>
      <c r="L297" s="20">
        <f t="shared" si="47"/>
        <v>2.2570972772530689</v>
      </c>
      <c r="M297" s="20">
        <f t="shared" si="55"/>
        <v>1.6444386499239843</v>
      </c>
      <c r="N297" s="20">
        <f t="shared" si="48"/>
        <v>15.509869764994935</v>
      </c>
      <c r="O297" s="22">
        <v>7147080</v>
      </c>
      <c r="P297" s="23">
        <v>110850280</v>
      </c>
      <c r="Q297" s="23">
        <v>82958032</v>
      </c>
      <c r="R297" s="23">
        <v>16134896</v>
      </c>
      <c r="S297" s="23">
        <v>11755296</v>
      </c>
      <c r="T297" s="25">
        <v>82.139399999999995</v>
      </c>
      <c r="U297" s="25">
        <v>86.906700000000001</v>
      </c>
      <c r="V297" s="25">
        <v>37.444299999999998</v>
      </c>
      <c r="W297" s="25">
        <v>40.744199999999999</v>
      </c>
      <c r="X297" s="25">
        <v>40.486899999999999</v>
      </c>
      <c r="Y297" s="25">
        <v>36.566299999999998</v>
      </c>
      <c r="Z297" s="27"/>
      <c r="AA297" s="27"/>
      <c r="AC297" s="19" t="str">
        <f t="shared" si="49"/>
        <v>·</v>
      </c>
      <c r="AD297" s="20">
        <f t="shared" si="50"/>
        <v>14.735424247494166</v>
      </c>
      <c r="AE297" s="20">
        <f t="shared" si="51"/>
        <v>11.604930589789545</v>
      </c>
      <c r="AF297" s="20">
        <f t="shared" si="52"/>
        <v>1.7374302582522023</v>
      </c>
      <c r="AG297" s="20">
        <f t="shared" si="56"/>
        <v>1.3927869784441973</v>
      </c>
      <c r="AH297" s="20">
        <f t="shared" si="53"/>
        <v>14.738384906843075</v>
      </c>
      <c r="AI297" s="22">
        <v>7147080</v>
      </c>
      <c r="AJ297" s="23">
        <v>105336416</v>
      </c>
      <c r="AK297" s="23">
        <v>82958032</v>
      </c>
      <c r="AL297" s="23">
        <v>12420048</v>
      </c>
      <c r="AM297" s="23">
        <v>9956360</v>
      </c>
      <c r="AN297" s="25">
        <v>82.139399999999995</v>
      </c>
      <c r="AO297" s="25">
        <v>86.906700000000001</v>
      </c>
      <c r="AP297" s="25">
        <v>36.205599999999997</v>
      </c>
      <c r="AQ297" s="25">
        <v>39.648200000000003</v>
      </c>
      <c r="AR297" s="25">
        <v>39.370600000000003</v>
      </c>
      <c r="AS297" s="25">
        <v>35.351199999999999</v>
      </c>
      <c r="AT297" s="27"/>
      <c r="AU297" s="27"/>
      <c r="AW297" s="28">
        <f t="shared" si="54"/>
        <v>3.9174111818906843E-2</v>
      </c>
      <c r="AX297" s="28"/>
      <c r="AZ297" s="29"/>
      <c r="BA297" s="29"/>
      <c r="BB297" s="29"/>
      <c r="BC297" s="29"/>
      <c r="BD297" s="29"/>
      <c r="BE297" s="29"/>
      <c r="BG297" s="29"/>
      <c r="BH297" s="29"/>
      <c r="BI297" s="29"/>
      <c r="BJ297" s="29"/>
      <c r="BK297" s="29"/>
      <c r="BL297" s="29"/>
    </row>
    <row r="298" spans="1:64" outlineLevel="1" x14ac:dyDescent="0.15">
      <c r="A298" s="46"/>
      <c r="B298" s="46" t="s">
        <v>376</v>
      </c>
      <c r="C298" s="47" t="s">
        <v>230</v>
      </c>
      <c r="D298" s="46">
        <v>7148516</v>
      </c>
      <c r="E298" s="48">
        <v>21</v>
      </c>
      <c r="F298" s="47">
        <v>1</v>
      </c>
      <c r="G298" s="47"/>
      <c r="I298" s="49" t="str">
        <f t="shared" si="44"/>
        <v>·</v>
      </c>
      <c r="J298" s="50">
        <f t="shared" si="45"/>
        <v>21.006341456044861</v>
      </c>
      <c r="K298" s="50">
        <f t="shared" si="46"/>
        <v>14.633201072782098</v>
      </c>
      <c r="L298" s="50">
        <f t="shared" si="47"/>
        <v>3.7968965866481938</v>
      </c>
      <c r="M298" s="50">
        <f t="shared" si="55"/>
        <v>2.57595506535902</v>
      </c>
      <c r="N298" s="50">
        <f t="shared" si="48"/>
        <v>21.006979142870215</v>
      </c>
      <c r="O298" s="52">
        <v>7148299</v>
      </c>
      <c r="P298" s="53">
        <v>150164168</v>
      </c>
      <c r="Q298" s="53">
        <v>104605672</v>
      </c>
      <c r="R298" s="53">
        <v>27142176</v>
      </c>
      <c r="S298" s="53">
        <v>18414256</v>
      </c>
      <c r="T298" s="55">
        <v>87.782399999999996</v>
      </c>
      <c r="U298" s="55">
        <v>92.540300000000002</v>
      </c>
      <c r="V298" s="55">
        <v>42.199800000000003</v>
      </c>
      <c r="W298" s="55">
        <v>44.247900000000001</v>
      </c>
      <c r="X298" s="55">
        <v>44.152999999999999</v>
      </c>
      <c r="Y298" s="55">
        <v>41.292900000000003</v>
      </c>
      <c r="Z298" s="57"/>
      <c r="AA298" s="57"/>
      <c r="AC298" s="49" t="str">
        <f t="shared" si="49"/>
        <v>·</v>
      </c>
      <c r="AD298" s="50">
        <f t="shared" si="50"/>
        <v>19.856412156033503</v>
      </c>
      <c r="AE298" s="50">
        <f t="shared" si="51"/>
        <v>14.633201072782098</v>
      </c>
      <c r="AF298" s="50">
        <f t="shared" si="52"/>
        <v>3.0080973449594293</v>
      </c>
      <c r="AG298" s="50">
        <f t="shared" si="56"/>
        <v>2.2148361981703615</v>
      </c>
      <c r="AH298" s="50">
        <f t="shared" si="53"/>
        <v>19.857014934601924</v>
      </c>
      <c r="AI298" s="52">
        <v>7148299</v>
      </c>
      <c r="AJ298" s="53">
        <v>141943880</v>
      </c>
      <c r="AK298" s="53">
        <v>104605672</v>
      </c>
      <c r="AL298" s="53">
        <v>21503432</v>
      </c>
      <c r="AM298" s="53">
        <v>15832792</v>
      </c>
      <c r="AN298" s="55">
        <v>87.782399999999996</v>
      </c>
      <c r="AO298" s="55">
        <v>92.540300000000002</v>
      </c>
      <c r="AP298" s="55">
        <v>40.723500000000001</v>
      </c>
      <c r="AQ298" s="55">
        <v>42.982199999999999</v>
      </c>
      <c r="AR298" s="55">
        <v>42.879100000000001</v>
      </c>
      <c r="AS298" s="55">
        <v>39.814100000000003</v>
      </c>
      <c r="AT298" s="57"/>
      <c r="AU298" s="57"/>
      <c r="AW298" s="58">
        <f t="shared" si="54"/>
        <v>4.0342172368279527E-2</v>
      </c>
      <c r="AX298" s="58"/>
      <c r="AZ298" s="59"/>
      <c r="BA298" s="59"/>
      <c r="BB298" s="59"/>
      <c r="BC298" s="59"/>
      <c r="BD298" s="59"/>
      <c r="BE298" s="59"/>
      <c r="BG298" s="59"/>
      <c r="BH298" s="59"/>
      <c r="BI298" s="59"/>
      <c r="BJ298" s="59"/>
      <c r="BK298" s="59"/>
      <c r="BL298" s="59"/>
    </row>
    <row r="299" spans="1:64" collapsed="1" x14ac:dyDescent="0.15">
      <c r="A299" s="16" t="s">
        <v>380</v>
      </c>
      <c r="B299" s="16" t="s">
        <v>379</v>
      </c>
      <c r="C299" s="17" t="s">
        <v>225</v>
      </c>
      <c r="D299" s="16">
        <v>123940658</v>
      </c>
      <c r="E299" s="18">
        <v>18</v>
      </c>
      <c r="F299" s="17">
        <v>1500</v>
      </c>
      <c r="G299" s="17">
        <v>10</v>
      </c>
      <c r="I299" s="19">
        <f t="shared" si="44"/>
        <v>0.55369525333333325</v>
      </c>
      <c r="J299" s="20">
        <f t="shared" si="45"/>
        <v>0.67011333762646319</v>
      </c>
      <c r="K299" s="20">
        <f t="shared" si="46"/>
        <v>0.62454862874779959</v>
      </c>
      <c r="L299" s="21"/>
      <c r="M299" s="20">
        <f t="shared" si="55"/>
        <v>2.9202039576068733E-2</v>
      </c>
      <c r="N299" s="20">
        <f t="shared" si="48"/>
        <v>3.8479560856210115</v>
      </c>
      <c r="O299" s="22">
        <v>21584001</v>
      </c>
      <c r="P299" s="23">
        <v>83054288</v>
      </c>
      <c r="Q299" s="23">
        <v>77406968</v>
      </c>
      <c r="R299" s="24"/>
      <c r="S299" s="23">
        <v>3619320</v>
      </c>
      <c r="T299" s="25">
        <v>46.288448000000002</v>
      </c>
      <c r="U299" s="25">
        <v>50.957628999999997</v>
      </c>
      <c r="V299" s="26"/>
      <c r="W299" s="26"/>
      <c r="X299" s="26"/>
      <c r="Y299" s="25">
        <v>66.368838999999994</v>
      </c>
      <c r="Z299" s="27"/>
      <c r="AA299" s="27"/>
      <c r="AC299" s="19">
        <f t="shared" si="49"/>
        <v>0.54187552000000005</v>
      </c>
      <c r="AD299" s="20">
        <f t="shared" si="50"/>
        <v>0.65580842728783961</v>
      </c>
      <c r="AE299" s="20">
        <f t="shared" si="51"/>
        <v>0.62454862874779959</v>
      </c>
      <c r="AF299" s="21"/>
      <c r="AG299" s="20">
        <f t="shared" si="56"/>
        <v>1.5284411351116113E-2</v>
      </c>
      <c r="AH299" s="20">
        <f t="shared" si="53"/>
        <v>3.765813761776605</v>
      </c>
      <c r="AI299" s="22">
        <v>21584001</v>
      </c>
      <c r="AJ299" s="23">
        <v>81281328</v>
      </c>
      <c r="AK299" s="23">
        <v>77406968</v>
      </c>
      <c r="AL299" s="24"/>
      <c r="AM299" s="23">
        <v>1894360</v>
      </c>
      <c r="AN299" s="25">
        <v>46.288448000000002</v>
      </c>
      <c r="AO299" s="25">
        <v>50.957628999999997</v>
      </c>
      <c r="AP299" s="26"/>
      <c r="AQ299" s="26"/>
      <c r="AR299" s="26"/>
      <c r="AS299" s="25">
        <v>65.835176000000004</v>
      </c>
      <c r="AT299" s="27"/>
      <c r="AU299" s="27"/>
      <c r="AW299" s="28">
        <f t="shared" si="54"/>
        <v>2.0329474097718458E-2</v>
      </c>
      <c r="AX299" s="28">
        <f t="array" ref="AX299">AVERAGE(AK299:AK304/AJ299:AJ304) - AVERAGE(Q299:Q304/P299:P304)</f>
        <v>2.1282334589238006E-2</v>
      </c>
      <c r="AZ299" s="29">
        <f>IF( OR(ISBLANK(Q299:Q304),ISBLANK(AK299:AK304), ISBLANK(T299:T304),ISBLANK(AN299:AN304)), "·", bdRateExtend( Q299:Q304,T299:T304, AK299:AK304,AN299:AN304))</f>
        <v>0</v>
      </c>
      <c r="BA299" s="29">
        <f>IF( OR(ISBLANK(Q299:Q304),ISBLANK(AK299:AK304), ISBLANK(U299:U304),ISBLANK(AO299:AO304)), "·", bdRateExtend( Q299:Q304,U299:U304, AK299:AK304,AO299:AO304))</f>
        <v>0</v>
      </c>
      <c r="BB299" s="30"/>
      <c r="BC299" s="30"/>
      <c r="BD299" s="30"/>
      <c r="BE299" s="29">
        <f>IF( OR(ISBLANK(S299:S304),ISBLANK(AM299:AM304), ISBLANK(Y299:Y304),ISBLANK(AS299:AS304)), "·", bdRateExtend( S299:S304,Y299:Y304, AM299:AM304,AS299:AS304))</f>
        <v>-0.11830283897851612</v>
      </c>
      <c r="BG299" s="29">
        <f>IF( OR(ISBLANK(P299:P304),ISBLANK(AJ299:AJ304), ISBLANK(T299:T304),ISBLANK(AN299:AN304)), "·", bdRateExtend( P299:P304,T299:T304, AJ299:AJ304,AN299:AN304))</f>
        <v>-2.3823501696796368E-2</v>
      </c>
      <c r="BH299" s="29">
        <f>IF( OR(ISBLANK(P299:P304),ISBLANK(AJ299:AJ304), ISBLANK(U299:U304),ISBLANK(AO299:AO304)), "·", bdRateExtend( P299:P304,U299:U304, AJ299:AJ304,AO299:AO304))</f>
        <v>-2.3832496350772781E-2</v>
      </c>
      <c r="BI299" s="30"/>
      <c r="BJ299" s="30"/>
      <c r="BK299" s="30"/>
      <c r="BL299" s="29">
        <f>IF( OR(ISBLANK(P299:P304),ISBLANK(AJ299:AJ304), ISBLANK(Y299:Y304),ISBLANK(AS299:AS304)), "·", bdRateExtend( P299:P304,Y299:Y304, AJ299:AJ304,AS299:AS304))</f>
        <v>8.434089156607727E-2</v>
      </c>
    </row>
    <row r="300" spans="1:64" outlineLevel="1" x14ac:dyDescent="0.15">
      <c r="A300" s="31"/>
      <c r="B300" s="31" t="s">
        <v>379</v>
      </c>
      <c r="C300" s="32" t="s">
        <v>226</v>
      </c>
      <c r="D300" s="31">
        <v>123940658</v>
      </c>
      <c r="E300" s="33">
        <v>18</v>
      </c>
      <c r="F300" s="32">
        <v>1500</v>
      </c>
      <c r="G300" s="32">
        <v>10</v>
      </c>
      <c r="I300" s="34">
        <f t="shared" si="44"/>
        <v>1.3035485866666667</v>
      </c>
      <c r="J300" s="35">
        <f t="shared" si="45"/>
        <v>1.5776282872404954</v>
      </c>
      <c r="K300" s="35">
        <f t="shared" si="46"/>
        <v>1.4341670511382956</v>
      </c>
      <c r="L300" s="36"/>
      <c r="M300" s="35">
        <f t="shared" si="55"/>
        <v>0.12671128468593412</v>
      </c>
      <c r="N300" s="35">
        <f t="shared" si="48"/>
        <v>4.4138673316668147</v>
      </c>
      <c r="O300" s="37">
        <v>44299539</v>
      </c>
      <c r="P300" s="38">
        <v>195532288</v>
      </c>
      <c r="Q300" s="38">
        <v>177751608</v>
      </c>
      <c r="R300" s="39"/>
      <c r="S300" s="38">
        <v>15704680</v>
      </c>
      <c r="T300" s="40">
        <v>52.227373999999998</v>
      </c>
      <c r="U300" s="40">
        <v>56.900531999999998</v>
      </c>
      <c r="V300" s="41"/>
      <c r="W300" s="41"/>
      <c r="X300" s="41"/>
      <c r="Y300" s="40">
        <v>69.092431000000005</v>
      </c>
      <c r="Z300" s="42"/>
      <c r="AA300" s="42"/>
      <c r="AC300" s="34">
        <f t="shared" si="49"/>
        <v>1.26628512</v>
      </c>
      <c r="AD300" s="35">
        <f t="shared" si="50"/>
        <v>1.5325299305737106</v>
      </c>
      <c r="AE300" s="35">
        <f t="shared" si="51"/>
        <v>1.4341670511382956</v>
      </c>
      <c r="AF300" s="36"/>
      <c r="AG300" s="35">
        <f t="shared" si="56"/>
        <v>8.2097030661237899E-2</v>
      </c>
      <c r="AH300" s="35">
        <f t="shared" si="53"/>
        <v>4.2876917522776026</v>
      </c>
      <c r="AI300" s="37">
        <v>44299539</v>
      </c>
      <c r="AJ300" s="38">
        <v>189942768</v>
      </c>
      <c r="AK300" s="38">
        <v>177751608</v>
      </c>
      <c r="AL300" s="39"/>
      <c r="AM300" s="38">
        <v>10175160</v>
      </c>
      <c r="AN300" s="40">
        <v>52.227373999999998</v>
      </c>
      <c r="AO300" s="40">
        <v>56.900531999999998</v>
      </c>
      <c r="AP300" s="41"/>
      <c r="AQ300" s="41"/>
      <c r="AR300" s="41"/>
      <c r="AS300" s="40">
        <v>68.466049999999996</v>
      </c>
      <c r="AT300" s="42"/>
      <c r="AU300" s="42"/>
      <c r="AW300" s="43">
        <f t="shared" si="54"/>
        <v>2.6751418028999829E-2</v>
      </c>
      <c r="AX300" s="43"/>
      <c r="AZ300" s="44"/>
      <c r="BA300" s="44"/>
      <c r="BB300" s="45"/>
      <c r="BC300" s="45"/>
      <c r="BD300" s="45"/>
      <c r="BE300" s="44"/>
      <c r="BG300" s="44"/>
      <c r="BH300" s="44"/>
      <c r="BI300" s="45"/>
      <c r="BJ300" s="45"/>
      <c r="BK300" s="45"/>
      <c r="BL300" s="44"/>
    </row>
    <row r="301" spans="1:64" outlineLevel="1" x14ac:dyDescent="0.15">
      <c r="A301" s="16"/>
      <c r="B301" s="16" t="s">
        <v>379</v>
      </c>
      <c r="C301" s="17" t="s">
        <v>227</v>
      </c>
      <c r="D301" s="16">
        <v>123940658</v>
      </c>
      <c r="E301" s="18">
        <v>18</v>
      </c>
      <c r="F301" s="17">
        <v>1500</v>
      </c>
      <c r="G301" s="17">
        <v>10</v>
      </c>
      <c r="I301" s="19">
        <f t="shared" si="44"/>
        <v>4.705073866666666</v>
      </c>
      <c r="J301" s="20">
        <f t="shared" si="45"/>
        <v>5.6943467251884368</v>
      </c>
      <c r="K301" s="20">
        <f t="shared" si="46"/>
        <v>5.1798768407377667</v>
      </c>
      <c r="L301" s="21"/>
      <c r="M301" s="20">
        <f t="shared" si="55"/>
        <v>0.49733265092073337</v>
      </c>
      <c r="N301" s="20">
        <f t="shared" si="48"/>
        <v>6.7518524850301604</v>
      </c>
      <c r="O301" s="22">
        <v>104528510</v>
      </c>
      <c r="P301" s="23">
        <v>705761080</v>
      </c>
      <c r="Q301" s="23">
        <v>641997344</v>
      </c>
      <c r="R301" s="24"/>
      <c r="S301" s="23">
        <v>61639736</v>
      </c>
      <c r="T301" s="25">
        <v>64.231662999999998</v>
      </c>
      <c r="U301" s="25">
        <v>68.978613999999993</v>
      </c>
      <c r="V301" s="26"/>
      <c r="W301" s="26"/>
      <c r="X301" s="26"/>
      <c r="Y301" s="25">
        <v>74.556483999999998</v>
      </c>
      <c r="Z301" s="27"/>
      <c r="AA301" s="27"/>
      <c r="AC301" s="19">
        <f t="shared" si="49"/>
        <v>4.5989526933333336</v>
      </c>
      <c r="AD301" s="20">
        <f t="shared" si="50"/>
        <v>5.5659128742079131</v>
      </c>
      <c r="AE301" s="20">
        <f t="shared" si="51"/>
        <v>5.1798768407377667</v>
      </c>
      <c r="AF301" s="21"/>
      <c r="AG301" s="20">
        <f t="shared" si="56"/>
        <v>0.36938290258229872</v>
      </c>
      <c r="AH301" s="20">
        <f t="shared" si="53"/>
        <v>6.5995669889487569</v>
      </c>
      <c r="AI301" s="22">
        <v>104528510</v>
      </c>
      <c r="AJ301" s="23">
        <v>689842904</v>
      </c>
      <c r="AK301" s="23">
        <v>641997344</v>
      </c>
      <c r="AL301" s="24"/>
      <c r="AM301" s="23">
        <v>45781560</v>
      </c>
      <c r="AN301" s="25">
        <v>64.231662999999998</v>
      </c>
      <c r="AO301" s="25">
        <v>68.978613999999993</v>
      </c>
      <c r="AP301" s="26"/>
      <c r="AQ301" s="26"/>
      <c r="AR301" s="26"/>
      <c r="AS301" s="25">
        <v>73.746245000000002</v>
      </c>
      <c r="AT301" s="27"/>
      <c r="AU301" s="27"/>
      <c r="AW301" s="28">
        <f t="shared" si="54"/>
        <v>2.0990299105843824E-2</v>
      </c>
      <c r="AX301" s="28"/>
      <c r="AZ301" s="29"/>
      <c r="BA301" s="29"/>
      <c r="BB301" s="30"/>
      <c r="BC301" s="30"/>
      <c r="BD301" s="30"/>
      <c r="BE301" s="29"/>
      <c r="BG301" s="29"/>
      <c r="BH301" s="29"/>
      <c r="BI301" s="30"/>
      <c r="BJ301" s="30"/>
      <c r="BK301" s="30"/>
      <c r="BL301" s="29"/>
    </row>
    <row r="302" spans="1:64" outlineLevel="1" x14ac:dyDescent="0.15">
      <c r="A302" s="31"/>
      <c r="B302" s="31" t="s">
        <v>379</v>
      </c>
      <c r="C302" s="32" t="s">
        <v>228</v>
      </c>
      <c r="D302" s="31">
        <v>123940658</v>
      </c>
      <c r="E302" s="33">
        <v>18</v>
      </c>
      <c r="F302" s="32">
        <v>1500</v>
      </c>
      <c r="G302" s="32">
        <v>10</v>
      </c>
      <c r="I302" s="34">
        <f t="shared" si="44"/>
        <v>7.0958698133333336</v>
      </c>
      <c r="J302" s="35">
        <f t="shared" si="45"/>
        <v>8.58782331137858</v>
      </c>
      <c r="K302" s="35">
        <f t="shared" si="46"/>
        <v>7.5605899074700735</v>
      </c>
      <c r="L302" s="36"/>
      <c r="M302" s="35">
        <f t="shared" si="55"/>
        <v>1.0098057087933163</v>
      </c>
      <c r="N302" s="35">
        <f t="shared" si="48"/>
        <v>9.0933304912594473</v>
      </c>
      <c r="O302" s="37">
        <v>117050675</v>
      </c>
      <c r="P302" s="38">
        <v>1064380472</v>
      </c>
      <c r="Q302" s="38">
        <v>937064488</v>
      </c>
      <c r="R302" s="39"/>
      <c r="S302" s="38">
        <v>125155984</v>
      </c>
      <c r="T302" s="40">
        <v>70.232659999999996</v>
      </c>
      <c r="U302" s="40">
        <v>75.011617000000001</v>
      </c>
      <c r="V302" s="41"/>
      <c r="W302" s="41"/>
      <c r="X302" s="41"/>
      <c r="Y302" s="40">
        <v>79.295811999999998</v>
      </c>
      <c r="Z302" s="42"/>
      <c r="AA302" s="42"/>
      <c r="AC302" s="34">
        <f t="shared" si="49"/>
        <v>6.9176162666666663</v>
      </c>
      <c r="AD302" s="35">
        <f t="shared" si="50"/>
        <v>8.3720907791210859</v>
      </c>
      <c r="AE302" s="35">
        <f t="shared" si="51"/>
        <v>7.5605899074700735</v>
      </c>
      <c r="AF302" s="36"/>
      <c r="AG302" s="35">
        <f t="shared" si="56"/>
        <v>0.79455727917791108</v>
      </c>
      <c r="AH302" s="35">
        <f t="shared" si="53"/>
        <v>8.8648992412901499</v>
      </c>
      <c r="AI302" s="37">
        <v>117050675</v>
      </c>
      <c r="AJ302" s="38">
        <v>1037642440</v>
      </c>
      <c r="AK302" s="38">
        <v>937064488</v>
      </c>
      <c r="AL302" s="39"/>
      <c r="AM302" s="38">
        <v>98477952</v>
      </c>
      <c r="AN302" s="40">
        <v>70.232659999999996</v>
      </c>
      <c r="AO302" s="40">
        <v>75.011617000000001</v>
      </c>
      <c r="AP302" s="41"/>
      <c r="AQ302" s="41"/>
      <c r="AR302" s="41"/>
      <c r="AS302" s="40">
        <v>78.347883999999993</v>
      </c>
      <c r="AT302" s="42"/>
      <c r="AU302" s="42"/>
      <c r="AW302" s="43">
        <f t="shared" si="54"/>
        <v>2.2685810193471823E-2</v>
      </c>
      <c r="AX302" s="43"/>
      <c r="AZ302" s="44"/>
      <c r="BA302" s="44"/>
      <c r="BB302" s="45"/>
      <c r="BC302" s="45"/>
      <c r="BD302" s="45"/>
      <c r="BE302" s="44"/>
      <c r="BG302" s="44"/>
      <c r="BH302" s="44"/>
      <c r="BI302" s="45"/>
      <c r="BJ302" s="45"/>
      <c r="BK302" s="45"/>
      <c r="BL302" s="44"/>
    </row>
    <row r="303" spans="1:64" outlineLevel="1" x14ac:dyDescent="0.15">
      <c r="A303" s="16"/>
      <c r="B303" s="16" t="s">
        <v>379</v>
      </c>
      <c r="C303" s="17" t="s">
        <v>229</v>
      </c>
      <c r="D303" s="16">
        <v>123940658</v>
      </c>
      <c r="E303" s="18">
        <v>18</v>
      </c>
      <c r="F303" s="17">
        <v>1500</v>
      </c>
      <c r="G303" s="17">
        <v>10</v>
      </c>
      <c r="I303" s="19">
        <f t="shared" si="44"/>
        <v>11.022634720000001</v>
      </c>
      <c r="J303" s="20">
        <f t="shared" si="45"/>
        <v>13.340216476823933</v>
      </c>
      <c r="K303" s="20">
        <f t="shared" si="46"/>
        <v>11.631577621606624</v>
      </c>
      <c r="L303" s="21"/>
      <c r="M303" s="20">
        <f t="shared" si="55"/>
        <v>1.6900493137611066</v>
      </c>
      <c r="N303" s="20">
        <f t="shared" si="48"/>
        <v>13.652088375523519</v>
      </c>
      <c r="O303" s="22">
        <v>121109325</v>
      </c>
      <c r="P303" s="23">
        <v>1653395208</v>
      </c>
      <c r="Q303" s="23">
        <v>1441625384</v>
      </c>
      <c r="R303" s="24"/>
      <c r="S303" s="23">
        <v>209465824</v>
      </c>
      <c r="T303" s="25">
        <v>82.141616999999997</v>
      </c>
      <c r="U303" s="25">
        <v>86.888451000000003</v>
      </c>
      <c r="V303" s="26"/>
      <c r="W303" s="26"/>
      <c r="X303" s="26"/>
      <c r="Y303" s="25">
        <v>85.065135999999995</v>
      </c>
      <c r="Z303" s="27"/>
      <c r="AA303" s="27"/>
      <c r="AC303" s="19">
        <f t="shared" si="49"/>
        <v>10.800455253333334</v>
      </c>
      <c r="AD303" s="20">
        <f t="shared" si="50"/>
        <v>13.071322309746007</v>
      </c>
      <c r="AE303" s="20">
        <f t="shared" si="51"/>
        <v>11.631577621606624</v>
      </c>
      <c r="AF303" s="21"/>
      <c r="AG303" s="20">
        <f t="shared" si="56"/>
        <v>1.4216392493252699</v>
      </c>
      <c r="AH303" s="20">
        <f t="shared" si="53"/>
        <v>13.376907913573129</v>
      </c>
      <c r="AI303" s="22">
        <v>121109325</v>
      </c>
      <c r="AJ303" s="23">
        <v>1620068288</v>
      </c>
      <c r="AK303" s="23">
        <v>1441625384</v>
      </c>
      <c r="AL303" s="24"/>
      <c r="AM303" s="23">
        <v>176198904</v>
      </c>
      <c r="AN303" s="25">
        <v>82.141616999999997</v>
      </c>
      <c r="AO303" s="25">
        <v>86.888451000000003</v>
      </c>
      <c r="AP303" s="26"/>
      <c r="AQ303" s="26"/>
      <c r="AR303" s="26"/>
      <c r="AS303" s="25">
        <v>84.011938000000001</v>
      </c>
      <c r="AT303" s="27"/>
      <c r="AU303" s="27"/>
      <c r="AW303" s="28">
        <f t="shared" si="54"/>
        <v>1.7936495962450394E-2</v>
      </c>
      <c r="AX303" s="28"/>
      <c r="AZ303" s="29"/>
      <c r="BA303" s="29"/>
      <c r="BB303" s="30"/>
      <c r="BC303" s="30"/>
      <c r="BD303" s="30"/>
      <c r="BE303" s="29"/>
      <c r="BG303" s="29"/>
      <c r="BH303" s="29"/>
      <c r="BI303" s="30"/>
      <c r="BJ303" s="30"/>
      <c r="BK303" s="30"/>
      <c r="BL303" s="29"/>
    </row>
    <row r="304" spans="1:64" outlineLevel="1" x14ac:dyDescent="0.15">
      <c r="A304" s="31"/>
      <c r="B304" s="46" t="s">
        <v>379</v>
      </c>
      <c r="C304" s="47" t="s">
        <v>230</v>
      </c>
      <c r="D304" s="46">
        <v>123940658</v>
      </c>
      <c r="E304" s="48">
        <v>18</v>
      </c>
      <c r="F304" s="47">
        <v>1500</v>
      </c>
      <c r="G304" s="47">
        <v>10</v>
      </c>
      <c r="I304" s="49">
        <f t="shared" si="44"/>
        <v>13.218113226666667</v>
      </c>
      <c r="J304" s="50">
        <f t="shared" si="45"/>
        <v>15.99730884113912</v>
      </c>
      <c r="K304" s="50">
        <f t="shared" si="46"/>
        <v>13.47425765643426</v>
      </c>
      <c r="L304" s="51"/>
      <c r="M304" s="50">
        <f t="shared" si="55"/>
        <v>2.5034934379644813</v>
      </c>
      <c r="N304" s="50">
        <f t="shared" si="48"/>
        <v>16.313062319963507</v>
      </c>
      <c r="O304" s="52">
        <v>121541679</v>
      </c>
      <c r="P304" s="53">
        <v>1982716984</v>
      </c>
      <c r="Q304" s="53">
        <v>1670008360</v>
      </c>
      <c r="R304" s="54"/>
      <c r="S304" s="53">
        <v>310284624</v>
      </c>
      <c r="T304" s="55">
        <v>87.786686000000003</v>
      </c>
      <c r="U304" s="55">
        <v>92.477515999999994</v>
      </c>
      <c r="V304" s="56"/>
      <c r="W304" s="56"/>
      <c r="X304" s="56"/>
      <c r="Y304" s="55">
        <v>90.112565000000004</v>
      </c>
      <c r="Z304" s="57"/>
      <c r="AA304" s="57"/>
      <c r="AC304" s="49">
        <f t="shared" si="49"/>
        <v>12.926512426666665</v>
      </c>
      <c r="AD304" s="50">
        <f t="shared" si="50"/>
        <v>15.644397046851244</v>
      </c>
      <c r="AE304" s="50">
        <f t="shared" si="51"/>
        <v>13.47425765643426</v>
      </c>
      <c r="AF304" s="51"/>
      <c r="AG304" s="50">
        <f t="shared" si="56"/>
        <v>2.151065746318694</v>
      </c>
      <c r="AH304" s="50">
        <f t="shared" si="53"/>
        <v>15.953184783632945</v>
      </c>
      <c r="AI304" s="52">
        <v>121541679</v>
      </c>
      <c r="AJ304" s="53">
        <v>1938976864</v>
      </c>
      <c r="AK304" s="53">
        <v>1670008360</v>
      </c>
      <c r="AL304" s="54"/>
      <c r="AM304" s="53">
        <v>266604504</v>
      </c>
      <c r="AN304" s="55">
        <v>87.786686000000003</v>
      </c>
      <c r="AO304" s="55">
        <v>92.477515999999994</v>
      </c>
      <c r="AP304" s="56"/>
      <c r="AQ304" s="56"/>
      <c r="AR304" s="56"/>
      <c r="AS304" s="55">
        <v>88.713965999999999</v>
      </c>
      <c r="AT304" s="57"/>
      <c r="AU304" s="57"/>
      <c r="AW304" s="58">
        <f t="shared" si="54"/>
        <v>1.9000510146944261E-2</v>
      </c>
      <c r="AX304" s="58"/>
      <c r="AZ304" s="59"/>
      <c r="BA304" s="59"/>
      <c r="BB304" s="60"/>
      <c r="BC304" s="60"/>
      <c r="BD304" s="60"/>
      <c r="BE304" s="59"/>
      <c r="BG304" s="59"/>
      <c r="BH304" s="59"/>
      <c r="BI304" s="60"/>
      <c r="BJ304" s="60"/>
      <c r="BK304" s="60"/>
      <c r="BL304" s="59"/>
    </row>
    <row r="305" spans="1:64" collapsed="1" x14ac:dyDescent="0.15">
      <c r="A305" s="16"/>
      <c r="B305" s="16" t="s">
        <v>383</v>
      </c>
      <c r="C305" s="17" t="s">
        <v>225</v>
      </c>
      <c r="D305" s="16">
        <v>125751705</v>
      </c>
      <c r="E305" s="18">
        <v>18</v>
      </c>
      <c r="F305" s="17">
        <v>1500</v>
      </c>
      <c r="G305" s="17">
        <v>10</v>
      </c>
      <c r="I305" s="19">
        <f t="shared" si="44"/>
        <v>0.50365642666666666</v>
      </c>
      <c r="J305" s="20">
        <f t="shared" si="45"/>
        <v>0.60077486822146864</v>
      </c>
      <c r="K305" s="20">
        <f t="shared" si="46"/>
        <v>0.55900258370254308</v>
      </c>
      <c r="L305" s="21"/>
      <c r="M305" s="20">
        <f t="shared" si="55"/>
        <v>2.5645266598969773E-2</v>
      </c>
      <c r="N305" s="20">
        <f t="shared" si="48"/>
        <v>3.768419315728929</v>
      </c>
      <c r="O305" s="22">
        <v>20047786</v>
      </c>
      <c r="P305" s="23">
        <v>75548464</v>
      </c>
      <c r="Q305" s="23">
        <v>70295528</v>
      </c>
      <c r="R305" s="24"/>
      <c r="S305" s="23">
        <v>3224936</v>
      </c>
      <c r="T305" s="25">
        <v>46.295724999999997</v>
      </c>
      <c r="U305" s="25">
        <v>50.881110999999997</v>
      </c>
      <c r="V305" s="26"/>
      <c r="W305" s="26"/>
      <c r="X305" s="26"/>
      <c r="Y305" s="25">
        <v>66.482664999999997</v>
      </c>
      <c r="Z305" s="27"/>
      <c r="AA305" s="27"/>
      <c r="AC305" s="19">
        <f t="shared" si="49"/>
        <v>0.49283877333333331</v>
      </c>
      <c r="AD305" s="20">
        <f t="shared" si="50"/>
        <v>0.5878712817452455</v>
      </c>
      <c r="AE305" s="20">
        <f t="shared" si="51"/>
        <v>0.55900258370254308</v>
      </c>
      <c r="AF305" s="21"/>
      <c r="AG305" s="20">
        <f t="shared" si="56"/>
        <v>1.3123384688899446E-2</v>
      </c>
      <c r="AH305" s="20">
        <f t="shared" si="53"/>
        <v>3.6874803033112982</v>
      </c>
      <c r="AI305" s="22">
        <v>20047786</v>
      </c>
      <c r="AJ305" s="23">
        <v>73925816</v>
      </c>
      <c r="AK305" s="23">
        <v>70295528</v>
      </c>
      <c r="AL305" s="24"/>
      <c r="AM305" s="23">
        <v>1650288</v>
      </c>
      <c r="AN305" s="25">
        <v>46.295724999999997</v>
      </c>
      <c r="AO305" s="25">
        <v>50.881110999999997</v>
      </c>
      <c r="AP305" s="26"/>
      <c r="AQ305" s="26"/>
      <c r="AR305" s="26"/>
      <c r="AS305" s="25">
        <v>65.987568999999993</v>
      </c>
      <c r="AT305" s="27"/>
      <c r="AU305" s="27"/>
      <c r="AW305" s="28">
        <f t="shared" si="54"/>
        <v>2.0423503783408403E-2</v>
      </c>
      <c r="AX305" s="28">
        <f t="array" ref="AX305">AVERAGE(AK305:AK310/AJ305:AJ310) - AVERAGE(Q305:Q310/P305:P310)</f>
        <v>2.180614470702158E-2</v>
      </c>
      <c r="AZ305" s="29">
        <f>IF( OR(ISBLANK(Q305:Q310),ISBLANK(AK305:AK310), ISBLANK(T305:T310),ISBLANK(AN305:AN310)), "·", bdRateExtend( Q305:Q310,T305:T310, AK305:AK310,AN305:AN310))</f>
        <v>0</v>
      </c>
      <c r="BA305" s="29">
        <f>IF( OR(ISBLANK(Q305:Q310),ISBLANK(AK305:AK310), ISBLANK(U305:U310),ISBLANK(AO305:AO310)), "·", bdRateExtend( Q305:Q310,U305:U310, AK305:AK310,AO305:AO310))</f>
        <v>0</v>
      </c>
      <c r="BB305" s="30"/>
      <c r="BC305" s="30"/>
      <c r="BD305" s="30"/>
      <c r="BE305" s="29">
        <f>IF( OR(ISBLANK(S305:S310),ISBLANK(AM305:AM310), ISBLANK(Y305:Y310),ISBLANK(AS305:AS310)), "·", bdRateExtend( S305:S310,Y305:Y310, AM305:AM310,AS305:AS310))</f>
        <v>-0.11357248444019263</v>
      </c>
      <c r="BG305" s="29">
        <f>IF( OR(ISBLANK(P305:P310),ISBLANK(AJ305:AJ310), ISBLANK(T305:T310),ISBLANK(AN305:AN310)), "·", bdRateExtend( P305:P310,T305:T310, AJ305:AJ310,AN305:AN310))</f>
        <v>-2.4615059845929932E-2</v>
      </c>
      <c r="BH305" s="29">
        <f>IF( OR(ISBLANK(P305:P310),ISBLANK(AJ305:AJ310), ISBLANK(U305:U310),ISBLANK(AO305:AO310)), "·", bdRateExtend( P305:P310,U305:U310, AJ305:AJ310,AO305:AO310))</f>
        <v>-2.4632898099003486E-2</v>
      </c>
      <c r="BI305" s="30"/>
      <c r="BJ305" s="30"/>
      <c r="BK305" s="30"/>
      <c r="BL305" s="29">
        <f>IF( OR(ISBLANK(P305:P310),ISBLANK(AJ305:AJ310), ISBLANK(Y305:Y310),ISBLANK(AS305:AS310)), "·", bdRateExtend( P305:P310,Y305:Y310, AJ305:AJ310,AS305:AS310))</f>
        <v>9.0643669590637632E-2</v>
      </c>
    </row>
    <row r="306" spans="1:64" outlineLevel="1" x14ac:dyDescent="0.15">
      <c r="A306" s="31"/>
      <c r="B306" s="31" t="s">
        <v>383</v>
      </c>
      <c r="C306" s="32" t="s">
        <v>226</v>
      </c>
      <c r="D306" s="31">
        <v>125751705</v>
      </c>
      <c r="E306" s="33">
        <v>18</v>
      </c>
      <c r="F306" s="32">
        <v>1500</v>
      </c>
      <c r="G306" s="32">
        <v>10</v>
      </c>
      <c r="I306" s="34">
        <f t="shared" si="44"/>
        <v>1.2092178666666666</v>
      </c>
      <c r="J306" s="35">
        <f t="shared" si="45"/>
        <v>1.4423874411881732</v>
      </c>
      <c r="K306" s="35">
        <f t="shared" si="46"/>
        <v>1.3076154474406529</v>
      </c>
      <c r="L306" s="36"/>
      <c r="M306" s="35">
        <f t="shared" si="55"/>
        <v>0.11826327126141152</v>
      </c>
      <c r="N306" s="35">
        <f t="shared" si="48"/>
        <v>4.3311687122408822</v>
      </c>
      <c r="O306" s="37">
        <v>41878461</v>
      </c>
      <c r="P306" s="38">
        <v>181382680</v>
      </c>
      <c r="Q306" s="38">
        <v>164434872</v>
      </c>
      <c r="R306" s="39"/>
      <c r="S306" s="38">
        <v>14871808</v>
      </c>
      <c r="T306" s="40">
        <v>52.211708000000002</v>
      </c>
      <c r="U306" s="40">
        <v>56.855114999999998</v>
      </c>
      <c r="V306" s="41"/>
      <c r="W306" s="41"/>
      <c r="X306" s="41"/>
      <c r="Y306" s="40">
        <v>69.071534999999997</v>
      </c>
      <c r="Z306" s="42"/>
      <c r="AA306" s="42"/>
      <c r="AC306" s="34">
        <f t="shared" si="49"/>
        <v>1.17233152</v>
      </c>
      <c r="AD306" s="35">
        <f t="shared" si="50"/>
        <v>1.3983884194651675</v>
      </c>
      <c r="AE306" s="35">
        <f t="shared" si="51"/>
        <v>1.3076154474406529</v>
      </c>
      <c r="AF306" s="36"/>
      <c r="AG306" s="35">
        <f t="shared" si="56"/>
        <v>7.4741380246096861E-2</v>
      </c>
      <c r="AH306" s="35">
        <f t="shared" si="53"/>
        <v>4.1990494349828182</v>
      </c>
      <c r="AI306" s="37">
        <v>41878461</v>
      </c>
      <c r="AJ306" s="38">
        <v>175849728</v>
      </c>
      <c r="AK306" s="38">
        <v>164434872</v>
      </c>
      <c r="AL306" s="39"/>
      <c r="AM306" s="38">
        <v>9398856</v>
      </c>
      <c r="AN306" s="40">
        <v>52.211708000000002</v>
      </c>
      <c r="AO306" s="40">
        <v>56.855114999999998</v>
      </c>
      <c r="AP306" s="41"/>
      <c r="AQ306" s="41"/>
      <c r="AR306" s="41"/>
      <c r="AS306" s="40">
        <v>68.413143000000005</v>
      </c>
      <c r="AT306" s="42"/>
      <c r="AU306" s="42"/>
      <c r="AW306" s="43">
        <f t="shared" si="54"/>
        <v>2.8524189420651158E-2</v>
      </c>
      <c r="AX306" s="43"/>
      <c r="AZ306" s="44"/>
      <c r="BA306" s="44"/>
      <c r="BB306" s="45"/>
      <c r="BC306" s="45"/>
      <c r="BD306" s="45"/>
      <c r="BE306" s="44"/>
      <c r="BG306" s="44"/>
      <c r="BH306" s="44"/>
      <c r="BI306" s="45"/>
      <c r="BJ306" s="45"/>
      <c r="BK306" s="45"/>
      <c r="BL306" s="44"/>
    </row>
    <row r="307" spans="1:64" outlineLevel="1" x14ac:dyDescent="0.15">
      <c r="A307" s="16"/>
      <c r="B307" s="16" t="s">
        <v>383</v>
      </c>
      <c r="C307" s="17" t="s">
        <v>227</v>
      </c>
      <c r="D307" s="16">
        <v>125751705</v>
      </c>
      <c r="E307" s="18">
        <v>18</v>
      </c>
      <c r="F307" s="17">
        <v>1500</v>
      </c>
      <c r="G307" s="17">
        <v>10</v>
      </c>
      <c r="I307" s="19">
        <f t="shared" si="44"/>
        <v>4.5019131733333326</v>
      </c>
      <c r="J307" s="20">
        <f t="shared" si="45"/>
        <v>5.3700025458899345</v>
      </c>
      <c r="K307" s="20">
        <f t="shared" si="46"/>
        <v>4.8586360558689838</v>
      </c>
      <c r="L307" s="21"/>
      <c r="M307" s="20">
        <f t="shared" si="55"/>
        <v>0.49447606296868896</v>
      </c>
      <c r="N307" s="20">
        <f t="shared" si="48"/>
        <v>6.5122187269737202</v>
      </c>
      <c r="O307" s="22">
        <v>103695377</v>
      </c>
      <c r="P307" s="23">
        <v>675286976</v>
      </c>
      <c r="Q307" s="23">
        <v>610981768</v>
      </c>
      <c r="R307" s="24"/>
      <c r="S307" s="23">
        <v>62181208</v>
      </c>
      <c r="T307" s="25">
        <v>64.239124000000004</v>
      </c>
      <c r="U307" s="25">
        <v>68.982399999999998</v>
      </c>
      <c r="V307" s="26"/>
      <c r="W307" s="26"/>
      <c r="X307" s="26"/>
      <c r="Y307" s="25">
        <v>74.565830000000005</v>
      </c>
      <c r="Z307" s="27"/>
      <c r="AA307" s="27"/>
      <c r="AC307" s="19">
        <f t="shared" si="49"/>
        <v>4.394365706666667</v>
      </c>
      <c r="AD307" s="20">
        <f t="shared" si="50"/>
        <v>5.2417170486873319</v>
      </c>
      <c r="AE307" s="20">
        <f t="shared" si="51"/>
        <v>4.8586360558689838</v>
      </c>
      <c r="AF307" s="21"/>
      <c r="AG307" s="20">
        <f t="shared" si="56"/>
        <v>0.36666769647377745</v>
      </c>
      <c r="AH307" s="20">
        <f t="shared" si="53"/>
        <v>6.3566465070086968</v>
      </c>
      <c r="AI307" s="22">
        <v>103695377</v>
      </c>
      <c r="AJ307" s="23">
        <v>659154856</v>
      </c>
      <c r="AK307" s="23">
        <v>610981768</v>
      </c>
      <c r="AL307" s="24"/>
      <c r="AM307" s="23">
        <v>46109088</v>
      </c>
      <c r="AN307" s="25">
        <v>64.239124000000004</v>
      </c>
      <c r="AO307" s="25">
        <v>68.982399999999998</v>
      </c>
      <c r="AP307" s="26"/>
      <c r="AQ307" s="26"/>
      <c r="AR307" s="26"/>
      <c r="AS307" s="25">
        <v>73.735163999999997</v>
      </c>
      <c r="AT307" s="27"/>
      <c r="AU307" s="27"/>
      <c r="AW307" s="28">
        <f t="shared" si="54"/>
        <v>2.2143377560586597E-2</v>
      </c>
      <c r="AX307" s="28"/>
      <c r="AZ307" s="29"/>
      <c r="BA307" s="29"/>
      <c r="BB307" s="30"/>
      <c r="BC307" s="30"/>
      <c r="BD307" s="30"/>
      <c r="BE307" s="29"/>
      <c r="BG307" s="29"/>
      <c r="BH307" s="29"/>
      <c r="BI307" s="30"/>
      <c r="BJ307" s="30"/>
      <c r="BK307" s="30"/>
      <c r="BL307" s="29"/>
    </row>
    <row r="308" spans="1:64" outlineLevel="1" x14ac:dyDescent="0.15">
      <c r="A308" s="31"/>
      <c r="B308" s="31" t="s">
        <v>383</v>
      </c>
      <c r="C308" s="32" t="s">
        <v>228</v>
      </c>
      <c r="D308" s="31">
        <v>125751705</v>
      </c>
      <c r="E308" s="33">
        <v>18</v>
      </c>
      <c r="F308" s="32">
        <v>1500</v>
      </c>
      <c r="G308" s="32">
        <v>10</v>
      </c>
      <c r="I308" s="34">
        <f t="shared" si="44"/>
        <v>6.9311850133333337</v>
      </c>
      <c r="J308" s="35">
        <f t="shared" si="45"/>
        <v>8.2677030263724856</v>
      </c>
      <c r="K308" s="35">
        <f t="shared" si="46"/>
        <v>7.247553168364596</v>
      </c>
      <c r="L308" s="36"/>
      <c r="M308" s="35">
        <f t="shared" si="55"/>
        <v>1.0029731525310135</v>
      </c>
      <c r="N308" s="35">
        <f t="shared" si="48"/>
        <v>8.8067094789031248</v>
      </c>
      <c r="O308" s="37">
        <v>118055189</v>
      </c>
      <c r="P308" s="38">
        <v>1039677752</v>
      </c>
      <c r="Q308" s="38">
        <v>911392168</v>
      </c>
      <c r="R308" s="39"/>
      <c r="S308" s="38">
        <v>126125584</v>
      </c>
      <c r="T308" s="40">
        <v>70.229031000000006</v>
      </c>
      <c r="U308" s="40">
        <v>75.009083000000004</v>
      </c>
      <c r="V308" s="41"/>
      <c r="W308" s="41"/>
      <c r="X308" s="41"/>
      <c r="Y308" s="40">
        <v>79.386985999999993</v>
      </c>
      <c r="Z308" s="42"/>
      <c r="AA308" s="42"/>
      <c r="AC308" s="34">
        <f t="shared" si="49"/>
        <v>6.756040266666667</v>
      </c>
      <c r="AD308" s="35">
        <f t="shared" si="50"/>
        <v>8.0587856840589165</v>
      </c>
      <c r="AE308" s="35">
        <f t="shared" si="51"/>
        <v>7.247553168364596</v>
      </c>
      <c r="AF308" s="36"/>
      <c r="AG308" s="35">
        <f t="shared" si="56"/>
        <v>0.79453294092513493</v>
      </c>
      <c r="AH308" s="35">
        <f t="shared" si="53"/>
        <v>8.5841719333489017</v>
      </c>
      <c r="AI308" s="37">
        <v>118055189</v>
      </c>
      <c r="AJ308" s="38">
        <v>1013406040</v>
      </c>
      <c r="AK308" s="38">
        <v>911392168</v>
      </c>
      <c r="AL308" s="39"/>
      <c r="AM308" s="38">
        <v>99913872</v>
      </c>
      <c r="AN308" s="40">
        <v>70.229031000000006</v>
      </c>
      <c r="AO308" s="40">
        <v>75.009083000000004</v>
      </c>
      <c r="AP308" s="41"/>
      <c r="AQ308" s="41"/>
      <c r="AR308" s="41"/>
      <c r="AS308" s="40">
        <v>78.426514999999995</v>
      </c>
      <c r="AT308" s="42"/>
      <c r="AU308" s="42"/>
      <c r="AW308" s="43">
        <f t="shared" si="54"/>
        <v>2.2725394324768944E-2</v>
      </c>
      <c r="AX308" s="43"/>
      <c r="AZ308" s="44"/>
      <c r="BA308" s="44"/>
      <c r="BB308" s="45"/>
      <c r="BC308" s="45"/>
      <c r="BD308" s="45"/>
      <c r="BE308" s="44"/>
      <c r="BG308" s="44"/>
      <c r="BH308" s="44"/>
      <c r="BI308" s="45"/>
      <c r="BJ308" s="45"/>
      <c r="BK308" s="45"/>
      <c r="BL308" s="44"/>
    </row>
    <row r="309" spans="1:64" outlineLevel="1" x14ac:dyDescent="0.15">
      <c r="A309" s="16"/>
      <c r="B309" s="16" t="s">
        <v>383</v>
      </c>
      <c r="C309" s="17" t="s">
        <v>229</v>
      </c>
      <c r="D309" s="16">
        <v>125751705</v>
      </c>
      <c r="E309" s="18">
        <v>18</v>
      </c>
      <c r="F309" s="17">
        <v>1500</v>
      </c>
      <c r="G309" s="17">
        <v>10</v>
      </c>
      <c r="I309" s="19">
        <f t="shared" si="44"/>
        <v>10.931479573333334</v>
      </c>
      <c r="J309" s="20">
        <f t="shared" si="45"/>
        <v>13.03936146233564</v>
      </c>
      <c r="K309" s="20">
        <f t="shared" si="46"/>
        <v>11.358483163309794</v>
      </c>
      <c r="L309" s="21"/>
      <c r="M309" s="20">
        <f t="shared" si="55"/>
        <v>1.6625564798505117</v>
      </c>
      <c r="N309" s="20">
        <f t="shared" si="48"/>
        <v>13.346151414388249</v>
      </c>
      <c r="O309" s="22">
        <v>122861032</v>
      </c>
      <c r="P309" s="23">
        <v>1639721936</v>
      </c>
      <c r="Q309" s="23">
        <v>1428348624</v>
      </c>
      <c r="R309" s="24"/>
      <c r="S309" s="23">
        <v>209069312</v>
      </c>
      <c r="T309" s="25">
        <v>82.142054999999999</v>
      </c>
      <c r="U309" s="25">
        <v>86.890107999999998</v>
      </c>
      <c r="V309" s="26"/>
      <c r="W309" s="26"/>
      <c r="X309" s="26"/>
      <c r="Y309" s="25">
        <v>85.062548000000007</v>
      </c>
      <c r="Z309" s="27"/>
      <c r="AA309" s="27"/>
      <c r="AC309" s="19">
        <f t="shared" si="49"/>
        <v>10.712739359999999</v>
      </c>
      <c r="AD309" s="20">
        <f t="shared" si="50"/>
        <v>12.778442280365105</v>
      </c>
      <c r="AE309" s="20">
        <f t="shared" si="51"/>
        <v>11.358483163309794</v>
      </c>
      <c r="AF309" s="21"/>
      <c r="AG309" s="20">
        <f t="shared" si="56"/>
        <v>1.4021144285876681</v>
      </c>
      <c r="AH309" s="20">
        <f t="shared" si="53"/>
        <v>13.079093328794439</v>
      </c>
      <c r="AI309" s="22">
        <v>122861032</v>
      </c>
      <c r="AJ309" s="23">
        <v>1606910904</v>
      </c>
      <c r="AK309" s="23">
        <v>1428348624</v>
      </c>
      <c r="AL309" s="24"/>
      <c r="AM309" s="23">
        <v>176318280</v>
      </c>
      <c r="AN309" s="25">
        <v>82.142054999999999</v>
      </c>
      <c r="AO309" s="25">
        <v>86.890107999999998</v>
      </c>
      <c r="AP309" s="26"/>
      <c r="AQ309" s="26"/>
      <c r="AR309" s="26"/>
      <c r="AS309" s="25">
        <v>84.014411999999993</v>
      </c>
      <c r="AT309" s="27"/>
      <c r="AU309" s="27"/>
      <c r="AW309" s="28">
        <f t="shared" si="54"/>
        <v>1.7786565939620136E-2</v>
      </c>
      <c r="AX309" s="28"/>
      <c r="AZ309" s="29"/>
      <c r="BA309" s="29"/>
      <c r="BB309" s="30"/>
      <c r="BC309" s="30"/>
      <c r="BD309" s="30"/>
      <c r="BE309" s="29"/>
      <c r="BG309" s="29"/>
      <c r="BH309" s="29"/>
      <c r="BI309" s="30"/>
      <c r="BJ309" s="30"/>
      <c r="BK309" s="30"/>
      <c r="BL309" s="29"/>
    </row>
    <row r="310" spans="1:64" outlineLevel="1" x14ac:dyDescent="0.15">
      <c r="A310" s="31"/>
      <c r="B310" s="46" t="s">
        <v>383</v>
      </c>
      <c r="C310" s="47" t="s">
        <v>230</v>
      </c>
      <c r="D310" s="46">
        <v>125751705</v>
      </c>
      <c r="E310" s="48">
        <v>18</v>
      </c>
      <c r="F310" s="47">
        <v>1500</v>
      </c>
      <c r="G310" s="47">
        <v>10</v>
      </c>
      <c r="I310" s="49">
        <f t="shared" si="44"/>
        <v>13.170056906666666</v>
      </c>
      <c r="J310" s="50">
        <f t="shared" si="45"/>
        <v>15.709596430521559</v>
      </c>
      <c r="K310" s="50">
        <f t="shared" si="46"/>
        <v>13.211454301951612</v>
      </c>
      <c r="L310" s="51"/>
      <c r="M310" s="50">
        <f t="shared" si="55"/>
        <v>2.4788660479792304</v>
      </c>
      <c r="N310" s="50">
        <f t="shared" si="48"/>
        <v>16.021210937336217</v>
      </c>
      <c r="O310" s="52">
        <v>123305819</v>
      </c>
      <c r="P310" s="53">
        <v>1975508536</v>
      </c>
      <c r="Q310" s="53">
        <v>1661362904</v>
      </c>
      <c r="R310" s="54"/>
      <c r="S310" s="53">
        <v>311721632</v>
      </c>
      <c r="T310" s="55">
        <v>87.787839000000005</v>
      </c>
      <c r="U310" s="55">
        <v>92.482322999999994</v>
      </c>
      <c r="V310" s="56"/>
      <c r="W310" s="56"/>
      <c r="X310" s="56"/>
      <c r="Y310" s="55">
        <v>90.061223999999996</v>
      </c>
      <c r="Z310" s="57"/>
      <c r="AA310" s="57"/>
      <c r="AC310" s="49">
        <f t="shared" si="49"/>
        <v>12.875582720000001</v>
      </c>
      <c r="AD310" s="50">
        <f t="shared" si="50"/>
        <v>15.358339737819062</v>
      </c>
      <c r="AE310" s="50">
        <f t="shared" si="51"/>
        <v>13.211454301951612</v>
      </c>
      <c r="AF310" s="51"/>
      <c r="AG310" s="50">
        <f t="shared" si="56"/>
        <v>2.1280864859844244</v>
      </c>
      <c r="AH310" s="50">
        <f t="shared" si="53"/>
        <v>15.662986740309474</v>
      </c>
      <c r="AI310" s="52">
        <v>123305819</v>
      </c>
      <c r="AJ310" s="53">
        <v>1931337408</v>
      </c>
      <c r="AK310" s="53">
        <v>1661362904</v>
      </c>
      <c r="AL310" s="54"/>
      <c r="AM310" s="53">
        <v>267610504</v>
      </c>
      <c r="AN310" s="55">
        <v>87.787839000000005</v>
      </c>
      <c r="AO310" s="55">
        <v>92.482322999999994</v>
      </c>
      <c r="AP310" s="56"/>
      <c r="AQ310" s="56"/>
      <c r="AR310" s="56"/>
      <c r="AS310" s="55">
        <v>88.656723</v>
      </c>
      <c r="AT310" s="57"/>
      <c r="AU310" s="57"/>
      <c r="AW310" s="58">
        <f t="shared" si="54"/>
        <v>1.9233837213094795E-2</v>
      </c>
      <c r="AX310" s="58"/>
      <c r="AZ310" s="59"/>
      <c r="BA310" s="59"/>
      <c r="BB310" s="60"/>
      <c r="BC310" s="60"/>
      <c r="BD310" s="60"/>
      <c r="BE310" s="59"/>
      <c r="BG310" s="59"/>
      <c r="BH310" s="59"/>
      <c r="BI310" s="60"/>
      <c r="BJ310" s="60"/>
      <c r="BK310" s="60"/>
      <c r="BL310" s="59"/>
    </row>
    <row r="311" spans="1:64" collapsed="1" x14ac:dyDescent="0.15">
      <c r="A311" s="16"/>
      <c r="B311" s="16" t="s">
        <v>386</v>
      </c>
      <c r="C311" s="17" t="s">
        <v>225</v>
      </c>
      <c r="D311" s="16">
        <v>126093865</v>
      </c>
      <c r="E311" s="18">
        <v>18</v>
      </c>
      <c r="F311" s="17">
        <v>1500</v>
      </c>
      <c r="G311" s="17">
        <v>10</v>
      </c>
      <c r="I311" s="19">
        <f t="shared" si="44"/>
        <v>0.59368383999999996</v>
      </c>
      <c r="J311" s="20">
        <f t="shared" si="45"/>
        <v>0.70624035515129935</v>
      </c>
      <c r="K311" s="20">
        <f t="shared" si="46"/>
        <v>0.67481062619501753</v>
      </c>
      <c r="L311" s="21"/>
      <c r="M311" s="20">
        <f t="shared" si="55"/>
        <v>1.5346472249066202E-2</v>
      </c>
      <c r="N311" s="20">
        <f t="shared" si="48"/>
        <v>3.7169786883664604</v>
      </c>
      <c r="O311" s="22">
        <v>23958323</v>
      </c>
      <c r="P311" s="23">
        <v>89052576</v>
      </c>
      <c r="Q311" s="23">
        <v>85089480</v>
      </c>
      <c r="R311" s="24"/>
      <c r="S311" s="23">
        <v>1935096</v>
      </c>
      <c r="T311" s="25">
        <v>46.314754999999998</v>
      </c>
      <c r="U311" s="25">
        <v>51.048152999999999</v>
      </c>
      <c r="V311" s="26"/>
      <c r="W311" s="26"/>
      <c r="X311" s="26"/>
      <c r="Y311" s="25">
        <v>68.726027000000002</v>
      </c>
      <c r="Z311" s="27"/>
      <c r="AA311" s="27"/>
      <c r="AC311" s="19">
        <f t="shared" si="49"/>
        <v>0.58676789333333335</v>
      </c>
      <c r="AD311" s="20">
        <f t="shared" si="50"/>
        <v>0.69801321420356177</v>
      </c>
      <c r="AE311" s="20">
        <f t="shared" si="51"/>
        <v>0.67481062619501753</v>
      </c>
      <c r="AF311" s="21"/>
      <c r="AG311" s="20">
        <f t="shared" si="56"/>
        <v>7.5000000991324997E-3</v>
      </c>
      <c r="AH311" s="20">
        <f t="shared" si="53"/>
        <v>3.6736788296910432</v>
      </c>
      <c r="AI311" s="22">
        <v>23958323</v>
      </c>
      <c r="AJ311" s="23">
        <v>88015184</v>
      </c>
      <c r="AK311" s="23">
        <v>85089480</v>
      </c>
      <c r="AL311" s="24"/>
      <c r="AM311" s="23">
        <v>945704</v>
      </c>
      <c r="AN311" s="25">
        <v>46.314754999999998</v>
      </c>
      <c r="AO311" s="25">
        <v>51.048152999999999</v>
      </c>
      <c r="AP311" s="26"/>
      <c r="AQ311" s="26"/>
      <c r="AR311" s="26"/>
      <c r="AS311" s="25">
        <v>68.270610000000005</v>
      </c>
      <c r="AT311" s="27"/>
      <c r="AU311" s="27"/>
      <c r="AW311" s="28">
        <f t="shared" si="54"/>
        <v>1.1261978041377407E-2</v>
      </c>
      <c r="AX311" s="28">
        <f t="array" ref="AX311">AVERAGE(AK311:AK316/AJ311:AJ316) - AVERAGE(Q311:Q316/P311:P316)</f>
        <v>1.8859665521094526E-2</v>
      </c>
      <c r="AZ311" s="29">
        <f>IF( OR(ISBLANK(Q311:Q316),ISBLANK(AK311:AK316), ISBLANK(T311:T316),ISBLANK(AN311:AN316)), "·", bdRateExtend( Q311:Q316,T311:T316, AK311:AK316,AN311:AN316))</f>
        <v>0</v>
      </c>
      <c r="BA311" s="29">
        <f>IF( OR(ISBLANK(Q311:Q316),ISBLANK(AK311:AK316), ISBLANK(U311:U316),ISBLANK(AO311:AO316)), "·", bdRateExtend( Q311:Q316,U311:U316, AK311:AK316,AO311:AO316))</f>
        <v>0</v>
      </c>
      <c r="BB311" s="30"/>
      <c r="BC311" s="30"/>
      <c r="BD311" s="30"/>
      <c r="BE311" s="29">
        <f>IF( OR(ISBLANK(S311:S316),ISBLANK(AM311:AM316), ISBLANK(Y311:Y316),ISBLANK(AS311:AS316)), "·", bdRateExtend( S311:S316,Y311:Y316, AM311:AM316,AS311:AS316))</f>
        <v>-0.15161072183744151</v>
      </c>
      <c r="BG311" s="29">
        <f>IF( OR(ISBLANK(P311:P316),ISBLANK(AJ311:AJ316), ISBLANK(T311:T316),ISBLANK(AN311:AN316)), "·", bdRateExtend( P311:P316,T311:T316, AJ311:AJ316,AN311:AN316))</f>
        <v>-2.1125852676385781E-2</v>
      </c>
      <c r="BH311" s="29">
        <f>IF( OR(ISBLANK(P311:P316),ISBLANK(AJ311:AJ316), ISBLANK(U311:U316),ISBLANK(AO311:AO316)), "·", bdRateExtend( P311:P316,U311:U316, AJ311:AJ316,AO311:AO316))</f>
        <v>-2.1122064564145115E-2</v>
      </c>
      <c r="BI311" s="30"/>
      <c r="BJ311" s="30"/>
      <c r="BK311" s="30"/>
      <c r="BL311" s="29">
        <f>IF( OR(ISBLANK(P311:P316),ISBLANK(AJ311:AJ316), ISBLANK(Y311:Y316),ISBLANK(AS311:AS316)), "·", bdRateExtend( P311:P316,Y311:Y316, AJ311:AJ316,AS311:AS316))</f>
        <v>8.9111029150282794E-2</v>
      </c>
    </row>
    <row r="312" spans="1:64" outlineLevel="1" x14ac:dyDescent="0.15">
      <c r="A312" s="31"/>
      <c r="B312" s="31" t="s">
        <v>386</v>
      </c>
      <c r="C312" s="32" t="s">
        <v>226</v>
      </c>
      <c r="D312" s="31">
        <v>126093865</v>
      </c>
      <c r="E312" s="33">
        <v>18</v>
      </c>
      <c r="F312" s="32">
        <v>1500</v>
      </c>
      <c r="G312" s="32">
        <v>10</v>
      </c>
      <c r="I312" s="34">
        <f t="shared" si="44"/>
        <v>1.4046348799999999</v>
      </c>
      <c r="J312" s="35">
        <f t="shared" si="45"/>
        <v>1.6709395972595495</v>
      </c>
      <c r="K312" s="35">
        <f t="shared" si="46"/>
        <v>1.5846792863395851</v>
      </c>
      <c r="L312" s="36"/>
      <c r="M312" s="35">
        <f t="shared" si="55"/>
        <v>6.9796385414944651E-2</v>
      </c>
      <c r="N312" s="35">
        <f t="shared" si="48"/>
        <v>4.3515024547614214</v>
      </c>
      <c r="O312" s="37">
        <v>48418962</v>
      </c>
      <c r="P312" s="38">
        <v>210695232</v>
      </c>
      <c r="Q312" s="38">
        <v>199818336</v>
      </c>
      <c r="R312" s="39"/>
      <c r="S312" s="38">
        <v>8800896</v>
      </c>
      <c r="T312" s="40">
        <v>52.224502999999999</v>
      </c>
      <c r="U312" s="40">
        <v>56.944526000000003</v>
      </c>
      <c r="V312" s="41"/>
      <c r="W312" s="41"/>
      <c r="X312" s="41"/>
      <c r="Y312" s="40">
        <v>70.601982000000007</v>
      </c>
      <c r="Z312" s="42"/>
      <c r="AA312" s="42"/>
      <c r="AC312" s="34">
        <f t="shared" si="49"/>
        <v>1.3775595199999999</v>
      </c>
      <c r="AD312" s="35">
        <f t="shared" si="50"/>
        <v>1.6387310199429608</v>
      </c>
      <c r="AE312" s="35">
        <f t="shared" si="51"/>
        <v>1.5846792863395851</v>
      </c>
      <c r="AF312" s="36"/>
      <c r="AG312" s="35">
        <f t="shared" si="56"/>
        <v>3.8063644095610839E-2</v>
      </c>
      <c r="AH312" s="35">
        <f t="shared" si="53"/>
        <v>4.2676240766995379</v>
      </c>
      <c r="AI312" s="37">
        <v>48418962</v>
      </c>
      <c r="AJ312" s="38">
        <v>206633928</v>
      </c>
      <c r="AK312" s="38">
        <v>199818336</v>
      </c>
      <c r="AL312" s="39"/>
      <c r="AM312" s="38">
        <v>4799592</v>
      </c>
      <c r="AN312" s="40">
        <v>52.224502999999999</v>
      </c>
      <c r="AO312" s="40">
        <v>56.944526000000003</v>
      </c>
      <c r="AP312" s="41"/>
      <c r="AQ312" s="41"/>
      <c r="AR312" s="41"/>
      <c r="AS312" s="40">
        <v>70.045294999999996</v>
      </c>
      <c r="AT312" s="42"/>
      <c r="AU312" s="42"/>
      <c r="AW312" s="43">
        <f t="shared" si="54"/>
        <v>1.8639939469855205E-2</v>
      </c>
      <c r="AX312" s="43"/>
      <c r="AZ312" s="44"/>
      <c r="BA312" s="44"/>
      <c r="BB312" s="45"/>
      <c r="BC312" s="45"/>
      <c r="BD312" s="45"/>
      <c r="BE312" s="44"/>
      <c r="BG312" s="44"/>
      <c r="BH312" s="44"/>
      <c r="BI312" s="45"/>
      <c r="BJ312" s="45"/>
      <c r="BK312" s="45"/>
      <c r="BL312" s="44"/>
    </row>
    <row r="313" spans="1:64" outlineLevel="1" x14ac:dyDescent="0.15">
      <c r="A313" s="16"/>
      <c r="B313" s="16" t="s">
        <v>386</v>
      </c>
      <c r="C313" s="17" t="s">
        <v>227</v>
      </c>
      <c r="D313" s="16">
        <v>126093865</v>
      </c>
      <c r="E313" s="18">
        <v>18</v>
      </c>
      <c r="F313" s="17">
        <v>1500</v>
      </c>
      <c r="G313" s="17">
        <v>10</v>
      </c>
      <c r="I313" s="19">
        <f t="shared" si="44"/>
        <v>5.0586075199999998</v>
      </c>
      <c r="J313" s="20">
        <f t="shared" si="45"/>
        <v>6.0176688850008686</v>
      </c>
      <c r="K313" s="20">
        <f t="shared" si="46"/>
        <v>5.6324265419257316</v>
      </c>
      <c r="L313" s="21"/>
      <c r="M313" s="20">
        <f t="shared" ref="M313:M340" si="57">IF(ISBLANK(Q313),"·",S313/D313)</f>
        <v>0.3683977487723134</v>
      </c>
      <c r="N313" s="20">
        <f t="shared" si="48"/>
        <v>6.9273600654166625</v>
      </c>
      <c r="O313" s="22">
        <v>109535396</v>
      </c>
      <c r="P313" s="23">
        <v>758791128</v>
      </c>
      <c r="Q313" s="23">
        <v>710214432</v>
      </c>
      <c r="R313" s="24"/>
      <c r="S313" s="23">
        <v>46452696</v>
      </c>
      <c r="T313" s="25">
        <v>64.237583999999998</v>
      </c>
      <c r="U313" s="25">
        <v>69.001265000000004</v>
      </c>
      <c r="V313" s="26"/>
      <c r="W313" s="26"/>
      <c r="X313" s="26"/>
      <c r="Y313" s="25">
        <v>75.092467999999997</v>
      </c>
      <c r="Z313" s="27"/>
      <c r="AA313" s="27"/>
      <c r="AC313" s="19">
        <f t="shared" si="49"/>
        <v>4.9578902400000002</v>
      </c>
      <c r="AD313" s="20">
        <f t="shared" si="50"/>
        <v>5.8978566165768651</v>
      </c>
      <c r="AE313" s="20">
        <f t="shared" si="51"/>
        <v>5.6324265419257316</v>
      </c>
      <c r="AF313" s="21"/>
      <c r="AG313" s="20">
        <f t="shared" ref="AG313:AG340" si="58">IF(ISBLANK(AK313),"·",AM313/D313)</f>
        <v>0.24906131634556528</v>
      </c>
      <c r="AH313" s="20">
        <f t="shared" si="53"/>
        <v>6.7894357728893411</v>
      </c>
      <c r="AI313" s="22">
        <v>109535396</v>
      </c>
      <c r="AJ313" s="23">
        <v>743683536</v>
      </c>
      <c r="AK313" s="23">
        <v>710214432</v>
      </c>
      <c r="AL313" s="24"/>
      <c r="AM313" s="23">
        <v>31405104</v>
      </c>
      <c r="AN313" s="25">
        <v>64.237583999999998</v>
      </c>
      <c r="AO313" s="25">
        <v>69.001265000000004</v>
      </c>
      <c r="AP313" s="26"/>
      <c r="AQ313" s="26"/>
      <c r="AR313" s="26"/>
      <c r="AS313" s="25">
        <v>74.403154999999998</v>
      </c>
      <c r="AT313" s="27"/>
      <c r="AU313" s="27"/>
      <c r="AW313" s="28">
        <f t="shared" si="54"/>
        <v>1.9014036772300957E-2</v>
      </c>
      <c r="AX313" s="28"/>
      <c r="AZ313" s="29"/>
      <c r="BA313" s="29"/>
      <c r="BB313" s="30"/>
      <c r="BC313" s="30"/>
      <c r="BD313" s="30"/>
      <c r="BE313" s="29"/>
      <c r="BG313" s="29"/>
      <c r="BH313" s="29"/>
      <c r="BI313" s="30"/>
      <c r="BJ313" s="30"/>
      <c r="BK313" s="30"/>
      <c r="BL313" s="29"/>
    </row>
    <row r="314" spans="1:64" outlineLevel="1" x14ac:dyDescent="0.15">
      <c r="A314" s="31"/>
      <c r="B314" s="31" t="s">
        <v>386</v>
      </c>
      <c r="C314" s="32" t="s">
        <v>228</v>
      </c>
      <c r="D314" s="31">
        <v>126093865</v>
      </c>
      <c r="E314" s="33">
        <v>18</v>
      </c>
      <c r="F314" s="32">
        <v>1500</v>
      </c>
      <c r="G314" s="32">
        <v>10</v>
      </c>
      <c r="I314" s="34">
        <f t="shared" si="44"/>
        <v>7.5425557333333337</v>
      </c>
      <c r="J314" s="35">
        <f t="shared" si="45"/>
        <v>8.9725488230533657</v>
      </c>
      <c r="K314" s="35">
        <f t="shared" si="46"/>
        <v>8.1073008904913806</v>
      </c>
      <c r="L314" s="36"/>
      <c r="M314" s="35">
        <f t="shared" si="57"/>
        <v>0.8481178366608082</v>
      </c>
      <c r="N314" s="35">
        <f t="shared" si="48"/>
        <v>9.3670009083740098</v>
      </c>
      <c r="O314" s="37">
        <v>120783949</v>
      </c>
      <c r="P314" s="38">
        <v>1131383360</v>
      </c>
      <c r="Q314" s="38">
        <v>1022280904</v>
      </c>
      <c r="R314" s="39"/>
      <c r="S314" s="38">
        <v>106942456</v>
      </c>
      <c r="T314" s="40">
        <v>70.228014000000002</v>
      </c>
      <c r="U314" s="40">
        <v>75.000552999999996</v>
      </c>
      <c r="V314" s="41"/>
      <c r="W314" s="41"/>
      <c r="X314" s="41"/>
      <c r="Y314" s="40">
        <v>79.389398</v>
      </c>
      <c r="Z314" s="42"/>
      <c r="AA314" s="42"/>
      <c r="AC314" s="34">
        <f t="shared" si="49"/>
        <v>7.3512493333333326</v>
      </c>
      <c r="AD314" s="35">
        <f t="shared" si="50"/>
        <v>8.744972643990252</v>
      </c>
      <c r="AE314" s="35">
        <f t="shared" si="51"/>
        <v>8.1073008904913806</v>
      </c>
      <c r="AF314" s="36"/>
      <c r="AG314" s="35">
        <f t="shared" si="58"/>
        <v>0.62101749359495007</v>
      </c>
      <c r="AH314" s="35">
        <f t="shared" si="53"/>
        <v>9.1294200026528358</v>
      </c>
      <c r="AI314" s="37">
        <v>120783949</v>
      </c>
      <c r="AJ314" s="38">
        <v>1102687400</v>
      </c>
      <c r="AK314" s="38">
        <v>1022280904</v>
      </c>
      <c r="AL314" s="39"/>
      <c r="AM314" s="38">
        <v>78306496</v>
      </c>
      <c r="AN314" s="40">
        <v>70.228014000000002</v>
      </c>
      <c r="AO314" s="40">
        <v>75.000552999999996</v>
      </c>
      <c r="AP314" s="41"/>
      <c r="AQ314" s="41"/>
      <c r="AR314" s="41"/>
      <c r="AS314" s="40">
        <v>78.450542999999996</v>
      </c>
      <c r="AT314" s="42"/>
      <c r="AU314" s="42"/>
      <c r="AW314" s="43">
        <f t="shared" si="54"/>
        <v>2.3514124187726027E-2</v>
      </c>
      <c r="AX314" s="43"/>
      <c r="AZ314" s="44"/>
      <c r="BA314" s="44"/>
      <c r="BB314" s="45"/>
      <c r="BC314" s="45"/>
      <c r="BD314" s="45"/>
      <c r="BE314" s="44"/>
      <c r="BG314" s="44"/>
      <c r="BH314" s="44"/>
      <c r="BI314" s="45"/>
      <c r="BJ314" s="45"/>
      <c r="BK314" s="45"/>
      <c r="BL314" s="44"/>
    </row>
    <row r="315" spans="1:64" outlineLevel="1" x14ac:dyDescent="0.15">
      <c r="A315" s="16"/>
      <c r="B315" s="16" t="s">
        <v>386</v>
      </c>
      <c r="C315" s="17" t="s">
        <v>229</v>
      </c>
      <c r="D315" s="16">
        <v>126093865</v>
      </c>
      <c r="E315" s="18">
        <v>18</v>
      </c>
      <c r="F315" s="17">
        <v>1500</v>
      </c>
      <c r="G315" s="17">
        <v>10</v>
      </c>
      <c r="I315" s="19">
        <f t="shared" si="44"/>
        <v>11.551401866666668</v>
      </c>
      <c r="J315" s="20">
        <f t="shared" si="45"/>
        <v>13.741432067293678</v>
      </c>
      <c r="K315" s="20">
        <f t="shared" si="46"/>
        <v>12.173237389463793</v>
      </c>
      <c r="L315" s="21"/>
      <c r="M315" s="20">
        <f t="shared" si="57"/>
        <v>1.5499225755352966</v>
      </c>
      <c r="N315" s="20">
        <f t="shared" si="48"/>
        <v>14.040627908518628</v>
      </c>
      <c r="O315" s="22">
        <v>123406894</v>
      </c>
      <c r="P315" s="23">
        <v>1732710280</v>
      </c>
      <c r="Q315" s="23">
        <v>1534970552</v>
      </c>
      <c r="R315" s="24"/>
      <c r="S315" s="23">
        <v>195435728</v>
      </c>
      <c r="T315" s="25">
        <v>82.142849999999996</v>
      </c>
      <c r="U315" s="25">
        <v>86.885626999999999</v>
      </c>
      <c r="V315" s="26"/>
      <c r="W315" s="26"/>
      <c r="X315" s="26"/>
      <c r="Y315" s="25">
        <v>84.671749000000005</v>
      </c>
      <c r="Z315" s="27"/>
      <c r="AA315" s="27"/>
      <c r="AC315" s="19">
        <f t="shared" si="49"/>
        <v>11.296576960000001</v>
      </c>
      <c r="AD315" s="20">
        <f t="shared" si="50"/>
        <v>13.438294908320877</v>
      </c>
      <c r="AE315" s="20">
        <f t="shared" si="51"/>
        <v>12.173237389463793</v>
      </c>
      <c r="AF315" s="21"/>
      <c r="AG315" s="20">
        <f t="shared" si="58"/>
        <v>1.2472612525597497</v>
      </c>
      <c r="AH315" s="20">
        <f t="shared" si="53"/>
        <v>13.730890463866629</v>
      </c>
      <c r="AI315" s="22">
        <v>123406894</v>
      </c>
      <c r="AJ315" s="23">
        <v>1694486544</v>
      </c>
      <c r="AK315" s="23">
        <v>1534970552</v>
      </c>
      <c r="AL315" s="24"/>
      <c r="AM315" s="23">
        <v>157271992</v>
      </c>
      <c r="AN315" s="25">
        <v>82.142849999999996</v>
      </c>
      <c r="AO315" s="25">
        <v>86.885626999999999</v>
      </c>
      <c r="AP315" s="26"/>
      <c r="AQ315" s="26"/>
      <c r="AR315" s="26"/>
      <c r="AS315" s="25">
        <v>83.597823000000005</v>
      </c>
      <c r="AT315" s="27"/>
      <c r="AU315" s="27"/>
      <c r="AW315" s="28">
        <f t="shared" si="54"/>
        <v>1.998338725017812E-2</v>
      </c>
      <c r="AX315" s="28"/>
      <c r="AZ315" s="29"/>
      <c r="BA315" s="29"/>
      <c r="BB315" s="30"/>
      <c r="BC315" s="30"/>
      <c r="BD315" s="30"/>
      <c r="BE315" s="29"/>
      <c r="BG315" s="29"/>
      <c r="BH315" s="29"/>
      <c r="BI315" s="30"/>
      <c r="BJ315" s="30"/>
      <c r="BK315" s="30"/>
      <c r="BL315" s="29"/>
    </row>
    <row r="316" spans="1:64" outlineLevel="1" x14ac:dyDescent="0.15">
      <c r="A316" s="31"/>
      <c r="B316" s="46" t="s">
        <v>386</v>
      </c>
      <c r="C316" s="47" t="s">
        <v>230</v>
      </c>
      <c r="D316" s="46">
        <v>126093865</v>
      </c>
      <c r="E316" s="48">
        <v>18</v>
      </c>
      <c r="F316" s="47">
        <v>1500</v>
      </c>
      <c r="G316" s="47">
        <v>10</v>
      </c>
      <c r="I316" s="49">
        <f t="shared" si="44"/>
        <v>13.831276693333333</v>
      </c>
      <c r="J316" s="50">
        <f t="shared" si="45"/>
        <v>16.453548346701879</v>
      </c>
      <c r="K316" s="50">
        <f t="shared" si="46"/>
        <v>14.012461779960509</v>
      </c>
      <c r="L316" s="51"/>
      <c r="M316" s="50">
        <f t="shared" si="57"/>
        <v>2.4218627924522735</v>
      </c>
      <c r="N316" s="50">
        <f t="shared" si="48"/>
        <v>16.758012524692766</v>
      </c>
      <c r="O316" s="52">
        <v>123802957</v>
      </c>
      <c r="P316" s="53">
        <v>2074691504</v>
      </c>
      <c r="Q316" s="53">
        <v>1766885464</v>
      </c>
      <c r="R316" s="54"/>
      <c r="S316" s="53">
        <v>305382040</v>
      </c>
      <c r="T316" s="55">
        <v>87.789017999999999</v>
      </c>
      <c r="U316" s="55">
        <v>92.467819000000006</v>
      </c>
      <c r="V316" s="56"/>
      <c r="W316" s="56"/>
      <c r="X316" s="56"/>
      <c r="Y316" s="55">
        <v>89.822698000000003</v>
      </c>
      <c r="Z316" s="57"/>
      <c r="AA316" s="57"/>
      <c r="AC316" s="49">
        <f t="shared" si="49"/>
        <v>13.502380373333333</v>
      </c>
      <c r="AD316" s="50">
        <f t="shared" si="50"/>
        <v>16.062296575650212</v>
      </c>
      <c r="AE316" s="50">
        <f t="shared" si="51"/>
        <v>14.012461779960509</v>
      </c>
      <c r="AF316" s="51"/>
      <c r="AG316" s="50">
        <f t="shared" si="58"/>
        <v>2.03108685739786</v>
      </c>
      <c r="AH316" s="50">
        <f t="shared" si="53"/>
        <v>16.359520847309003</v>
      </c>
      <c r="AI316" s="52">
        <v>123802957</v>
      </c>
      <c r="AJ316" s="53">
        <v>2025357056</v>
      </c>
      <c r="AK316" s="53">
        <v>1766885464</v>
      </c>
      <c r="AL316" s="54"/>
      <c r="AM316" s="53">
        <v>256107592</v>
      </c>
      <c r="AN316" s="55">
        <v>87.789017999999999</v>
      </c>
      <c r="AO316" s="55">
        <v>92.467819000000006</v>
      </c>
      <c r="AP316" s="56"/>
      <c r="AQ316" s="56"/>
      <c r="AR316" s="56"/>
      <c r="AS316" s="55">
        <v>88.357149000000007</v>
      </c>
      <c r="AT316" s="57"/>
      <c r="AU316" s="57"/>
      <c r="AW316" s="58">
        <f t="shared" si="54"/>
        <v>2.0744527405128443E-2</v>
      </c>
      <c r="AX316" s="58"/>
      <c r="AZ316" s="59"/>
      <c r="BA316" s="59"/>
      <c r="BB316" s="60"/>
      <c r="BC316" s="60"/>
      <c r="BD316" s="60"/>
      <c r="BE316" s="59"/>
      <c r="BG316" s="59"/>
      <c r="BH316" s="59"/>
      <c r="BI316" s="60"/>
      <c r="BJ316" s="60"/>
      <c r="BK316" s="60"/>
      <c r="BL316" s="59"/>
    </row>
    <row r="317" spans="1:64" collapsed="1" x14ac:dyDescent="0.15">
      <c r="A317" s="16"/>
      <c r="B317" s="16" t="s">
        <v>389</v>
      </c>
      <c r="C317" s="17" t="s">
        <v>225</v>
      </c>
      <c r="D317" s="16">
        <v>2233793</v>
      </c>
      <c r="E317" s="18">
        <v>18</v>
      </c>
      <c r="F317" s="17">
        <v>74</v>
      </c>
      <c r="G317" s="17">
        <v>5</v>
      </c>
      <c r="I317" s="19">
        <f t="shared" si="44"/>
        <v>0.11635135135135134</v>
      </c>
      <c r="J317" s="20">
        <f t="shared" si="45"/>
        <v>0.77088611164955745</v>
      </c>
      <c r="K317" s="20">
        <f t="shared" si="46"/>
        <v>0.73179923117316603</v>
      </c>
      <c r="L317" s="21"/>
      <c r="M317" s="20">
        <f t="shared" si="57"/>
        <v>9.1396114143074136E-3</v>
      </c>
      <c r="N317" s="20">
        <f t="shared" si="48"/>
        <v>5.4445255959099663</v>
      </c>
      <c r="O317" s="22">
        <v>316281</v>
      </c>
      <c r="P317" s="23">
        <v>1722000</v>
      </c>
      <c r="Q317" s="23">
        <v>1634688</v>
      </c>
      <c r="R317" s="24"/>
      <c r="S317" s="23">
        <v>20416</v>
      </c>
      <c r="T317" s="25">
        <v>45.986576999999997</v>
      </c>
      <c r="U317" s="25">
        <v>51.00347</v>
      </c>
      <c r="V317" s="26"/>
      <c r="W317" s="26"/>
      <c r="X317" s="26"/>
      <c r="Y317" s="25">
        <v>74.805520000000001</v>
      </c>
      <c r="Z317" s="27"/>
      <c r="AA317" s="27"/>
      <c r="AC317" s="19">
        <f t="shared" si="49"/>
        <v>0.11576054054054055</v>
      </c>
      <c r="AD317" s="20">
        <f t="shared" si="50"/>
        <v>0.76697169343802218</v>
      </c>
      <c r="AE317" s="20">
        <f t="shared" si="51"/>
        <v>0.73179923117316603</v>
      </c>
      <c r="AF317" s="21"/>
      <c r="AG317" s="20">
        <f t="shared" si="58"/>
        <v>6.2852735235538835E-3</v>
      </c>
      <c r="AH317" s="20">
        <f t="shared" si="53"/>
        <v>5.4168792940454846</v>
      </c>
      <c r="AI317" s="22">
        <v>316281</v>
      </c>
      <c r="AJ317" s="23">
        <v>1713256</v>
      </c>
      <c r="AK317" s="23">
        <v>1634688</v>
      </c>
      <c r="AL317" s="24"/>
      <c r="AM317" s="23">
        <v>14040</v>
      </c>
      <c r="AN317" s="25">
        <v>45.986576999999997</v>
      </c>
      <c r="AO317" s="25">
        <v>51.00347</v>
      </c>
      <c r="AP317" s="26"/>
      <c r="AQ317" s="26"/>
      <c r="AR317" s="26"/>
      <c r="AS317" s="25">
        <v>74.262262000000007</v>
      </c>
      <c r="AT317" s="27"/>
      <c r="AU317" s="27"/>
      <c r="AW317" s="28">
        <f t="shared" si="54"/>
        <v>4.8449535191537052E-3</v>
      </c>
      <c r="AX317" s="28">
        <f t="array" ref="AX317">AVERAGE(AK317:AK322/AJ317:AJ322) - AVERAGE(Q317:Q322/P317:P322)</f>
        <v>1.0461010185694231E-2</v>
      </c>
      <c r="AZ317" s="29">
        <f>IF( OR(ISBLANK(Q317:Q322),ISBLANK(AK317:AK322), ISBLANK(T317:T322),ISBLANK(AN317:AN322)), "·", bdRateExtend( Q317:Q322,T317:T322, AK317:AK322,AN317:AN322))</f>
        <v>0</v>
      </c>
      <c r="BA317" s="29">
        <f>IF( OR(ISBLANK(Q317:Q322),ISBLANK(AK317:AK322), ISBLANK(U317:U322),ISBLANK(AO317:AO322)), "·", bdRateExtend( Q317:Q322,U317:U322, AK317:AK322,AO317:AO322))</f>
        <v>0</v>
      </c>
      <c r="BB317" s="30"/>
      <c r="BC317" s="30"/>
      <c r="BD317" s="30"/>
      <c r="BE317" s="29">
        <f>IF( OR(ISBLANK(S317:S322),ISBLANK(AM317:AM322), ISBLANK(Y317:Y322),ISBLANK(AS317:AS322)), "·", bdRateExtend( S317:S322,Y317:Y322, AM317:AM322,AS317:AS322))</f>
        <v>-0.11389844519099279</v>
      </c>
      <c r="BG317" s="29">
        <f>IF( OR(ISBLANK(P317:P322),ISBLANK(AJ317:AJ322), ISBLANK(T317:T322),ISBLANK(AN317:AN322)), "·", bdRateExtend( P317:P322,T317:T322, AJ317:AJ322,AN317:AN322))</f>
        <v>-1.0836630660952196E-2</v>
      </c>
      <c r="BH317" s="29">
        <f>IF( OR(ISBLANK(P317:P322),ISBLANK(AJ317:AJ322), ISBLANK(U317:U322),ISBLANK(AO317:AO322)), "·", bdRateExtend( P317:P322,U317:U322, AJ317:AJ322,AO317:AO322))</f>
        <v>-1.0946837318984826E-2</v>
      </c>
      <c r="BI317" s="30"/>
      <c r="BJ317" s="30"/>
      <c r="BK317" s="30"/>
      <c r="BL317" s="29">
        <f>IF( OR(ISBLANK(P317:P322),ISBLANK(AJ317:AJ322), ISBLANK(Y317:Y322),ISBLANK(AS317:AS322)), "·", bdRateExtend( P317:P322,Y317:Y322, AJ317:AJ322,AS317:AS322))</f>
        <v>0.10818371440686025</v>
      </c>
    </row>
    <row r="318" spans="1:64" outlineLevel="1" x14ac:dyDescent="0.15">
      <c r="A318" s="31"/>
      <c r="B318" s="31" t="s">
        <v>389</v>
      </c>
      <c r="C318" s="32" t="s">
        <v>226</v>
      </c>
      <c r="D318" s="31">
        <v>2233793</v>
      </c>
      <c r="E318" s="33">
        <v>18</v>
      </c>
      <c r="F318" s="32">
        <v>74</v>
      </c>
      <c r="G318" s="32">
        <v>5</v>
      </c>
      <c r="I318" s="34">
        <f t="shared" si="44"/>
        <v>0.19658324324324325</v>
      </c>
      <c r="J318" s="35">
        <f t="shared" si="45"/>
        <v>1.3024626722350727</v>
      </c>
      <c r="K318" s="35">
        <f t="shared" si="46"/>
        <v>1.2513424475768347</v>
      </c>
      <c r="L318" s="36"/>
      <c r="M318" s="35">
        <f t="shared" si="57"/>
        <v>2.037789535556786E-2</v>
      </c>
      <c r="N318" s="35">
        <f t="shared" si="48"/>
        <v>5.8061369478103995</v>
      </c>
      <c r="O318" s="37">
        <v>501096</v>
      </c>
      <c r="P318" s="38">
        <v>2909432</v>
      </c>
      <c r="Q318" s="38">
        <v>2795240</v>
      </c>
      <c r="R318" s="39"/>
      <c r="S318" s="38">
        <v>45520</v>
      </c>
      <c r="T318" s="40">
        <v>52.230733999999998</v>
      </c>
      <c r="U318" s="40">
        <v>56.875740999999998</v>
      </c>
      <c r="V318" s="41"/>
      <c r="W318" s="41"/>
      <c r="X318" s="41"/>
      <c r="Y318" s="40">
        <v>76.673913999999996</v>
      </c>
      <c r="Z318" s="42"/>
      <c r="AA318" s="42"/>
      <c r="AC318" s="34">
        <f t="shared" si="49"/>
        <v>0.19526270270270268</v>
      </c>
      <c r="AD318" s="35">
        <f t="shared" si="50"/>
        <v>1.2937134282361884</v>
      </c>
      <c r="AE318" s="35">
        <f t="shared" si="51"/>
        <v>1.2513424475768347</v>
      </c>
      <c r="AF318" s="36"/>
      <c r="AG318" s="35">
        <f t="shared" si="58"/>
        <v>1.2953751757660625E-2</v>
      </c>
      <c r="AH318" s="35">
        <f t="shared" si="53"/>
        <v>5.7671344413046599</v>
      </c>
      <c r="AI318" s="37">
        <v>501096</v>
      </c>
      <c r="AJ318" s="38">
        <v>2889888</v>
      </c>
      <c r="AK318" s="38">
        <v>2795240</v>
      </c>
      <c r="AL318" s="39"/>
      <c r="AM318" s="38">
        <v>28936</v>
      </c>
      <c r="AN318" s="40">
        <v>52.230733999999998</v>
      </c>
      <c r="AO318" s="40">
        <v>56.875740999999998</v>
      </c>
      <c r="AP318" s="41"/>
      <c r="AQ318" s="41"/>
      <c r="AR318" s="41"/>
      <c r="AS318" s="40">
        <v>76.068928</v>
      </c>
      <c r="AT318" s="42"/>
      <c r="AU318" s="42"/>
      <c r="AW318" s="43">
        <f t="shared" si="54"/>
        <v>6.4974557962745871E-3</v>
      </c>
      <c r="AX318" s="43"/>
      <c r="AZ318" s="44"/>
      <c r="BA318" s="44"/>
      <c r="BB318" s="45"/>
      <c r="BC318" s="45"/>
      <c r="BD318" s="45"/>
      <c r="BE318" s="44"/>
      <c r="BG318" s="44"/>
      <c r="BH318" s="44"/>
      <c r="BI318" s="45"/>
      <c r="BJ318" s="45"/>
      <c r="BK318" s="45"/>
      <c r="BL318" s="44"/>
    </row>
    <row r="319" spans="1:64" outlineLevel="1" x14ac:dyDescent="0.15">
      <c r="A319" s="16"/>
      <c r="B319" s="16" t="s">
        <v>389</v>
      </c>
      <c r="C319" s="17" t="s">
        <v>227</v>
      </c>
      <c r="D319" s="16">
        <v>2233793</v>
      </c>
      <c r="E319" s="18">
        <v>18</v>
      </c>
      <c r="F319" s="17">
        <v>74</v>
      </c>
      <c r="G319" s="17">
        <v>5</v>
      </c>
      <c r="I319" s="19">
        <f t="shared" si="44"/>
        <v>0.44395891891891892</v>
      </c>
      <c r="J319" s="20">
        <f t="shared" si="45"/>
        <v>2.9414507073842562</v>
      </c>
      <c r="K319" s="20">
        <f t="shared" si="46"/>
        <v>2.8443566615169802</v>
      </c>
      <c r="L319" s="21"/>
      <c r="M319" s="20">
        <f t="shared" si="57"/>
        <v>6.5556656324019275E-2</v>
      </c>
      <c r="N319" s="20">
        <f t="shared" si="48"/>
        <v>7.067858233904591</v>
      </c>
      <c r="O319" s="22">
        <v>929644</v>
      </c>
      <c r="P319" s="23">
        <v>6570592</v>
      </c>
      <c r="Q319" s="23">
        <v>6353704</v>
      </c>
      <c r="R319" s="24"/>
      <c r="S319" s="23">
        <v>146440</v>
      </c>
      <c r="T319" s="25">
        <v>64.179548999999994</v>
      </c>
      <c r="U319" s="25">
        <v>68.727608000000004</v>
      </c>
      <c r="V319" s="26"/>
      <c r="W319" s="26"/>
      <c r="X319" s="26"/>
      <c r="Y319" s="25">
        <v>79.233654000000001</v>
      </c>
      <c r="Z319" s="27"/>
      <c r="AA319" s="27"/>
      <c r="AC319" s="19">
        <f t="shared" si="49"/>
        <v>0.44019729729729729</v>
      </c>
      <c r="AD319" s="20">
        <f t="shared" si="50"/>
        <v>2.9165280757885803</v>
      </c>
      <c r="AE319" s="20">
        <f t="shared" si="51"/>
        <v>2.8443566615169802</v>
      </c>
      <c r="AF319" s="21"/>
      <c r="AG319" s="20">
        <f t="shared" si="58"/>
        <v>4.1959125129320402E-2</v>
      </c>
      <c r="AH319" s="20">
        <f t="shared" si="53"/>
        <v>7.0079729444819741</v>
      </c>
      <c r="AI319" s="22">
        <v>929644</v>
      </c>
      <c r="AJ319" s="23">
        <v>6514920</v>
      </c>
      <c r="AK319" s="23">
        <v>6353704</v>
      </c>
      <c r="AL319" s="24"/>
      <c r="AM319" s="23">
        <v>93728</v>
      </c>
      <c r="AN319" s="25">
        <v>64.179548999999994</v>
      </c>
      <c r="AO319" s="25">
        <v>68.727608000000004</v>
      </c>
      <c r="AP319" s="26"/>
      <c r="AQ319" s="26"/>
      <c r="AR319" s="26"/>
      <c r="AS319" s="25">
        <v>78.546327000000005</v>
      </c>
      <c r="AT319" s="27"/>
      <c r="AU319" s="27"/>
      <c r="AW319" s="28">
        <f t="shared" si="54"/>
        <v>8.2632370988590109E-3</v>
      </c>
      <c r="AX319" s="28"/>
      <c r="AZ319" s="29"/>
      <c r="BA319" s="29"/>
      <c r="BB319" s="30"/>
      <c r="BC319" s="30"/>
      <c r="BD319" s="30"/>
      <c r="BE319" s="29"/>
      <c r="BG319" s="29"/>
      <c r="BH319" s="29"/>
      <c r="BI319" s="30"/>
      <c r="BJ319" s="30"/>
      <c r="BK319" s="30"/>
      <c r="BL319" s="29"/>
    </row>
    <row r="320" spans="1:64" outlineLevel="1" x14ac:dyDescent="0.15">
      <c r="A320" s="31"/>
      <c r="B320" s="31" t="s">
        <v>389</v>
      </c>
      <c r="C320" s="32" t="s">
        <v>228</v>
      </c>
      <c r="D320" s="31">
        <v>2233793</v>
      </c>
      <c r="E320" s="33">
        <v>18</v>
      </c>
      <c r="F320" s="32">
        <v>74</v>
      </c>
      <c r="G320" s="32">
        <v>5</v>
      </c>
      <c r="I320" s="34">
        <f t="shared" si="44"/>
        <v>0.62107027027027029</v>
      </c>
      <c r="J320" s="35">
        <f t="shared" si="45"/>
        <v>4.1149023208506783</v>
      </c>
      <c r="K320" s="35">
        <f t="shared" si="46"/>
        <v>3.9060736603615465</v>
      </c>
      <c r="L320" s="36"/>
      <c r="M320" s="35">
        <f t="shared" si="57"/>
        <v>0.17676123078548461</v>
      </c>
      <c r="N320" s="35">
        <f t="shared" si="48"/>
        <v>7.7777119658018412</v>
      </c>
      <c r="O320" s="37">
        <v>1181818</v>
      </c>
      <c r="P320" s="38">
        <v>9191840</v>
      </c>
      <c r="Q320" s="38">
        <v>8725360</v>
      </c>
      <c r="R320" s="39"/>
      <c r="S320" s="38">
        <v>394848</v>
      </c>
      <c r="T320" s="40">
        <v>70.285308000000001</v>
      </c>
      <c r="U320" s="40">
        <v>74.841785999999999</v>
      </c>
      <c r="V320" s="41"/>
      <c r="W320" s="41"/>
      <c r="X320" s="41"/>
      <c r="Y320" s="40">
        <v>81.525277000000003</v>
      </c>
      <c r="Z320" s="42"/>
      <c r="AA320" s="42"/>
      <c r="AC320" s="34">
        <f t="shared" si="49"/>
        <v>0.61267945945945945</v>
      </c>
      <c r="AD320" s="35">
        <f t="shared" si="50"/>
        <v>4.0593089870010335</v>
      </c>
      <c r="AE320" s="35">
        <f t="shared" si="51"/>
        <v>3.9060736603615465</v>
      </c>
      <c r="AF320" s="36"/>
      <c r="AG320" s="35">
        <f t="shared" si="58"/>
        <v>0.12249299733681679</v>
      </c>
      <c r="AH320" s="35">
        <f t="shared" si="53"/>
        <v>7.6726331804051044</v>
      </c>
      <c r="AI320" s="37">
        <v>1181818</v>
      </c>
      <c r="AJ320" s="38">
        <v>9067656</v>
      </c>
      <c r="AK320" s="38">
        <v>8725360</v>
      </c>
      <c r="AL320" s="39"/>
      <c r="AM320" s="38">
        <v>273624</v>
      </c>
      <c r="AN320" s="40">
        <v>70.285308000000001</v>
      </c>
      <c r="AO320" s="40">
        <v>74.841785999999999</v>
      </c>
      <c r="AP320" s="41"/>
      <c r="AQ320" s="41"/>
      <c r="AR320" s="41"/>
      <c r="AS320" s="40">
        <v>80.882811000000004</v>
      </c>
      <c r="AT320" s="42"/>
      <c r="AU320" s="42"/>
      <c r="AW320" s="43">
        <f t="shared" si="54"/>
        <v>1.300024410280165E-2</v>
      </c>
      <c r="AX320" s="43"/>
      <c r="AZ320" s="44"/>
      <c r="BA320" s="44"/>
      <c r="BB320" s="45"/>
      <c r="BC320" s="45"/>
      <c r="BD320" s="45"/>
      <c r="BE320" s="44"/>
      <c r="BG320" s="44"/>
      <c r="BH320" s="44"/>
      <c r="BI320" s="45"/>
      <c r="BJ320" s="45"/>
      <c r="BK320" s="45"/>
      <c r="BL320" s="44"/>
    </row>
    <row r="321" spans="1:64" outlineLevel="1" x14ac:dyDescent="0.15">
      <c r="A321" s="16"/>
      <c r="B321" s="16" t="s">
        <v>389</v>
      </c>
      <c r="C321" s="17" t="s">
        <v>229</v>
      </c>
      <c r="D321" s="16">
        <v>2233793</v>
      </c>
      <c r="E321" s="18">
        <v>18</v>
      </c>
      <c r="F321" s="17">
        <v>74</v>
      </c>
      <c r="G321" s="17">
        <v>5</v>
      </c>
      <c r="I321" s="19">
        <f t="shared" si="44"/>
        <v>1.0898843243243244</v>
      </c>
      <c r="J321" s="20">
        <f t="shared" si="45"/>
        <v>7.2210307759044818</v>
      </c>
      <c r="K321" s="20">
        <f t="shared" si="46"/>
        <v>6.686005372923991</v>
      </c>
      <c r="L321" s="21"/>
      <c r="M321" s="20">
        <f t="shared" si="57"/>
        <v>0.50189789295606169</v>
      </c>
      <c r="N321" s="20">
        <f t="shared" si="48"/>
        <v>9.6800526662277822</v>
      </c>
      <c r="O321" s="22">
        <v>1666343</v>
      </c>
      <c r="P321" s="23">
        <v>16130288</v>
      </c>
      <c r="Q321" s="23">
        <v>14935152</v>
      </c>
      <c r="R321" s="24"/>
      <c r="S321" s="23">
        <v>1121136</v>
      </c>
      <c r="T321" s="25">
        <v>82.160497000000007</v>
      </c>
      <c r="U321" s="25">
        <v>86.919047000000006</v>
      </c>
      <c r="V321" s="26"/>
      <c r="W321" s="26"/>
      <c r="X321" s="26"/>
      <c r="Y321" s="25">
        <v>85.184562</v>
      </c>
      <c r="Z321" s="27"/>
      <c r="AA321" s="27"/>
      <c r="AC321" s="19">
        <f t="shared" si="49"/>
        <v>1.0735508108108109</v>
      </c>
      <c r="AD321" s="20">
        <f t="shared" si="50"/>
        <v>7.1128130493738677</v>
      </c>
      <c r="AE321" s="20">
        <f t="shared" si="51"/>
        <v>6.686005372923991</v>
      </c>
      <c r="AF321" s="21"/>
      <c r="AG321" s="20">
        <f t="shared" si="58"/>
        <v>0.39500526682642484</v>
      </c>
      <c r="AH321" s="20">
        <f t="shared" si="53"/>
        <v>9.5349828936779524</v>
      </c>
      <c r="AI321" s="22">
        <v>1666343</v>
      </c>
      <c r="AJ321" s="23">
        <v>15888552</v>
      </c>
      <c r="AK321" s="23">
        <v>14935152</v>
      </c>
      <c r="AL321" s="24"/>
      <c r="AM321" s="23">
        <v>882360</v>
      </c>
      <c r="AN321" s="25">
        <v>82.160497000000007</v>
      </c>
      <c r="AO321" s="25">
        <v>86.919047000000006</v>
      </c>
      <c r="AP321" s="26"/>
      <c r="AQ321" s="26"/>
      <c r="AR321" s="26"/>
      <c r="AS321" s="25">
        <v>84.567319999999995</v>
      </c>
      <c r="AT321" s="27"/>
      <c r="AU321" s="27"/>
      <c r="AW321" s="28">
        <f t="shared" si="54"/>
        <v>1.4087195353628346E-2</v>
      </c>
      <c r="AX321" s="28"/>
      <c r="AZ321" s="29"/>
      <c r="BA321" s="29"/>
      <c r="BB321" s="30"/>
      <c r="BC321" s="30"/>
      <c r="BD321" s="30"/>
      <c r="BE321" s="29"/>
      <c r="BG321" s="29"/>
      <c r="BH321" s="29"/>
      <c r="BI321" s="30"/>
      <c r="BJ321" s="30"/>
      <c r="BK321" s="30"/>
      <c r="BL321" s="29"/>
    </row>
    <row r="322" spans="1:64" outlineLevel="1" x14ac:dyDescent="0.15">
      <c r="A322" s="31"/>
      <c r="B322" s="46" t="s">
        <v>389</v>
      </c>
      <c r="C322" s="47" t="s">
        <v>230</v>
      </c>
      <c r="D322" s="46">
        <v>2233793</v>
      </c>
      <c r="E322" s="48">
        <v>18</v>
      </c>
      <c r="F322" s="47">
        <v>74</v>
      </c>
      <c r="G322" s="47">
        <v>5</v>
      </c>
      <c r="I322" s="49">
        <f t="shared" si="44"/>
        <v>1.4029416216216215</v>
      </c>
      <c r="J322" s="50">
        <f t="shared" si="45"/>
        <v>9.2951925267918742</v>
      </c>
      <c r="K322" s="50">
        <f t="shared" si="46"/>
        <v>8.2952753455669352</v>
      </c>
      <c r="L322" s="51"/>
      <c r="M322" s="50">
        <f t="shared" si="57"/>
        <v>0.96599461095992334</v>
      </c>
      <c r="N322" s="50">
        <f t="shared" si="48"/>
        <v>11.306270426504877</v>
      </c>
      <c r="O322" s="52">
        <v>1836462</v>
      </c>
      <c r="P322" s="53">
        <v>20763536</v>
      </c>
      <c r="Q322" s="53">
        <v>18529928</v>
      </c>
      <c r="R322" s="54"/>
      <c r="S322" s="53">
        <v>2157832</v>
      </c>
      <c r="T322" s="55">
        <v>87.789834999999997</v>
      </c>
      <c r="U322" s="55">
        <v>92.827792000000002</v>
      </c>
      <c r="V322" s="56"/>
      <c r="W322" s="56"/>
      <c r="X322" s="56"/>
      <c r="Y322" s="55">
        <v>88.673756999999995</v>
      </c>
      <c r="Z322" s="57"/>
      <c r="AA322" s="57"/>
      <c r="AC322" s="49">
        <f t="shared" si="49"/>
        <v>1.3781210810810811</v>
      </c>
      <c r="AD322" s="50">
        <f t="shared" si="50"/>
        <v>9.1307439856781709</v>
      </c>
      <c r="AE322" s="50">
        <f t="shared" si="51"/>
        <v>8.2952753455669352</v>
      </c>
      <c r="AF322" s="51"/>
      <c r="AG322" s="50">
        <f t="shared" si="58"/>
        <v>0.80287117024719834</v>
      </c>
      <c r="AH322" s="50">
        <f t="shared" si="53"/>
        <v>11.106242329000001</v>
      </c>
      <c r="AI322" s="52">
        <v>1836462</v>
      </c>
      <c r="AJ322" s="53">
        <v>20396192</v>
      </c>
      <c r="AK322" s="53">
        <v>18529928</v>
      </c>
      <c r="AL322" s="54"/>
      <c r="AM322" s="53">
        <v>1793448</v>
      </c>
      <c r="AN322" s="55">
        <v>87.789834999999997</v>
      </c>
      <c r="AO322" s="55">
        <v>92.827792000000002</v>
      </c>
      <c r="AP322" s="56"/>
      <c r="AQ322" s="56"/>
      <c r="AR322" s="56"/>
      <c r="AS322" s="55">
        <v>87.986191000000005</v>
      </c>
      <c r="AT322" s="57"/>
      <c r="AU322" s="57"/>
      <c r="AW322" s="58">
        <f t="shared" si="54"/>
        <v>1.6072975243448306E-2</v>
      </c>
      <c r="AX322" s="58"/>
      <c r="AZ322" s="59"/>
      <c r="BA322" s="59"/>
      <c r="BB322" s="60"/>
      <c r="BC322" s="60"/>
      <c r="BD322" s="60"/>
      <c r="BE322" s="59"/>
      <c r="BG322" s="59"/>
      <c r="BH322" s="59"/>
      <c r="BI322" s="60"/>
      <c r="BJ322" s="60"/>
      <c r="BK322" s="60"/>
      <c r="BL322" s="59"/>
    </row>
    <row r="323" spans="1:64" collapsed="1" x14ac:dyDescent="0.15">
      <c r="A323" s="16"/>
      <c r="B323" s="16" t="s">
        <v>392</v>
      </c>
      <c r="C323" s="17" t="s">
        <v>225</v>
      </c>
      <c r="D323" s="16">
        <v>2016190</v>
      </c>
      <c r="E323" s="18">
        <v>18</v>
      </c>
      <c r="F323" s="17">
        <v>74</v>
      </c>
      <c r="G323" s="17">
        <v>5</v>
      </c>
      <c r="I323" s="19">
        <f t="shared" si="44"/>
        <v>0.11057405405405406</v>
      </c>
      <c r="J323" s="20">
        <f t="shared" si="45"/>
        <v>0.81167747087328079</v>
      </c>
      <c r="K323" s="20">
        <f t="shared" si="46"/>
        <v>0.76789985070851452</v>
      </c>
      <c r="L323" s="21"/>
      <c r="M323" s="20">
        <f t="shared" si="57"/>
        <v>1.0598207510204891E-2</v>
      </c>
      <c r="N323" s="20">
        <f t="shared" si="48"/>
        <v>5.6634977764703844</v>
      </c>
      <c r="O323" s="22">
        <v>288955</v>
      </c>
      <c r="P323" s="23">
        <v>1636496</v>
      </c>
      <c r="Q323" s="23">
        <v>1548232</v>
      </c>
      <c r="R323" s="24"/>
      <c r="S323" s="23">
        <v>21368</v>
      </c>
      <c r="T323" s="25">
        <v>46.155996000000002</v>
      </c>
      <c r="U323" s="25">
        <v>51.175714999999997</v>
      </c>
      <c r="V323" s="26"/>
      <c r="W323" s="26"/>
      <c r="X323" s="26"/>
      <c r="Y323" s="25">
        <v>74.409115</v>
      </c>
      <c r="Z323" s="27"/>
      <c r="AA323" s="27"/>
      <c r="AC323" s="19">
        <f t="shared" si="49"/>
        <v>0.10989135135135135</v>
      </c>
      <c r="AD323" s="20">
        <f t="shared" si="50"/>
        <v>0.8066660384189982</v>
      </c>
      <c r="AE323" s="20">
        <f t="shared" si="51"/>
        <v>0.76789985070851452</v>
      </c>
      <c r="AF323" s="21"/>
      <c r="AG323" s="20">
        <f t="shared" si="58"/>
        <v>6.7612675392696121E-3</v>
      </c>
      <c r="AH323" s="20">
        <f t="shared" si="53"/>
        <v>5.6285303940059874</v>
      </c>
      <c r="AI323" s="22">
        <v>288955</v>
      </c>
      <c r="AJ323" s="23">
        <v>1626392</v>
      </c>
      <c r="AK323" s="23">
        <v>1548232</v>
      </c>
      <c r="AL323" s="24"/>
      <c r="AM323" s="23">
        <v>13632</v>
      </c>
      <c r="AN323" s="25">
        <v>46.155996000000002</v>
      </c>
      <c r="AO323" s="25">
        <v>51.175714999999997</v>
      </c>
      <c r="AP323" s="26"/>
      <c r="AQ323" s="26"/>
      <c r="AR323" s="26"/>
      <c r="AS323" s="25">
        <v>73.557028000000003</v>
      </c>
      <c r="AT323" s="27"/>
      <c r="AU323" s="27"/>
      <c r="AW323" s="28">
        <f t="shared" si="54"/>
        <v>5.8774534689515212E-3</v>
      </c>
      <c r="AX323" s="28">
        <f t="array" ref="AX323">AVERAGE(AK323:AK328/AJ323:AJ328) - AVERAGE(Q323:Q328/P323:P328)</f>
        <v>6.6393753759407259E-3</v>
      </c>
      <c r="AZ323" s="29">
        <f>IF( OR(ISBLANK(Q323:Q328),ISBLANK(AK323:AK328), ISBLANK(T323:T328),ISBLANK(AN323:AN328)), "·", bdRateExtend( Q323:Q328,T323:T328, AK323:AK328,AN323:AN328))</f>
        <v>0</v>
      </c>
      <c r="BA323" s="29">
        <f>IF( OR(ISBLANK(Q323:Q328),ISBLANK(AK323:AK328), ISBLANK(U323:U328),ISBLANK(AO323:AO328)), "·", bdRateExtend( Q323:Q328,U323:U328, AK323:AK328,AO323:AO328))</f>
        <v>0</v>
      </c>
      <c r="BB323" s="30"/>
      <c r="BC323" s="30"/>
      <c r="BD323" s="30"/>
      <c r="BE323" s="29">
        <f>IF( OR(ISBLANK(S323:S328),ISBLANK(AM323:AM328), ISBLANK(Y323:Y328),ISBLANK(AS323:AS328)), "·", bdRateExtend( S323:S328,Y323:Y328, AM323:AM328,AS323:AS328))</f>
        <v>-5.5777155938771306E-2</v>
      </c>
      <c r="BG323" s="29">
        <f>IF( OR(ISBLANK(P323:P328),ISBLANK(AJ323:AJ328), ISBLANK(T323:T328),ISBLANK(AN323:AN328)), "·", bdRateExtend( P323:P328,T323:T328, AJ323:AJ328,AN323:AN328))</f>
        <v>-6.6934675869227966E-3</v>
      </c>
      <c r="BH323" s="29">
        <f>IF( OR(ISBLANK(P323:P328),ISBLANK(AJ323:AJ328), ISBLANK(U323:U328),ISBLANK(AO323:AO328)), "·", bdRateExtend( P323:P328,U323:U328, AJ323:AJ328,AO323:AO328))</f>
        <v>-6.6967590696090928E-3</v>
      </c>
      <c r="BI323" s="30"/>
      <c r="BJ323" s="30"/>
      <c r="BK323" s="30"/>
      <c r="BL323" s="29">
        <f>IF( OR(ISBLANK(P323:P328),ISBLANK(AJ323:AJ328), ISBLANK(Y323:Y328),ISBLANK(AS323:AS328)), "·", bdRateExtend( P323:P328,Y323:Y328, AJ323:AJ328,AS323:AS328))</f>
        <v>0.11287421030335754</v>
      </c>
    </row>
    <row r="324" spans="1:64" outlineLevel="1" x14ac:dyDescent="0.15">
      <c r="A324" s="31"/>
      <c r="B324" s="31" t="s">
        <v>392</v>
      </c>
      <c r="C324" s="32" t="s">
        <v>226</v>
      </c>
      <c r="D324" s="31">
        <v>2016190</v>
      </c>
      <c r="E324" s="33">
        <v>18</v>
      </c>
      <c r="F324" s="32">
        <v>74</v>
      </c>
      <c r="G324" s="32">
        <v>5</v>
      </c>
      <c r="I324" s="34">
        <f t="shared" si="44"/>
        <v>0.17806</v>
      </c>
      <c r="J324" s="35">
        <f t="shared" si="45"/>
        <v>1.3070633224051305</v>
      </c>
      <c r="K324" s="35">
        <f t="shared" si="46"/>
        <v>1.2501639230429671</v>
      </c>
      <c r="L324" s="36"/>
      <c r="M324" s="35">
        <f t="shared" si="57"/>
        <v>2.2839117345091486E-2</v>
      </c>
      <c r="N324" s="35">
        <f t="shared" si="48"/>
        <v>6.192750925873705</v>
      </c>
      <c r="O324" s="37">
        <v>425544</v>
      </c>
      <c r="P324" s="38">
        <v>2635288</v>
      </c>
      <c r="Q324" s="38">
        <v>2520568</v>
      </c>
      <c r="R324" s="39"/>
      <c r="S324" s="38">
        <v>46048</v>
      </c>
      <c r="T324" s="40">
        <v>52.271265</v>
      </c>
      <c r="U324" s="40">
        <v>56.874403000000001</v>
      </c>
      <c r="V324" s="41"/>
      <c r="W324" s="41"/>
      <c r="X324" s="41"/>
      <c r="Y324" s="40">
        <v>76.720585999999997</v>
      </c>
      <c r="Z324" s="42"/>
      <c r="AA324" s="42"/>
      <c r="AC324" s="34">
        <f t="shared" si="49"/>
        <v>0.17680162162162164</v>
      </c>
      <c r="AD324" s="35">
        <f t="shared" si="50"/>
        <v>1.2978260977388043</v>
      </c>
      <c r="AE324" s="35">
        <f t="shared" si="51"/>
        <v>1.2501639230429671</v>
      </c>
      <c r="AF324" s="36"/>
      <c r="AG324" s="35">
        <f t="shared" si="58"/>
        <v>1.5070008282949524E-2</v>
      </c>
      <c r="AH324" s="35">
        <f t="shared" si="53"/>
        <v>6.1489857688041658</v>
      </c>
      <c r="AI324" s="37">
        <v>425544</v>
      </c>
      <c r="AJ324" s="38">
        <v>2616664</v>
      </c>
      <c r="AK324" s="38">
        <v>2520568</v>
      </c>
      <c r="AL324" s="39"/>
      <c r="AM324" s="38">
        <v>30384</v>
      </c>
      <c r="AN324" s="40">
        <v>52.271265</v>
      </c>
      <c r="AO324" s="40">
        <v>56.874403000000001</v>
      </c>
      <c r="AP324" s="41"/>
      <c r="AQ324" s="41"/>
      <c r="AR324" s="41"/>
      <c r="AS324" s="40">
        <v>75.815648999999993</v>
      </c>
      <c r="AT324" s="42"/>
      <c r="AU324" s="42"/>
      <c r="AW324" s="43">
        <f t="shared" si="54"/>
        <v>6.8076205005087598E-3</v>
      </c>
      <c r="AX324" s="43"/>
      <c r="AZ324" s="44"/>
      <c r="BA324" s="44"/>
      <c r="BB324" s="45"/>
      <c r="BC324" s="45"/>
      <c r="BD324" s="45"/>
      <c r="BE324" s="44"/>
      <c r="BG324" s="44"/>
      <c r="BH324" s="44"/>
      <c r="BI324" s="45"/>
      <c r="BJ324" s="45"/>
      <c r="BK324" s="45"/>
      <c r="BL324" s="44"/>
    </row>
    <row r="325" spans="1:64" outlineLevel="1" x14ac:dyDescent="0.15">
      <c r="A325" s="16"/>
      <c r="B325" s="16" t="s">
        <v>392</v>
      </c>
      <c r="C325" s="17" t="s">
        <v>227</v>
      </c>
      <c r="D325" s="16">
        <v>2016190</v>
      </c>
      <c r="E325" s="18">
        <v>18</v>
      </c>
      <c r="F325" s="17">
        <v>74</v>
      </c>
      <c r="G325" s="17">
        <v>5</v>
      </c>
      <c r="I325" s="19">
        <f t="shared" ref="I325:I340" si="59">IF(OR(ISBLANK(P325),ISBLANK(G325)),"·",P325*G325/F325/1000000)</f>
        <v>0.37721837837837841</v>
      </c>
      <c r="J325" s="20">
        <f t="shared" ref="J325:J340" si="60">IF(ISBLANK(P325),"·",P325/D325)</f>
        <v>2.7690009374116529</v>
      </c>
      <c r="K325" s="20">
        <f t="shared" ref="K325:K340" si="61">IF(Q325="","·",Q325/D325)</f>
        <v>2.6698515516890771</v>
      </c>
      <c r="L325" s="21"/>
      <c r="M325" s="20">
        <f t="shared" si="57"/>
        <v>6.420823434299347E-2</v>
      </c>
      <c r="N325" s="20">
        <f t="shared" ref="N325:N340" si="62">IF(ISBLANK(P325),"·",P325/O325)</f>
        <v>7.3284265658534666</v>
      </c>
      <c r="O325" s="22">
        <v>761805</v>
      </c>
      <c r="P325" s="23">
        <v>5582832</v>
      </c>
      <c r="Q325" s="23">
        <v>5382928</v>
      </c>
      <c r="R325" s="24"/>
      <c r="S325" s="23">
        <v>129456</v>
      </c>
      <c r="T325" s="25">
        <v>64.196287999999996</v>
      </c>
      <c r="U325" s="25">
        <v>68.721816000000004</v>
      </c>
      <c r="V325" s="26"/>
      <c r="W325" s="26"/>
      <c r="X325" s="26"/>
      <c r="Y325" s="25">
        <v>80.091285999999997</v>
      </c>
      <c r="Z325" s="27"/>
      <c r="AA325" s="27"/>
      <c r="AC325" s="19">
        <f t="shared" ref="AC325:AC340" si="63">IF(OR(ISBLANK(AJ325),ISBLANK(G325)),"·",AJ325*G325/F325/1000000)</f>
        <v>0.37476162162162158</v>
      </c>
      <c r="AD325" s="20">
        <f t="shared" ref="AD325:AD340" si="64">IF(ISBLANK(AJ325),"·",AJ325/D325)</f>
        <v>2.7509669227602558</v>
      </c>
      <c r="AE325" s="20">
        <f t="shared" ref="AE325:AE340" si="65">IF(AK325="","·",AK325/D325)</f>
        <v>2.6698515516890771</v>
      </c>
      <c r="AF325" s="21"/>
      <c r="AG325" s="20">
        <f t="shared" si="58"/>
        <v>4.7642335295780658E-2</v>
      </c>
      <c r="AH325" s="20">
        <f t="shared" ref="AH325:AH340" si="66">IF(ISBLANK(AJ325),"·",AJ325/AI325)</f>
        <v>7.2806978163703313</v>
      </c>
      <c r="AI325" s="22">
        <v>761805</v>
      </c>
      <c r="AJ325" s="23">
        <v>5546472</v>
      </c>
      <c r="AK325" s="23">
        <v>5382928</v>
      </c>
      <c r="AL325" s="24"/>
      <c r="AM325" s="23">
        <v>96056</v>
      </c>
      <c r="AN325" s="25">
        <v>64.196287999999996</v>
      </c>
      <c r="AO325" s="25">
        <v>68.721816000000004</v>
      </c>
      <c r="AP325" s="26"/>
      <c r="AQ325" s="26"/>
      <c r="AR325" s="26"/>
      <c r="AS325" s="25">
        <v>79.241045</v>
      </c>
      <c r="AT325" s="27"/>
      <c r="AU325" s="27"/>
      <c r="AW325" s="28">
        <f t="shared" ref="AW325:AW340" si="67">(AK325/AJ325) - (Q325/P325)</f>
        <v>6.3207856293557851E-3</v>
      </c>
      <c r="AX325" s="28"/>
      <c r="AZ325" s="29"/>
      <c r="BA325" s="29"/>
      <c r="BB325" s="30"/>
      <c r="BC325" s="30"/>
      <c r="BD325" s="30"/>
      <c r="BE325" s="29"/>
      <c r="BG325" s="29"/>
      <c r="BH325" s="29"/>
      <c r="BI325" s="30"/>
      <c r="BJ325" s="30"/>
      <c r="BK325" s="30"/>
      <c r="BL325" s="29"/>
    </row>
    <row r="326" spans="1:64" outlineLevel="1" x14ac:dyDescent="0.15">
      <c r="A326" s="31"/>
      <c r="B326" s="31" t="s">
        <v>392</v>
      </c>
      <c r="C326" s="32" t="s">
        <v>228</v>
      </c>
      <c r="D326" s="31">
        <v>2016190</v>
      </c>
      <c r="E326" s="33">
        <v>18</v>
      </c>
      <c r="F326" s="32">
        <v>74</v>
      </c>
      <c r="G326" s="32">
        <v>5</v>
      </c>
      <c r="I326" s="34">
        <f t="shared" si="59"/>
        <v>0.520352972972973</v>
      </c>
      <c r="J326" s="35">
        <f t="shared" si="60"/>
        <v>3.8196915965261211</v>
      </c>
      <c r="K326" s="35">
        <f t="shared" si="61"/>
        <v>3.6426646298215943</v>
      </c>
      <c r="L326" s="36"/>
      <c r="M326" s="35">
        <f t="shared" si="57"/>
        <v>0.14149856908327091</v>
      </c>
      <c r="N326" s="35">
        <f t="shared" si="62"/>
        <v>7.8993637407081829</v>
      </c>
      <c r="O326" s="37">
        <v>974917</v>
      </c>
      <c r="P326" s="38">
        <v>7701224</v>
      </c>
      <c r="Q326" s="38">
        <v>7344304</v>
      </c>
      <c r="R326" s="39"/>
      <c r="S326" s="38">
        <v>285288</v>
      </c>
      <c r="T326" s="40">
        <v>70.253810999999999</v>
      </c>
      <c r="U326" s="40">
        <v>74.780096999999998</v>
      </c>
      <c r="V326" s="41"/>
      <c r="W326" s="41"/>
      <c r="X326" s="41"/>
      <c r="Y326" s="40">
        <v>82.752163999999993</v>
      </c>
      <c r="Z326" s="42"/>
      <c r="AA326" s="42"/>
      <c r="AC326" s="34">
        <f t="shared" si="63"/>
        <v>0.51678378378378376</v>
      </c>
      <c r="AD326" s="35">
        <f t="shared" si="64"/>
        <v>3.7934916848114515</v>
      </c>
      <c r="AE326" s="35">
        <f t="shared" si="65"/>
        <v>3.6426646298215943</v>
      </c>
      <c r="AF326" s="36"/>
      <c r="AG326" s="35">
        <f t="shared" si="58"/>
        <v>0.1167667729727853</v>
      </c>
      <c r="AH326" s="35">
        <f t="shared" si="66"/>
        <v>7.8451806666618795</v>
      </c>
      <c r="AI326" s="37">
        <v>974917</v>
      </c>
      <c r="AJ326" s="38">
        <v>7648400</v>
      </c>
      <c r="AK326" s="38">
        <v>7344304</v>
      </c>
      <c r="AL326" s="39"/>
      <c r="AM326" s="38">
        <v>235424</v>
      </c>
      <c r="AN326" s="40">
        <v>70.253810999999999</v>
      </c>
      <c r="AO326" s="40">
        <v>74.780096999999998</v>
      </c>
      <c r="AP326" s="41"/>
      <c r="AQ326" s="41"/>
      <c r="AR326" s="41"/>
      <c r="AS326" s="40">
        <v>82.153476999999995</v>
      </c>
      <c r="AT326" s="42"/>
      <c r="AU326" s="42"/>
      <c r="AW326" s="43">
        <f t="shared" si="67"/>
        <v>6.5864527558583408E-3</v>
      </c>
      <c r="AX326" s="43"/>
      <c r="AZ326" s="44"/>
      <c r="BA326" s="44"/>
      <c r="BB326" s="45"/>
      <c r="BC326" s="45"/>
      <c r="BD326" s="45"/>
      <c r="BE326" s="44"/>
      <c r="BG326" s="44"/>
      <c r="BH326" s="44"/>
      <c r="BI326" s="45"/>
      <c r="BJ326" s="45"/>
      <c r="BK326" s="45"/>
      <c r="BL326" s="44"/>
    </row>
    <row r="327" spans="1:64" outlineLevel="1" x14ac:dyDescent="0.15">
      <c r="A327" s="16"/>
      <c r="B327" s="16" t="s">
        <v>392</v>
      </c>
      <c r="C327" s="17" t="s">
        <v>229</v>
      </c>
      <c r="D327" s="16">
        <v>2016190</v>
      </c>
      <c r="E327" s="18">
        <v>18</v>
      </c>
      <c r="F327" s="17">
        <v>74</v>
      </c>
      <c r="G327" s="17">
        <v>5</v>
      </c>
      <c r="I327" s="19">
        <f t="shared" si="59"/>
        <v>0.90109945945945946</v>
      </c>
      <c r="J327" s="20">
        <f t="shared" si="60"/>
        <v>6.6145908867715839</v>
      </c>
      <c r="K327" s="20">
        <f t="shared" si="61"/>
        <v>6.2626994479686937</v>
      </c>
      <c r="L327" s="21"/>
      <c r="M327" s="20">
        <f t="shared" si="57"/>
        <v>0.31518854869828739</v>
      </c>
      <c r="N327" s="20">
        <f t="shared" si="62"/>
        <v>9.3863403942942689</v>
      </c>
      <c r="O327" s="22">
        <v>1420817</v>
      </c>
      <c r="P327" s="23">
        <v>13336272</v>
      </c>
      <c r="Q327" s="23">
        <v>12626792</v>
      </c>
      <c r="R327" s="24"/>
      <c r="S327" s="23">
        <v>635480</v>
      </c>
      <c r="T327" s="25">
        <v>82.146073000000001</v>
      </c>
      <c r="U327" s="25">
        <v>86.872185999999999</v>
      </c>
      <c r="V327" s="26"/>
      <c r="W327" s="26"/>
      <c r="X327" s="26"/>
      <c r="Y327" s="25">
        <v>86.392307000000002</v>
      </c>
      <c r="Z327" s="27"/>
      <c r="AA327" s="27"/>
      <c r="AC327" s="19">
        <f t="shared" si="63"/>
        <v>0.89553729729729725</v>
      </c>
      <c r="AD327" s="20">
        <f t="shared" si="64"/>
        <v>6.5737614014552204</v>
      </c>
      <c r="AE327" s="20">
        <f t="shared" si="65"/>
        <v>6.2626994479686937</v>
      </c>
      <c r="AF327" s="21"/>
      <c r="AG327" s="20">
        <f t="shared" si="58"/>
        <v>0.27582717898610748</v>
      </c>
      <c r="AH327" s="20">
        <f t="shared" si="66"/>
        <v>9.3284018983444028</v>
      </c>
      <c r="AI327" s="22">
        <v>1420817</v>
      </c>
      <c r="AJ327" s="23">
        <v>13253952</v>
      </c>
      <c r="AK327" s="23">
        <v>12626792</v>
      </c>
      <c r="AL327" s="24"/>
      <c r="AM327" s="23">
        <v>556120</v>
      </c>
      <c r="AN327" s="25">
        <v>82.146073000000001</v>
      </c>
      <c r="AO327" s="25">
        <v>86.872185999999999</v>
      </c>
      <c r="AP327" s="26"/>
      <c r="AQ327" s="26"/>
      <c r="AR327" s="26"/>
      <c r="AS327" s="25">
        <v>85.952945</v>
      </c>
      <c r="AT327" s="27"/>
      <c r="AU327" s="27"/>
      <c r="AW327" s="28">
        <f t="shared" si="67"/>
        <v>5.8805581680010377E-3</v>
      </c>
      <c r="AX327" s="28"/>
      <c r="AZ327" s="29"/>
      <c r="BA327" s="29"/>
      <c r="BB327" s="30"/>
      <c r="BC327" s="30"/>
      <c r="BD327" s="30"/>
      <c r="BE327" s="29"/>
      <c r="BG327" s="29"/>
      <c r="BH327" s="29"/>
      <c r="BI327" s="30"/>
      <c r="BJ327" s="30"/>
      <c r="BK327" s="30"/>
      <c r="BL327" s="29"/>
    </row>
    <row r="328" spans="1:64" outlineLevel="1" x14ac:dyDescent="0.15">
      <c r="A328" s="31"/>
      <c r="B328" s="46" t="s">
        <v>392</v>
      </c>
      <c r="C328" s="47" t="s">
        <v>230</v>
      </c>
      <c r="D328" s="46">
        <v>2016190</v>
      </c>
      <c r="E328" s="48">
        <v>18</v>
      </c>
      <c r="F328" s="47">
        <v>74</v>
      </c>
      <c r="G328" s="47">
        <v>5</v>
      </c>
      <c r="I328" s="49">
        <f t="shared" si="59"/>
        <v>1.1485962162162164</v>
      </c>
      <c r="J328" s="50">
        <f t="shared" si="60"/>
        <v>8.4313601396693763</v>
      </c>
      <c r="K328" s="50">
        <f t="shared" si="61"/>
        <v>7.8281074700301065</v>
      </c>
      <c r="L328" s="51"/>
      <c r="M328" s="50">
        <f t="shared" si="57"/>
        <v>0.56566891017215637</v>
      </c>
      <c r="N328" s="50">
        <f t="shared" si="62"/>
        <v>10.666400621942289</v>
      </c>
      <c r="O328" s="52">
        <v>1593717</v>
      </c>
      <c r="P328" s="53">
        <v>16999224</v>
      </c>
      <c r="Q328" s="53">
        <v>15782952</v>
      </c>
      <c r="R328" s="54"/>
      <c r="S328" s="53">
        <v>1140496</v>
      </c>
      <c r="T328" s="55">
        <v>87.797380000000004</v>
      </c>
      <c r="U328" s="55">
        <v>92.849487999999994</v>
      </c>
      <c r="V328" s="56"/>
      <c r="W328" s="56"/>
      <c r="X328" s="56"/>
      <c r="Y328" s="55">
        <v>89.133465999999999</v>
      </c>
      <c r="Z328" s="57"/>
      <c r="AA328" s="57"/>
      <c r="AC328" s="49">
        <f t="shared" si="63"/>
        <v>1.1383421621621621</v>
      </c>
      <c r="AD328" s="50">
        <f t="shared" si="64"/>
        <v>8.3560894558548551</v>
      </c>
      <c r="AE328" s="50">
        <f t="shared" si="65"/>
        <v>7.8281074700301065</v>
      </c>
      <c r="AF328" s="51"/>
      <c r="AG328" s="50">
        <f t="shared" si="58"/>
        <v>0.49186634196181905</v>
      </c>
      <c r="AH328" s="50">
        <f t="shared" si="66"/>
        <v>10.571176689462433</v>
      </c>
      <c r="AI328" s="52">
        <v>1593717</v>
      </c>
      <c r="AJ328" s="53">
        <v>16847464</v>
      </c>
      <c r="AK328" s="53">
        <v>15782952</v>
      </c>
      <c r="AL328" s="54"/>
      <c r="AM328" s="53">
        <v>991696</v>
      </c>
      <c r="AN328" s="55">
        <v>87.797380000000004</v>
      </c>
      <c r="AO328" s="55">
        <v>92.849487999999994</v>
      </c>
      <c r="AP328" s="56"/>
      <c r="AQ328" s="56"/>
      <c r="AR328" s="56"/>
      <c r="AS328" s="55">
        <v>88.718942999999996</v>
      </c>
      <c r="AT328" s="57"/>
      <c r="AU328" s="57"/>
      <c r="AW328" s="58">
        <f t="shared" si="67"/>
        <v>8.3633817329685778E-3</v>
      </c>
      <c r="AX328" s="58"/>
      <c r="AZ328" s="59"/>
      <c r="BA328" s="59"/>
      <c r="BB328" s="60"/>
      <c r="BC328" s="60"/>
      <c r="BD328" s="60"/>
      <c r="BE328" s="59"/>
      <c r="BG328" s="59"/>
      <c r="BH328" s="59"/>
      <c r="BI328" s="60"/>
      <c r="BJ328" s="60"/>
      <c r="BK328" s="60"/>
      <c r="BL328" s="59"/>
    </row>
    <row r="329" spans="1:64" collapsed="1" x14ac:dyDescent="0.15">
      <c r="A329" s="16"/>
      <c r="B329" s="16" t="s">
        <v>395</v>
      </c>
      <c r="C329" s="17" t="s">
        <v>225</v>
      </c>
      <c r="D329" s="16">
        <v>14430189</v>
      </c>
      <c r="E329" s="18">
        <v>18</v>
      </c>
      <c r="F329" s="17">
        <v>500</v>
      </c>
      <c r="G329" s="17">
        <v>5</v>
      </c>
      <c r="I329" s="19">
        <f t="shared" si="59"/>
        <v>0.11510239999999999</v>
      </c>
      <c r="J329" s="20">
        <f t="shared" si="60"/>
        <v>0.79764998226980954</v>
      </c>
      <c r="K329" s="20">
        <f t="shared" si="61"/>
        <v>0.75758841412264244</v>
      </c>
      <c r="L329" s="21"/>
      <c r="M329" s="20">
        <f t="shared" si="57"/>
        <v>8.738347086098457E-3</v>
      </c>
      <c r="N329" s="20">
        <f t="shared" si="62"/>
        <v>5.0945368759765062</v>
      </c>
      <c r="O329" s="22">
        <v>2259330</v>
      </c>
      <c r="P329" s="23">
        <v>11510240</v>
      </c>
      <c r="Q329" s="23">
        <v>10932144</v>
      </c>
      <c r="R329" s="24"/>
      <c r="S329" s="23">
        <v>126096</v>
      </c>
      <c r="T329" s="25">
        <v>46.208264</v>
      </c>
      <c r="U329" s="25">
        <v>51.179693</v>
      </c>
      <c r="V329" s="26"/>
      <c r="W329" s="26"/>
      <c r="X329" s="26"/>
      <c r="Y329" s="25">
        <v>76.772568000000007</v>
      </c>
      <c r="Z329" s="27"/>
      <c r="AA329" s="27"/>
      <c r="AC329" s="19">
        <f t="shared" si="63"/>
        <v>0.11459808</v>
      </c>
      <c r="AD329" s="20">
        <f t="shared" si="64"/>
        <v>0.79415508695000459</v>
      </c>
      <c r="AE329" s="20">
        <f t="shared" si="65"/>
        <v>0.75758841412264244</v>
      </c>
      <c r="AF329" s="21"/>
      <c r="AG329" s="20">
        <f t="shared" si="58"/>
        <v>6.3522383525260826E-3</v>
      </c>
      <c r="AH329" s="20">
        <f t="shared" si="66"/>
        <v>5.072215214244931</v>
      </c>
      <c r="AI329" s="22">
        <v>2259330</v>
      </c>
      <c r="AJ329" s="23">
        <v>11459808</v>
      </c>
      <c r="AK329" s="23">
        <v>10932144</v>
      </c>
      <c r="AL329" s="24"/>
      <c r="AM329" s="23">
        <v>91664</v>
      </c>
      <c r="AN329" s="25">
        <v>46.208264</v>
      </c>
      <c r="AO329" s="25">
        <v>51.179693</v>
      </c>
      <c r="AP329" s="26"/>
      <c r="AQ329" s="26"/>
      <c r="AR329" s="26"/>
      <c r="AS329" s="25">
        <v>75.990247999999994</v>
      </c>
      <c r="AT329" s="27"/>
      <c r="AU329" s="27"/>
      <c r="AW329" s="28">
        <f t="shared" si="67"/>
        <v>4.1797452653802303E-3</v>
      </c>
      <c r="AX329" s="28">
        <f t="array" ref="AX329">AVERAGE(AK329:AK334/AJ329:AJ334) - AVERAGE(Q329:Q334/P329:P334)</f>
        <v>7.763277745152064E-3</v>
      </c>
      <c r="AZ329" s="29">
        <f>IF( OR(ISBLANK(Q329:Q334),ISBLANK(AK329:AK334), ISBLANK(T329:T334),ISBLANK(AN329:AN334)), "·", bdRateExtend( Q329:Q334,T329:T334, AK329:AK334,AN329:AN334))</f>
        <v>0</v>
      </c>
      <c r="BA329" s="29">
        <f>IF( OR(ISBLANK(Q329:Q334),ISBLANK(AK329:AK334), ISBLANK(U329:U334),ISBLANK(AO329:AO334)), "·", bdRateExtend( Q329:Q334,U329:U334, AK329:AK334,AO329:AO334))</f>
        <v>0</v>
      </c>
      <c r="BB329" s="30"/>
      <c r="BC329" s="30"/>
      <c r="BD329" s="30"/>
      <c r="BE329" s="29">
        <f>IF( OR(ISBLANK(S329:S334),ISBLANK(AM329:AM334), ISBLANK(Y329:Y334),ISBLANK(AS329:AS334)), "·", bdRateExtend( S329:S334,Y329:Y334, AM329:AM334,AS329:AS334))</f>
        <v>-0.1030381032141473</v>
      </c>
      <c r="BG329" s="29">
        <f>IF( OR(ISBLANK(P329:P334),ISBLANK(AJ329:AJ334), ISBLANK(T329:T334),ISBLANK(AN329:AN334)), "·", bdRateExtend( P329:P334,T329:T334, AJ329:AJ334,AN329:AN334))</f>
        <v>-7.714841206541867E-3</v>
      </c>
      <c r="BH329" s="29">
        <f>IF( OR(ISBLANK(P329:P334),ISBLANK(AJ329:AJ334), ISBLANK(U329:U334),ISBLANK(AO329:AO334)), "·", bdRateExtend( P329:P334,U329:U334, AJ329:AJ334,AO329:AO334))</f>
        <v>-7.7882995481349804E-3</v>
      </c>
      <c r="BI329" s="30"/>
      <c r="BJ329" s="30"/>
      <c r="BK329" s="30"/>
      <c r="BL329" s="29">
        <f>IF( OR(ISBLANK(P329:P334),ISBLANK(AJ329:AJ334), ISBLANK(Y329:Y334),ISBLANK(AS329:AS334)), "·", bdRateExtend( P329:P334,Y329:Y334, AJ329:AJ334,AS329:AS334))</f>
        <v>0.12435755652910241</v>
      </c>
    </row>
    <row r="330" spans="1:64" outlineLevel="1" x14ac:dyDescent="0.15">
      <c r="A330" s="31"/>
      <c r="B330" s="31" t="s">
        <v>395</v>
      </c>
      <c r="C330" s="32" t="s">
        <v>226</v>
      </c>
      <c r="D330" s="31">
        <v>14430189</v>
      </c>
      <c r="E330" s="33">
        <v>18</v>
      </c>
      <c r="F330" s="32">
        <v>500</v>
      </c>
      <c r="G330" s="32">
        <v>5</v>
      </c>
      <c r="I330" s="34">
        <f t="shared" si="59"/>
        <v>0.19687607999999998</v>
      </c>
      <c r="J330" s="35">
        <f t="shared" si="60"/>
        <v>1.3643347290877479</v>
      </c>
      <c r="K330" s="35">
        <f t="shared" si="61"/>
        <v>1.3161773556812042</v>
      </c>
      <c r="L330" s="36"/>
      <c r="M330" s="35">
        <f t="shared" si="57"/>
        <v>1.6002562405800783E-2</v>
      </c>
      <c r="N330" s="35">
        <f t="shared" si="62"/>
        <v>5.5845682666644727</v>
      </c>
      <c r="O330" s="37">
        <v>3525359</v>
      </c>
      <c r="P330" s="38">
        <v>19687608</v>
      </c>
      <c r="Q330" s="38">
        <v>18992688</v>
      </c>
      <c r="R330" s="39"/>
      <c r="S330" s="38">
        <v>230920</v>
      </c>
      <c r="T330" s="40">
        <v>52.317405000000001</v>
      </c>
      <c r="U330" s="40">
        <v>57.009101999999999</v>
      </c>
      <c r="V330" s="41"/>
      <c r="W330" s="41"/>
      <c r="X330" s="41"/>
      <c r="Y330" s="40">
        <v>78.618832999999995</v>
      </c>
      <c r="Z330" s="42"/>
      <c r="AA330" s="42"/>
      <c r="AC330" s="34">
        <f t="shared" si="63"/>
        <v>0.19591584000000001</v>
      </c>
      <c r="AD330" s="35">
        <f t="shared" si="64"/>
        <v>1.3576803463904734</v>
      </c>
      <c r="AE330" s="35">
        <f t="shared" si="65"/>
        <v>1.3161773556812042</v>
      </c>
      <c r="AF330" s="36"/>
      <c r="AG330" s="35">
        <f t="shared" si="58"/>
        <v>1.0734162941316985E-2</v>
      </c>
      <c r="AH330" s="35">
        <f t="shared" si="66"/>
        <v>5.5573301896345875</v>
      </c>
      <c r="AI330" s="37">
        <v>3525359</v>
      </c>
      <c r="AJ330" s="38">
        <v>19591584</v>
      </c>
      <c r="AK330" s="38">
        <v>18992688</v>
      </c>
      <c r="AL330" s="39"/>
      <c r="AM330" s="38">
        <v>154896</v>
      </c>
      <c r="AN330" s="40">
        <v>52.317405000000001</v>
      </c>
      <c r="AO330" s="40">
        <v>57.009101999999999</v>
      </c>
      <c r="AP330" s="41"/>
      <c r="AQ330" s="41"/>
      <c r="AR330" s="41"/>
      <c r="AS330" s="40">
        <v>77.866113999999996</v>
      </c>
      <c r="AT330" s="42"/>
      <c r="AU330" s="42"/>
      <c r="AW330" s="43">
        <f t="shared" si="67"/>
        <v>4.7282858377833969E-3</v>
      </c>
      <c r="AX330" s="43"/>
      <c r="AZ330" s="44"/>
      <c r="BA330" s="44"/>
      <c r="BB330" s="45"/>
      <c r="BC330" s="45"/>
      <c r="BD330" s="45"/>
      <c r="BE330" s="44"/>
      <c r="BG330" s="44"/>
      <c r="BH330" s="44"/>
      <c r="BI330" s="45"/>
      <c r="BJ330" s="45"/>
      <c r="BK330" s="45"/>
      <c r="BL330" s="44"/>
    </row>
    <row r="331" spans="1:64" outlineLevel="1" x14ac:dyDescent="0.15">
      <c r="A331" s="16"/>
      <c r="B331" s="16" t="s">
        <v>395</v>
      </c>
      <c r="C331" s="17" t="s">
        <v>227</v>
      </c>
      <c r="D331" s="16">
        <v>14430189</v>
      </c>
      <c r="E331" s="18">
        <v>18</v>
      </c>
      <c r="F331" s="17">
        <v>500</v>
      </c>
      <c r="G331" s="17">
        <v>5</v>
      </c>
      <c r="I331" s="19">
        <f t="shared" si="59"/>
        <v>0.44526920000000003</v>
      </c>
      <c r="J331" s="20">
        <f t="shared" si="60"/>
        <v>3.0856782263905207</v>
      </c>
      <c r="K331" s="20">
        <f t="shared" si="61"/>
        <v>3.0058982595446255</v>
      </c>
      <c r="L331" s="21"/>
      <c r="M331" s="20">
        <f t="shared" si="57"/>
        <v>4.6793565905477744E-2</v>
      </c>
      <c r="N331" s="20">
        <f t="shared" si="62"/>
        <v>7.093280623092145</v>
      </c>
      <c r="O331" s="22">
        <v>6277338</v>
      </c>
      <c r="P331" s="23">
        <v>44526920</v>
      </c>
      <c r="Q331" s="23">
        <v>43375680</v>
      </c>
      <c r="R331" s="24"/>
      <c r="S331" s="23">
        <v>675240</v>
      </c>
      <c r="T331" s="25">
        <v>64.173512000000002</v>
      </c>
      <c r="U331" s="25">
        <v>68.727024999999998</v>
      </c>
      <c r="V331" s="26"/>
      <c r="W331" s="26"/>
      <c r="X331" s="26"/>
      <c r="Y331" s="25">
        <v>81.324569999999994</v>
      </c>
      <c r="Z331" s="27"/>
      <c r="AA331" s="27"/>
      <c r="AC331" s="19">
        <f t="shared" si="63"/>
        <v>0.44285256000000001</v>
      </c>
      <c r="AD331" s="20">
        <f t="shared" si="64"/>
        <v>3.0689311137920647</v>
      </c>
      <c r="AE331" s="20">
        <f t="shared" si="65"/>
        <v>3.0058982595446255</v>
      </c>
      <c r="AF331" s="21"/>
      <c r="AG331" s="20">
        <f t="shared" si="58"/>
        <v>3.1432436539812474E-2</v>
      </c>
      <c r="AH331" s="20">
        <f t="shared" si="66"/>
        <v>7.0547827757562205</v>
      </c>
      <c r="AI331" s="22">
        <v>6277338</v>
      </c>
      <c r="AJ331" s="23">
        <v>44285256</v>
      </c>
      <c r="AK331" s="23">
        <v>43375680</v>
      </c>
      <c r="AL331" s="24"/>
      <c r="AM331" s="23">
        <v>453576</v>
      </c>
      <c r="AN331" s="25">
        <v>64.173512000000002</v>
      </c>
      <c r="AO331" s="25">
        <v>68.727024999999998</v>
      </c>
      <c r="AP331" s="26"/>
      <c r="AQ331" s="26"/>
      <c r="AR331" s="26"/>
      <c r="AS331" s="25">
        <v>80.567036000000002</v>
      </c>
      <c r="AT331" s="27"/>
      <c r="AU331" s="27"/>
      <c r="AW331" s="28">
        <f t="shared" si="67"/>
        <v>5.3158955740457703E-3</v>
      </c>
      <c r="AX331" s="28"/>
      <c r="AZ331" s="29"/>
      <c r="BA331" s="29"/>
      <c r="BB331" s="30"/>
      <c r="BC331" s="30"/>
      <c r="BD331" s="30"/>
      <c r="BE331" s="29"/>
      <c r="BG331" s="29"/>
      <c r="BH331" s="29"/>
      <c r="BI331" s="30"/>
      <c r="BJ331" s="30"/>
      <c r="BK331" s="30"/>
      <c r="BL331" s="29"/>
    </row>
    <row r="332" spans="1:64" outlineLevel="1" x14ac:dyDescent="0.15">
      <c r="A332" s="31"/>
      <c r="B332" s="31" t="s">
        <v>395</v>
      </c>
      <c r="C332" s="32" t="s">
        <v>228</v>
      </c>
      <c r="D332" s="31">
        <v>14430189</v>
      </c>
      <c r="E332" s="33">
        <v>18</v>
      </c>
      <c r="F332" s="32">
        <v>500</v>
      </c>
      <c r="G332" s="32">
        <v>5</v>
      </c>
      <c r="I332" s="34">
        <f t="shared" si="59"/>
        <v>0.61255872</v>
      </c>
      <c r="J332" s="35">
        <f t="shared" si="60"/>
        <v>4.2449805750984968</v>
      </c>
      <c r="K332" s="35">
        <f t="shared" si="61"/>
        <v>4.0882480472015992</v>
      </c>
      <c r="L332" s="36"/>
      <c r="M332" s="35">
        <f t="shared" si="57"/>
        <v>0.12319173366336367</v>
      </c>
      <c r="N332" s="35">
        <f t="shared" si="62"/>
        <v>7.8999427905520321</v>
      </c>
      <c r="O332" s="37">
        <v>7753964</v>
      </c>
      <c r="P332" s="38">
        <v>61255872</v>
      </c>
      <c r="Q332" s="38">
        <v>58994192</v>
      </c>
      <c r="R332" s="39"/>
      <c r="S332" s="38">
        <v>1777680</v>
      </c>
      <c r="T332" s="40">
        <v>70.246887999999998</v>
      </c>
      <c r="U332" s="40">
        <v>74.820518000000007</v>
      </c>
      <c r="V332" s="41"/>
      <c r="W332" s="41"/>
      <c r="X332" s="41"/>
      <c r="Y332" s="40">
        <v>83.712683999999996</v>
      </c>
      <c r="Z332" s="42"/>
      <c r="AA332" s="42"/>
      <c r="AC332" s="34">
        <f t="shared" si="63"/>
        <v>0.60680928000000001</v>
      </c>
      <c r="AD332" s="35">
        <f t="shared" si="64"/>
        <v>4.2051374379088173</v>
      </c>
      <c r="AE332" s="35">
        <f t="shared" si="65"/>
        <v>4.0882480472015992</v>
      </c>
      <c r="AF332" s="36"/>
      <c r="AG332" s="35">
        <f t="shared" si="58"/>
        <v>8.4734579706475091E-2</v>
      </c>
      <c r="AH332" s="35">
        <f t="shared" si="66"/>
        <v>7.8257943936804448</v>
      </c>
      <c r="AI332" s="37">
        <v>7753964</v>
      </c>
      <c r="AJ332" s="38">
        <v>60680928</v>
      </c>
      <c r="AK332" s="38">
        <v>58994192</v>
      </c>
      <c r="AL332" s="39"/>
      <c r="AM332" s="38">
        <v>1222736</v>
      </c>
      <c r="AN332" s="40">
        <v>70.246887999999998</v>
      </c>
      <c r="AO332" s="40">
        <v>74.820518000000007</v>
      </c>
      <c r="AP332" s="41"/>
      <c r="AQ332" s="41"/>
      <c r="AR332" s="41"/>
      <c r="AS332" s="40">
        <v>83.070347999999996</v>
      </c>
      <c r="AT332" s="42"/>
      <c r="AU332" s="42"/>
      <c r="AW332" s="43">
        <f t="shared" si="67"/>
        <v>9.1250418084808382E-3</v>
      </c>
      <c r="AX332" s="43"/>
      <c r="AZ332" s="44"/>
      <c r="BA332" s="44"/>
      <c r="BB332" s="45"/>
      <c r="BC332" s="45"/>
      <c r="BD332" s="45"/>
      <c r="BE332" s="44"/>
      <c r="BG332" s="44"/>
      <c r="BH332" s="44"/>
      <c r="BI332" s="45"/>
      <c r="BJ332" s="45"/>
      <c r="BK332" s="45"/>
      <c r="BL332" s="44"/>
    </row>
    <row r="333" spans="1:64" outlineLevel="1" x14ac:dyDescent="0.15">
      <c r="A333" s="16"/>
      <c r="B333" s="16" t="s">
        <v>395</v>
      </c>
      <c r="C333" s="17" t="s">
        <v>229</v>
      </c>
      <c r="D333" s="16">
        <v>14430189</v>
      </c>
      <c r="E333" s="18">
        <v>18</v>
      </c>
      <c r="F333" s="17">
        <v>500</v>
      </c>
      <c r="G333" s="17">
        <v>5</v>
      </c>
      <c r="I333" s="19">
        <f t="shared" si="59"/>
        <v>1.0363319200000001</v>
      </c>
      <c r="J333" s="20">
        <f t="shared" si="60"/>
        <v>7.1816933236286786</v>
      </c>
      <c r="K333" s="20">
        <f t="shared" si="61"/>
        <v>6.8048051207090916</v>
      </c>
      <c r="L333" s="21"/>
      <c r="M333" s="20">
        <f t="shared" si="57"/>
        <v>0.34223862209982142</v>
      </c>
      <c r="N333" s="20">
        <f t="shared" si="62"/>
        <v>9.7680457035825459</v>
      </c>
      <c r="O333" s="22">
        <v>10609409</v>
      </c>
      <c r="P333" s="23">
        <v>103633192</v>
      </c>
      <c r="Q333" s="23">
        <v>98194624</v>
      </c>
      <c r="R333" s="24"/>
      <c r="S333" s="23">
        <v>4938568</v>
      </c>
      <c r="T333" s="25">
        <v>82.150824</v>
      </c>
      <c r="U333" s="25">
        <v>86.889854</v>
      </c>
      <c r="V333" s="26"/>
      <c r="W333" s="26"/>
      <c r="X333" s="26"/>
      <c r="Y333" s="25">
        <v>87.195583999999997</v>
      </c>
      <c r="Z333" s="27"/>
      <c r="AA333" s="27"/>
      <c r="AC333" s="19">
        <f t="shared" si="63"/>
        <v>1.0249343199999998</v>
      </c>
      <c r="AD333" s="20">
        <f t="shared" si="64"/>
        <v>7.1027089111584054</v>
      </c>
      <c r="AE333" s="20">
        <f t="shared" si="65"/>
        <v>6.8048051207090916</v>
      </c>
      <c r="AF333" s="21"/>
      <c r="AG333" s="20">
        <f t="shared" si="58"/>
        <v>0.26464019286233881</v>
      </c>
      <c r="AH333" s="20">
        <f t="shared" si="66"/>
        <v>9.6606165338710195</v>
      </c>
      <c r="AI333" s="22">
        <v>10609409</v>
      </c>
      <c r="AJ333" s="23">
        <v>102493432</v>
      </c>
      <c r="AK333" s="23">
        <v>98194624</v>
      </c>
      <c r="AL333" s="24"/>
      <c r="AM333" s="23">
        <v>3818808</v>
      </c>
      <c r="AN333" s="25">
        <v>82.150824</v>
      </c>
      <c r="AO333" s="25">
        <v>86.889854</v>
      </c>
      <c r="AP333" s="26"/>
      <c r="AQ333" s="26"/>
      <c r="AR333" s="26"/>
      <c r="AS333" s="25">
        <v>86.575300999999996</v>
      </c>
      <c r="AT333" s="27"/>
      <c r="AU333" s="27"/>
      <c r="AW333" s="28">
        <f t="shared" si="67"/>
        <v>1.0536738745132834E-2</v>
      </c>
      <c r="AX333" s="28"/>
      <c r="AZ333" s="29"/>
      <c r="BA333" s="29"/>
      <c r="BB333" s="30"/>
      <c r="BC333" s="30"/>
      <c r="BD333" s="30"/>
      <c r="BE333" s="29"/>
      <c r="BG333" s="29"/>
      <c r="BH333" s="29"/>
      <c r="BI333" s="30"/>
      <c r="BJ333" s="30"/>
      <c r="BK333" s="30"/>
      <c r="BL333" s="29"/>
    </row>
    <row r="334" spans="1:64" outlineLevel="1" x14ac:dyDescent="0.15">
      <c r="A334" s="31"/>
      <c r="B334" s="46" t="s">
        <v>395</v>
      </c>
      <c r="C334" s="47" t="s">
        <v>230</v>
      </c>
      <c r="D334" s="46">
        <v>14430189</v>
      </c>
      <c r="E334" s="48">
        <v>18</v>
      </c>
      <c r="F334" s="47">
        <v>500</v>
      </c>
      <c r="G334" s="47">
        <v>5</v>
      </c>
      <c r="I334" s="49">
        <f t="shared" si="59"/>
        <v>1.3091274399999999</v>
      </c>
      <c r="J334" s="50">
        <f t="shared" si="60"/>
        <v>9.072143407130703</v>
      </c>
      <c r="K334" s="50">
        <f t="shared" si="61"/>
        <v>8.3592790087503364</v>
      </c>
      <c r="L334" s="51"/>
      <c r="M334" s="50">
        <f t="shared" si="57"/>
        <v>0.67738322762092718</v>
      </c>
      <c r="N334" s="50">
        <f t="shared" si="62"/>
        <v>11.205395184973735</v>
      </c>
      <c r="O334" s="52">
        <v>11683010</v>
      </c>
      <c r="P334" s="53">
        <v>130912744</v>
      </c>
      <c r="Q334" s="53">
        <v>120625976</v>
      </c>
      <c r="R334" s="54"/>
      <c r="S334" s="53">
        <v>9774768</v>
      </c>
      <c r="T334" s="55">
        <v>87.793738000000005</v>
      </c>
      <c r="U334" s="55">
        <v>92.806753999999998</v>
      </c>
      <c r="V334" s="56"/>
      <c r="W334" s="56"/>
      <c r="X334" s="56"/>
      <c r="Y334" s="55">
        <v>90.447507000000002</v>
      </c>
      <c r="Z334" s="57"/>
      <c r="AA334" s="57"/>
      <c r="AC334" s="49">
        <f t="shared" si="63"/>
        <v>1.2913373600000002</v>
      </c>
      <c r="AD334" s="50">
        <f t="shared" si="64"/>
        <v>8.9488596441806827</v>
      </c>
      <c r="AE334" s="50">
        <f t="shared" si="65"/>
        <v>8.3592790087503364</v>
      </c>
      <c r="AF334" s="51"/>
      <c r="AG334" s="50">
        <f t="shared" si="58"/>
        <v>0.55548544790369692</v>
      </c>
      <c r="AH334" s="50">
        <f t="shared" si="66"/>
        <v>11.053122097815546</v>
      </c>
      <c r="AI334" s="52">
        <v>11683010</v>
      </c>
      <c r="AJ334" s="53">
        <v>129133736</v>
      </c>
      <c r="AK334" s="53">
        <v>120625976</v>
      </c>
      <c r="AL334" s="54"/>
      <c r="AM334" s="53">
        <v>8015760</v>
      </c>
      <c r="AN334" s="55">
        <v>87.793738000000005</v>
      </c>
      <c r="AO334" s="55">
        <v>92.806753999999998</v>
      </c>
      <c r="AP334" s="56"/>
      <c r="AQ334" s="56"/>
      <c r="AR334" s="56"/>
      <c r="AS334" s="55">
        <v>89.749105</v>
      </c>
      <c r="AT334" s="57"/>
      <c r="AU334" s="57"/>
      <c r="AW334" s="58">
        <f t="shared" si="67"/>
        <v>1.2693959240089536E-2</v>
      </c>
      <c r="AX334" s="58"/>
      <c r="AZ334" s="59"/>
      <c r="BA334" s="59"/>
      <c r="BB334" s="60"/>
      <c r="BC334" s="60"/>
      <c r="BD334" s="60"/>
      <c r="BE334" s="59"/>
      <c r="BG334" s="59"/>
      <c r="BH334" s="59"/>
      <c r="BI334" s="60"/>
      <c r="BJ334" s="60"/>
      <c r="BK334" s="60"/>
      <c r="BL334" s="59"/>
    </row>
    <row r="335" spans="1:64" collapsed="1" x14ac:dyDescent="0.15">
      <c r="A335" s="16"/>
      <c r="B335" s="16" t="s">
        <v>398</v>
      </c>
      <c r="C335" s="17" t="s">
        <v>225</v>
      </c>
      <c r="D335" s="16">
        <v>8167066</v>
      </c>
      <c r="E335" s="18">
        <v>18</v>
      </c>
      <c r="F335" s="17">
        <v>300</v>
      </c>
      <c r="G335" s="17">
        <v>5</v>
      </c>
      <c r="I335" s="19">
        <f t="shared" si="59"/>
        <v>9.1855733333333342E-2</v>
      </c>
      <c r="J335" s="20">
        <f t="shared" si="60"/>
        <v>0.6748254513922135</v>
      </c>
      <c r="K335" s="20">
        <f t="shared" si="61"/>
        <v>0.633670892337591</v>
      </c>
      <c r="L335" s="21"/>
      <c r="M335" s="20">
        <f t="shared" si="57"/>
        <v>7.9480195213311611E-3</v>
      </c>
      <c r="N335" s="20">
        <f t="shared" si="62"/>
        <v>4.1842186377805817</v>
      </c>
      <c r="O335" s="22">
        <v>1317174</v>
      </c>
      <c r="P335" s="23">
        <v>5511344</v>
      </c>
      <c r="Q335" s="23">
        <v>5175232</v>
      </c>
      <c r="R335" s="24"/>
      <c r="S335" s="23">
        <v>64912</v>
      </c>
      <c r="T335" s="25">
        <v>46.087114</v>
      </c>
      <c r="U335" s="25">
        <v>51.035781999999998</v>
      </c>
      <c r="V335" s="26"/>
      <c r="W335" s="26"/>
      <c r="X335" s="26"/>
      <c r="Y335" s="25">
        <v>78.152350999999996</v>
      </c>
      <c r="Z335" s="27"/>
      <c r="AA335" s="27"/>
      <c r="AC335" s="19">
        <f t="shared" si="63"/>
        <v>9.1486533333333342E-2</v>
      </c>
      <c r="AD335" s="20">
        <f t="shared" si="64"/>
        <v>0.67211309422502519</v>
      </c>
      <c r="AE335" s="20">
        <f t="shared" si="65"/>
        <v>0.633670892337591</v>
      </c>
      <c r="AF335" s="21"/>
      <c r="AG335" s="20">
        <f t="shared" si="58"/>
        <v>6.4111150809850193E-3</v>
      </c>
      <c r="AH335" s="20">
        <f t="shared" si="66"/>
        <v>4.1674008141673005</v>
      </c>
      <c r="AI335" s="22">
        <v>1317174</v>
      </c>
      <c r="AJ335" s="23">
        <v>5489192</v>
      </c>
      <c r="AK335" s="23">
        <v>5175232</v>
      </c>
      <c r="AL335" s="24"/>
      <c r="AM335" s="23">
        <v>52360</v>
      </c>
      <c r="AN335" s="25">
        <v>46.087114</v>
      </c>
      <c r="AO335" s="25">
        <v>51.035781999999998</v>
      </c>
      <c r="AP335" s="26"/>
      <c r="AQ335" s="26"/>
      <c r="AR335" s="26"/>
      <c r="AS335" s="25">
        <v>77.551670999999999</v>
      </c>
      <c r="AT335" s="27"/>
      <c r="AU335" s="27"/>
      <c r="AW335" s="28">
        <f t="shared" si="67"/>
        <v>3.7894556217732411E-3</v>
      </c>
      <c r="AX335" s="28">
        <f t="array" ref="AX335">AVERAGE(AK335:AK340/AJ335:AJ340) - AVERAGE(Q335:Q340/P335:P340)</f>
        <v>8.5702582772027025E-3</v>
      </c>
      <c r="AZ335" s="29">
        <f>IF( OR(ISBLANK(Q335:Q340),ISBLANK(AK335:AK340), ISBLANK(T335:T340),ISBLANK(AN335:AN340)), "·", bdRateExtend( Q335:Q340,T335:T340, AK335:AK340,AN335:AN340))</f>
        <v>0</v>
      </c>
      <c r="BA335" s="29">
        <f>IF( OR(ISBLANK(Q335:Q340),ISBLANK(AK335:AK340), ISBLANK(U335:U340),ISBLANK(AO335:AO340)), "·", bdRateExtend( Q335:Q340,U335:U340, AK335:AK340,AO335:AO340))</f>
        <v>0</v>
      </c>
      <c r="BB335" s="30"/>
      <c r="BC335" s="30"/>
      <c r="BD335" s="30"/>
      <c r="BE335" s="29">
        <f>IF( OR(ISBLANK(S335:S340),ISBLANK(AM335:AM340), ISBLANK(Y335:Y340),ISBLANK(AS335:AS340)), "·", bdRateExtend( S335:S340,Y335:Y340, AM335:AM340,AS335:AS340))</f>
        <v>-0.10060627418596768</v>
      </c>
      <c r="BG335" s="29">
        <f>IF( OR(ISBLANK(P335:P340),ISBLANK(AJ335:AJ340), ISBLANK(T335:T340),ISBLANK(AN335:AN340)), "·", bdRateExtend( P335:P340,T335:T340, AJ335:AJ340,AN335:AN340))</f>
        <v>-8.1670211922755254E-3</v>
      </c>
      <c r="BH335" s="29">
        <f>IF( OR(ISBLANK(P335:P340),ISBLANK(AJ335:AJ340), ISBLANK(U335:U340),ISBLANK(AO335:AO340)), "·", bdRateExtend( P335:P340,U335:U340, AJ335:AJ340,AO335:AO340))</f>
        <v>-8.2622258171087815E-3</v>
      </c>
      <c r="BI335" s="30"/>
      <c r="BJ335" s="30"/>
      <c r="BK335" s="30"/>
      <c r="BL335" s="29">
        <f>IF( OR(ISBLANK(P335:P340),ISBLANK(AJ335:AJ340), ISBLANK(Y335:Y340),ISBLANK(AS335:AS340)), "·", bdRateExtend( P335:P340,Y335:Y340, AJ335:AJ340,AS335:AS340))</f>
        <v>0.1617456365097143</v>
      </c>
    </row>
    <row r="336" spans="1:64" outlineLevel="1" x14ac:dyDescent="0.15">
      <c r="A336" s="31"/>
      <c r="B336" s="31" t="s">
        <v>398</v>
      </c>
      <c r="C336" s="32" t="s">
        <v>226</v>
      </c>
      <c r="D336" s="31">
        <v>8167066</v>
      </c>
      <c r="E336" s="33">
        <v>18</v>
      </c>
      <c r="F336" s="32">
        <v>300</v>
      </c>
      <c r="G336" s="32">
        <v>5</v>
      </c>
      <c r="I336" s="34">
        <f t="shared" si="59"/>
        <v>0.18160106666666667</v>
      </c>
      <c r="J336" s="35">
        <f t="shared" si="60"/>
        <v>1.3341466813173788</v>
      </c>
      <c r="K336" s="35">
        <f t="shared" si="61"/>
        <v>1.2868866248907502</v>
      </c>
      <c r="L336" s="36"/>
      <c r="M336" s="35">
        <f t="shared" si="57"/>
        <v>1.3171927348205586E-2</v>
      </c>
      <c r="N336" s="35">
        <f t="shared" si="62"/>
        <v>4.8434119360776506</v>
      </c>
      <c r="O336" s="37">
        <v>2249667</v>
      </c>
      <c r="P336" s="38">
        <v>10896064</v>
      </c>
      <c r="Q336" s="38">
        <v>10510088</v>
      </c>
      <c r="R336" s="39"/>
      <c r="S336" s="38">
        <v>107576</v>
      </c>
      <c r="T336" s="40">
        <v>52.257638</v>
      </c>
      <c r="U336" s="40">
        <v>56.815463999999999</v>
      </c>
      <c r="V336" s="41"/>
      <c r="W336" s="41"/>
      <c r="X336" s="41"/>
      <c r="Y336" s="40">
        <v>79.690976000000006</v>
      </c>
      <c r="Z336" s="42"/>
      <c r="AA336" s="42"/>
      <c r="AC336" s="34">
        <f t="shared" si="63"/>
        <v>0.18081493333333332</v>
      </c>
      <c r="AD336" s="35">
        <f t="shared" si="64"/>
        <v>1.3283712902528277</v>
      </c>
      <c r="AE336" s="35">
        <f t="shared" si="65"/>
        <v>1.2868866248907502</v>
      </c>
      <c r="AF336" s="36"/>
      <c r="AG336" s="35">
        <f t="shared" si="58"/>
        <v>8.865852192207091E-3</v>
      </c>
      <c r="AH336" s="35">
        <f t="shared" si="66"/>
        <v>4.8224452774566196</v>
      </c>
      <c r="AI336" s="37">
        <v>2249667</v>
      </c>
      <c r="AJ336" s="38">
        <v>10848896</v>
      </c>
      <c r="AK336" s="38">
        <v>10510088</v>
      </c>
      <c r="AL336" s="39"/>
      <c r="AM336" s="38">
        <v>72408</v>
      </c>
      <c r="AN336" s="40">
        <v>52.257638</v>
      </c>
      <c r="AO336" s="40">
        <v>56.815463999999999</v>
      </c>
      <c r="AP336" s="41"/>
      <c r="AQ336" s="41"/>
      <c r="AR336" s="41"/>
      <c r="AS336" s="40">
        <v>78.961707000000004</v>
      </c>
      <c r="AT336" s="42"/>
      <c r="AU336" s="42"/>
      <c r="AW336" s="43">
        <f t="shared" si="67"/>
        <v>4.1937121972822622E-3</v>
      </c>
      <c r="AX336" s="43"/>
      <c r="AZ336" s="44"/>
      <c r="BA336" s="44"/>
      <c r="BB336" s="45"/>
      <c r="BC336" s="45"/>
      <c r="BD336" s="45"/>
      <c r="BE336" s="44"/>
      <c r="BG336" s="44"/>
      <c r="BH336" s="44"/>
      <c r="BI336" s="45"/>
      <c r="BJ336" s="45"/>
      <c r="BK336" s="45"/>
      <c r="BL336" s="44"/>
    </row>
    <row r="337" spans="1:64" outlineLevel="1" x14ac:dyDescent="0.15">
      <c r="A337" s="16"/>
      <c r="B337" s="16" t="s">
        <v>398</v>
      </c>
      <c r="C337" s="17" t="s">
        <v>227</v>
      </c>
      <c r="D337" s="16">
        <v>8167066</v>
      </c>
      <c r="E337" s="18">
        <v>18</v>
      </c>
      <c r="F337" s="17">
        <v>300</v>
      </c>
      <c r="G337" s="17">
        <v>5</v>
      </c>
      <c r="I337" s="19">
        <f t="shared" si="59"/>
        <v>0.45497706666666665</v>
      </c>
      <c r="J337" s="20">
        <f t="shared" si="60"/>
        <v>3.3425252103999159</v>
      </c>
      <c r="K337" s="20">
        <f t="shared" si="61"/>
        <v>3.2661051104521501</v>
      </c>
      <c r="L337" s="21"/>
      <c r="M337" s="20">
        <f t="shared" si="57"/>
        <v>4.1450381324211166E-2</v>
      </c>
      <c r="N337" s="20">
        <f t="shared" si="62"/>
        <v>6.7100170364367377</v>
      </c>
      <c r="O337" s="22">
        <v>4068339</v>
      </c>
      <c r="P337" s="23">
        <v>27298624</v>
      </c>
      <c r="Q337" s="23">
        <v>26674496</v>
      </c>
      <c r="R337" s="24"/>
      <c r="S337" s="23">
        <v>338528</v>
      </c>
      <c r="T337" s="25">
        <v>64.196248999999995</v>
      </c>
      <c r="U337" s="25">
        <v>68.773177000000004</v>
      </c>
      <c r="V337" s="26"/>
      <c r="W337" s="26"/>
      <c r="X337" s="26"/>
      <c r="Y337" s="25">
        <v>82.165880999999999</v>
      </c>
      <c r="Z337" s="27"/>
      <c r="AA337" s="27"/>
      <c r="AC337" s="19">
        <f t="shared" si="63"/>
        <v>0.45246120000000001</v>
      </c>
      <c r="AD337" s="20">
        <f t="shared" si="64"/>
        <v>3.3240421958142616</v>
      </c>
      <c r="AE337" s="20">
        <f t="shared" si="65"/>
        <v>3.2661051104521501</v>
      </c>
      <c r="AF337" s="21"/>
      <c r="AG337" s="20">
        <f t="shared" si="58"/>
        <v>2.4436682647109745E-2</v>
      </c>
      <c r="AH337" s="20">
        <f t="shared" si="66"/>
        <v>6.6729129504694669</v>
      </c>
      <c r="AI337" s="22">
        <v>4068339</v>
      </c>
      <c r="AJ337" s="23">
        <v>27147672</v>
      </c>
      <c r="AK337" s="23">
        <v>26674496</v>
      </c>
      <c r="AL337" s="24"/>
      <c r="AM337" s="23">
        <v>199576</v>
      </c>
      <c r="AN337" s="25">
        <v>64.196248999999995</v>
      </c>
      <c r="AO337" s="25">
        <v>68.773177000000004</v>
      </c>
      <c r="AP337" s="26"/>
      <c r="AQ337" s="26"/>
      <c r="AR337" s="26"/>
      <c r="AS337" s="25">
        <v>81.381135999999998</v>
      </c>
      <c r="AT337" s="27"/>
      <c r="AU337" s="27"/>
      <c r="AW337" s="28">
        <f t="shared" si="67"/>
        <v>5.4332757099717632E-3</v>
      </c>
      <c r="AX337" s="28"/>
      <c r="AZ337" s="29"/>
      <c r="BA337" s="29"/>
      <c r="BB337" s="30"/>
      <c r="BC337" s="30"/>
      <c r="BD337" s="30"/>
      <c r="BE337" s="29"/>
      <c r="BG337" s="29"/>
      <c r="BH337" s="29"/>
      <c r="BI337" s="30"/>
      <c r="BJ337" s="30"/>
      <c r="BK337" s="30"/>
      <c r="BL337" s="29"/>
    </row>
    <row r="338" spans="1:64" outlineLevel="1" x14ac:dyDescent="0.15">
      <c r="A338" s="31"/>
      <c r="B338" s="31" t="s">
        <v>398</v>
      </c>
      <c r="C338" s="32" t="s">
        <v>228</v>
      </c>
      <c r="D338" s="31">
        <v>8167066</v>
      </c>
      <c r="E338" s="33">
        <v>18</v>
      </c>
      <c r="F338" s="32">
        <v>300</v>
      </c>
      <c r="G338" s="32">
        <v>5</v>
      </c>
      <c r="I338" s="34">
        <f t="shared" si="59"/>
        <v>0.63623240000000003</v>
      </c>
      <c r="J338" s="35">
        <f t="shared" si="60"/>
        <v>4.6741319342833769</v>
      </c>
      <c r="K338" s="35">
        <f t="shared" si="61"/>
        <v>4.5174999197998398</v>
      </c>
      <c r="L338" s="36"/>
      <c r="M338" s="35">
        <f t="shared" si="57"/>
        <v>0.12107456949656094</v>
      </c>
      <c r="N338" s="35">
        <f t="shared" si="62"/>
        <v>7.6377751700915057</v>
      </c>
      <c r="O338" s="37">
        <v>4998045</v>
      </c>
      <c r="P338" s="38">
        <v>38173944</v>
      </c>
      <c r="Q338" s="38">
        <v>36894720</v>
      </c>
      <c r="R338" s="39"/>
      <c r="S338" s="38">
        <v>988824</v>
      </c>
      <c r="T338" s="40">
        <v>70.236777000000004</v>
      </c>
      <c r="U338" s="40">
        <v>74.824653999999995</v>
      </c>
      <c r="V338" s="41"/>
      <c r="W338" s="41"/>
      <c r="X338" s="41"/>
      <c r="Y338" s="40">
        <v>84.501795000000001</v>
      </c>
      <c r="Z338" s="42"/>
      <c r="AA338" s="42"/>
      <c r="AC338" s="34">
        <f t="shared" si="63"/>
        <v>0.62995693333333336</v>
      </c>
      <c r="AD338" s="35">
        <f t="shared" si="64"/>
        <v>4.6280287192487481</v>
      </c>
      <c r="AE338" s="35">
        <f t="shared" si="65"/>
        <v>4.5174999197998398</v>
      </c>
      <c r="AF338" s="36"/>
      <c r="AG338" s="35">
        <f t="shared" si="58"/>
        <v>7.6440670370485561E-2</v>
      </c>
      <c r="AH338" s="35">
        <f t="shared" si="66"/>
        <v>7.5624401140846071</v>
      </c>
      <c r="AI338" s="37">
        <v>4998045</v>
      </c>
      <c r="AJ338" s="38">
        <v>37797416</v>
      </c>
      <c r="AK338" s="38">
        <v>36894720</v>
      </c>
      <c r="AL338" s="39"/>
      <c r="AM338" s="38">
        <v>624296</v>
      </c>
      <c r="AN338" s="40">
        <v>70.236777000000004</v>
      </c>
      <c r="AO338" s="40">
        <v>74.824653999999995</v>
      </c>
      <c r="AP338" s="41"/>
      <c r="AQ338" s="41"/>
      <c r="AR338" s="41"/>
      <c r="AS338" s="40">
        <v>83.664731000000003</v>
      </c>
      <c r="AT338" s="42"/>
      <c r="AU338" s="42"/>
      <c r="AW338" s="43">
        <f t="shared" si="67"/>
        <v>9.6279173534196127E-3</v>
      </c>
      <c r="AX338" s="43"/>
      <c r="AZ338" s="44"/>
      <c r="BA338" s="44"/>
      <c r="BB338" s="45"/>
      <c r="BC338" s="45"/>
      <c r="BD338" s="45"/>
      <c r="BE338" s="44"/>
      <c r="BG338" s="44"/>
      <c r="BH338" s="44"/>
      <c r="BI338" s="45"/>
      <c r="BJ338" s="45"/>
      <c r="BK338" s="45"/>
      <c r="BL338" s="44"/>
    </row>
    <row r="339" spans="1:64" outlineLevel="1" x14ac:dyDescent="0.15">
      <c r="A339" s="16"/>
      <c r="B339" s="16" t="s">
        <v>398</v>
      </c>
      <c r="C339" s="17" t="s">
        <v>229</v>
      </c>
      <c r="D339" s="16">
        <v>8167066</v>
      </c>
      <c r="E339" s="18">
        <v>18</v>
      </c>
      <c r="F339" s="17">
        <v>300</v>
      </c>
      <c r="G339" s="17">
        <v>5</v>
      </c>
      <c r="I339" s="19">
        <f t="shared" si="59"/>
        <v>1.0756078666666666</v>
      </c>
      <c r="J339" s="20">
        <f t="shared" si="60"/>
        <v>7.9020387492889119</v>
      </c>
      <c r="K339" s="20">
        <f t="shared" si="61"/>
        <v>7.50700729001088</v>
      </c>
      <c r="L339" s="21"/>
      <c r="M339" s="20">
        <f t="shared" si="57"/>
        <v>0.35829856156421414</v>
      </c>
      <c r="N339" s="20">
        <f t="shared" si="62"/>
        <v>9.8558080898708251</v>
      </c>
      <c r="O339" s="22">
        <v>6548065</v>
      </c>
      <c r="P339" s="23">
        <v>64536472</v>
      </c>
      <c r="Q339" s="23">
        <v>61310224</v>
      </c>
      <c r="R339" s="24"/>
      <c r="S339" s="23">
        <v>2926248</v>
      </c>
      <c r="T339" s="25">
        <v>82.154342999999997</v>
      </c>
      <c r="U339" s="25">
        <v>86.930372000000006</v>
      </c>
      <c r="V339" s="26"/>
      <c r="W339" s="26"/>
      <c r="X339" s="26"/>
      <c r="Y339" s="25">
        <v>87.771946999999997</v>
      </c>
      <c r="Z339" s="27"/>
      <c r="AA339" s="27"/>
      <c r="AC339" s="19">
        <f t="shared" si="63"/>
        <v>1.0621537333333333</v>
      </c>
      <c r="AD339" s="20">
        <f t="shared" si="64"/>
        <v>7.8031968885766316</v>
      </c>
      <c r="AE339" s="20">
        <f t="shared" si="65"/>
        <v>7.50700729001088</v>
      </c>
      <c r="AF339" s="21"/>
      <c r="AG339" s="20">
        <f t="shared" si="58"/>
        <v>0.26092601676048655</v>
      </c>
      <c r="AH339" s="20">
        <f t="shared" si="66"/>
        <v>9.732527700931497</v>
      </c>
      <c r="AI339" s="22">
        <v>6548065</v>
      </c>
      <c r="AJ339" s="23">
        <v>63729224</v>
      </c>
      <c r="AK339" s="23">
        <v>61310224</v>
      </c>
      <c r="AL339" s="24"/>
      <c r="AM339" s="23">
        <v>2131000</v>
      </c>
      <c r="AN339" s="25">
        <v>82.154342999999997</v>
      </c>
      <c r="AO339" s="25">
        <v>86.930372000000006</v>
      </c>
      <c r="AP339" s="26"/>
      <c r="AQ339" s="26"/>
      <c r="AR339" s="26"/>
      <c r="AS339" s="25">
        <v>86.951472999999993</v>
      </c>
      <c r="AT339" s="27"/>
      <c r="AU339" s="27"/>
      <c r="AW339" s="28">
        <f t="shared" si="67"/>
        <v>1.2033612708590047E-2</v>
      </c>
      <c r="AX339" s="28"/>
      <c r="AZ339" s="29"/>
      <c r="BA339" s="29"/>
      <c r="BB339" s="30"/>
      <c r="BC339" s="30"/>
      <c r="BD339" s="30"/>
      <c r="BE339" s="29"/>
      <c r="BG339" s="29"/>
      <c r="BH339" s="29"/>
      <c r="BI339" s="30"/>
      <c r="BJ339" s="30"/>
      <c r="BK339" s="30"/>
      <c r="BL339" s="29"/>
    </row>
    <row r="340" spans="1:64" outlineLevel="1" x14ac:dyDescent="0.15">
      <c r="A340" s="46"/>
      <c r="B340" s="46" t="s">
        <v>398</v>
      </c>
      <c r="C340" s="47" t="s">
        <v>230</v>
      </c>
      <c r="D340" s="46">
        <v>8167066</v>
      </c>
      <c r="E340" s="48">
        <v>18</v>
      </c>
      <c r="F340" s="47">
        <v>300</v>
      </c>
      <c r="G340" s="47">
        <v>5</v>
      </c>
      <c r="I340" s="49">
        <f t="shared" si="59"/>
        <v>1.3531486666666668</v>
      </c>
      <c r="J340" s="50">
        <f t="shared" si="60"/>
        <v>9.9410143128511503</v>
      </c>
      <c r="K340" s="50">
        <f t="shared" si="61"/>
        <v>9.1311381590402227</v>
      </c>
      <c r="L340" s="51"/>
      <c r="M340" s="50">
        <f t="shared" si="57"/>
        <v>0.77226166655197837</v>
      </c>
      <c r="N340" s="50">
        <f t="shared" si="62"/>
        <v>11.492834117651721</v>
      </c>
      <c r="O340" s="52">
        <v>7064308</v>
      </c>
      <c r="P340" s="53">
        <v>81188920</v>
      </c>
      <c r="Q340" s="53">
        <v>74574608</v>
      </c>
      <c r="R340" s="54"/>
      <c r="S340" s="53">
        <v>6307112</v>
      </c>
      <c r="T340" s="55">
        <v>87.802205000000001</v>
      </c>
      <c r="U340" s="55">
        <v>92.840940000000003</v>
      </c>
      <c r="V340" s="56"/>
      <c r="W340" s="56"/>
      <c r="X340" s="56"/>
      <c r="Y340" s="55">
        <v>91.456284999999994</v>
      </c>
      <c r="Z340" s="57"/>
      <c r="AA340" s="57"/>
      <c r="AC340" s="49">
        <f t="shared" si="63"/>
        <v>1.3294928000000001</v>
      </c>
      <c r="AD340" s="50">
        <f t="shared" si="64"/>
        <v>9.7672246067314745</v>
      </c>
      <c r="AE340" s="50">
        <f t="shared" si="65"/>
        <v>9.1311381590402227</v>
      </c>
      <c r="AF340" s="51"/>
      <c r="AG340" s="50">
        <f t="shared" si="58"/>
        <v>0.59994127634085481</v>
      </c>
      <c r="AH340" s="50">
        <f t="shared" si="66"/>
        <v>11.291915358163886</v>
      </c>
      <c r="AI340" s="52">
        <v>7064308</v>
      </c>
      <c r="AJ340" s="53">
        <v>79769568</v>
      </c>
      <c r="AK340" s="53">
        <v>74574608</v>
      </c>
      <c r="AL340" s="54"/>
      <c r="AM340" s="53">
        <v>4899760</v>
      </c>
      <c r="AN340" s="55">
        <v>87.802205000000001</v>
      </c>
      <c r="AO340" s="55">
        <v>92.840940000000003</v>
      </c>
      <c r="AP340" s="56"/>
      <c r="AQ340" s="56"/>
      <c r="AR340" s="56"/>
      <c r="AS340" s="55">
        <v>90.384917000000002</v>
      </c>
      <c r="AT340" s="57"/>
      <c r="AU340" s="57"/>
      <c r="AW340" s="58">
        <f t="shared" si="67"/>
        <v>1.634357607217829E-2</v>
      </c>
      <c r="AX340" s="58"/>
      <c r="AZ340" s="59"/>
      <c r="BA340" s="59"/>
      <c r="BB340" s="60"/>
      <c r="BC340" s="60"/>
      <c r="BD340" s="60"/>
      <c r="BE340" s="59"/>
      <c r="BG340" s="59"/>
      <c r="BH340" s="59"/>
      <c r="BI340" s="60"/>
      <c r="BJ340" s="60"/>
      <c r="BK340" s="60"/>
      <c r="BL340" s="59"/>
    </row>
    <row r="341" spans="1:64" x14ac:dyDescent="0.15">
      <c r="B341" s="61" t="s">
        <v>401</v>
      </c>
      <c r="J341" s="62">
        <f>AVERAGE(J5:J136)</f>
        <v>1.5565930382315232</v>
      </c>
      <c r="K341" s="62">
        <f>AVERAGE(K5:K136)</f>
        <v>1.1151829274790506</v>
      </c>
      <c r="L341" s="62">
        <f>AVERAGE(L5:L136)</f>
        <v>0.44104484739916261</v>
      </c>
      <c r="M341" s="63"/>
      <c r="AD341" s="62">
        <f>AVERAGE(AD5:AD136)</f>
        <v>1.4467466459250848</v>
      </c>
      <c r="AE341" s="62">
        <f>AVERAGE(AE5:AE136)</f>
        <v>1.1151829274790506</v>
      </c>
      <c r="AF341" s="62">
        <f>AVERAGE(AF5:AF136)</f>
        <v>0.33120388857750444</v>
      </c>
      <c r="AG341" s="63"/>
      <c r="AX341" s="8">
        <f>AVERAGE(AX5:AX136)</f>
        <v>5.583526025116848E-2</v>
      </c>
      <c r="AZ341" s="4">
        <f>AVERAGE(AZ5:AZ136)</f>
        <v>0</v>
      </c>
      <c r="BA341" s="4">
        <f>AVERAGE(BA5:BA136)</f>
        <v>0</v>
      </c>
      <c r="BB341" s="4">
        <f>AVERAGE(BB5:BB136)</f>
        <v>-6.9960902653399507E-2</v>
      </c>
      <c r="BC341" s="4">
        <f>AVERAGE(BC5:BC136)</f>
        <v>0.2815815783696326</v>
      </c>
      <c r="BD341" s="4">
        <f>AVERAGE(BD5:BD136)</f>
        <v>0.30800063699690056</v>
      </c>
      <c r="BE341" s="5"/>
      <c r="BG341" s="4">
        <f>AVERAGE(BG5:BG136)</f>
        <v>-6.9326341285038992E-2</v>
      </c>
      <c r="BH341" s="4">
        <f>AVERAGE(BH5:BH136)</f>
        <v>-6.8767327207566481E-2</v>
      </c>
      <c r="BI341" s="4">
        <f>AVERAGE(BI5:BI136)</f>
        <v>0.22669163507215942</v>
      </c>
      <c r="BJ341" s="4">
        <f>AVERAGE(BJ5:BJ136)</f>
        <v>0.60086586910632944</v>
      </c>
      <c r="BK341" s="4">
        <f>AVERAGE(BK5:BK136)</f>
        <v>0.61895168386536892</v>
      </c>
      <c r="BL341" s="5"/>
    </row>
    <row r="342" spans="1:64" x14ac:dyDescent="0.15">
      <c r="B342" s="61" t="s">
        <v>402</v>
      </c>
      <c r="J342" s="62">
        <f>AVERAGE(J137:J280)</f>
        <v>9.7419025823533509</v>
      </c>
      <c r="K342" s="62">
        <f>AVERAGE(K137:K280)</f>
        <v>8.7790782868490425</v>
      </c>
      <c r="L342" s="62">
        <f>AVERAGE(L137:L280)</f>
        <v>0.96250583176910076</v>
      </c>
      <c r="M342" s="63"/>
      <c r="AD342" s="62">
        <f>AVERAGE(AD137:AD280)</f>
        <v>9.50490935726374</v>
      </c>
      <c r="AE342" s="62">
        <f>AVERAGE(AE137:AE280)</f>
        <v>8.7790782868490425</v>
      </c>
      <c r="AF342" s="62">
        <f>AVERAGE(AF137:AF280)</f>
        <v>0.72551677167940032</v>
      </c>
      <c r="AG342" s="63"/>
      <c r="AX342" s="8">
        <f>AVERAGE(AX137:AX280)</f>
        <v>3.7065086299068323E-2</v>
      </c>
      <c r="AZ342" s="4">
        <f>AVERAGE(AZ137:AZ280)</f>
        <v>0</v>
      </c>
      <c r="BA342" s="4">
        <f>AVERAGE(BA137:BA280)</f>
        <v>0</v>
      </c>
      <c r="BB342" s="4">
        <f>AVERAGE(BB137:BB280)</f>
        <v>-0.11412993374895536</v>
      </c>
      <c r="BC342" s="4">
        <f>AVERAGE(BC137:BC280)</f>
        <v>0.12180425446655256</v>
      </c>
      <c r="BD342" s="4">
        <f>AVERAGE(BD137:BD280)</f>
        <v>0.28073939331876924</v>
      </c>
      <c r="BE342" s="5"/>
      <c r="BG342" s="4">
        <f>AVERAGE(BG137:BG280)</f>
        <v>-5.0412682092039383E-2</v>
      </c>
      <c r="BH342" s="4">
        <f>AVERAGE(BH137:BH280)</f>
        <v>-5.0553281067595414E-2</v>
      </c>
      <c r="BI342" s="4">
        <f>AVERAGE(BI137:BI280)</f>
        <v>0.16635153884537499</v>
      </c>
      <c r="BJ342" s="4">
        <f>AVERAGE(BJ137:BJ280)</f>
        <v>0.44709945122737088</v>
      </c>
      <c r="BK342" s="4">
        <f>AVERAGE(BK137:BK280)</f>
        <v>0.54035616407911768</v>
      </c>
      <c r="BL342" s="5"/>
    </row>
    <row r="343" spans="1:64" x14ac:dyDescent="0.15">
      <c r="B343" s="61" t="s">
        <v>403</v>
      </c>
      <c r="J343" s="62">
        <f>AVERAGE(J281:J298)</f>
        <v>7.8567876303283875</v>
      </c>
      <c r="K343" s="62">
        <f>AVERAGE(K281:K298)</f>
        <v>5.5732415084459994</v>
      </c>
      <c r="L343" s="62">
        <f>AVERAGE(L281:L298)</f>
        <v>1.4196675119192856</v>
      </c>
      <c r="M343" s="62">
        <f>AVERAGE(M281:M298)</f>
        <v>0.8636771248807239</v>
      </c>
      <c r="AD343" s="62">
        <f>AVERAGE(AD281:AD298)</f>
        <v>7.3630138980766917</v>
      </c>
      <c r="AE343" s="62">
        <f>AVERAGE(AE281:AE298)</f>
        <v>5.5732415084459994</v>
      </c>
      <c r="AF343" s="62">
        <f>AVERAGE(AF281:AF298)</f>
        <v>1.0918740291293199</v>
      </c>
      <c r="AG343" s="62">
        <f>AVERAGE(AG281:AG298)</f>
        <v>0.69770752328298513</v>
      </c>
      <c r="AX343" s="8">
        <f>AVERAGE(AX281:AX298)</f>
        <v>6.0366964788016918E-2</v>
      </c>
      <c r="AZ343" s="4">
        <f t="shared" ref="AZ343:BE343" si="68">AVERAGE(AZ281:AZ298)</f>
        <v>0</v>
      </c>
      <c r="BA343" s="4">
        <f t="shared" si="68"/>
        <v>0</v>
      </c>
      <c r="BB343" s="4">
        <f t="shared" si="68"/>
        <v>-0.17736420332467664</v>
      </c>
      <c r="BC343" s="4">
        <f t="shared" si="68"/>
        <v>-4.8699075092310716E-2</v>
      </c>
      <c r="BD343" s="4">
        <f t="shared" si="68"/>
        <v>-3.2542706176536394E-2</v>
      </c>
      <c r="BE343" s="4">
        <f t="shared" si="68"/>
        <v>-0.13032714642544843</v>
      </c>
      <c r="BG343" s="4">
        <f t="shared" ref="BG343:BL343" si="69">AVERAGE(BG281:BG298)</f>
        <v>-7.7078739484850403E-2</v>
      </c>
      <c r="BH343" s="4">
        <f t="shared" si="69"/>
        <v>-7.696311235860194E-2</v>
      </c>
      <c r="BI343" s="4">
        <f t="shared" si="69"/>
        <v>7.9476719771435667E-2</v>
      </c>
      <c r="BJ343" s="4">
        <f t="shared" si="69"/>
        <v>0.19675185813704008</v>
      </c>
      <c r="BK343" s="4">
        <f t="shared" si="69"/>
        <v>0.20115228622169137</v>
      </c>
      <c r="BL343" s="4">
        <f t="shared" si="69"/>
        <v>0.14545110411100196</v>
      </c>
    </row>
    <row r="344" spans="1:64" x14ac:dyDescent="0.15">
      <c r="B344" s="61" t="s">
        <v>404</v>
      </c>
      <c r="J344" s="62">
        <f>AVERAGE(J299:J340)</f>
        <v>5.7350979257142605</v>
      </c>
      <c r="K344" s="62">
        <f>AVERAGE(K299:K340)</f>
        <v>5.1772195889540562</v>
      </c>
      <c r="L344" s="63"/>
      <c r="M344" s="62">
        <f>AVERAGE(M299:M340)</f>
        <v>0.53097859994075103</v>
      </c>
      <c r="AD344" s="62">
        <f>AVERAGE(AD299:AD340)</f>
        <v>5.6334547846285306</v>
      </c>
      <c r="AE344" s="62">
        <f>AVERAGE(AE299:AE340)</f>
        <v>5.1772195889540562</v>
      </c>
      <c r="AF344" s="63"/>
      <c r="AG344" s="62">
        <f>AVERAGE(AG299:AG340)</f>
        <v>0.43031394433269943</v>
      </c>
      <c r="AX344" s="8">
        <f>AVERAGE(AX299:AX340)</f>
        <v>1.3626009485906263E-2</v>
      </c>
      <c r="AZ344" s="4">
        <f>AVERAGE(AZ299:AZ340)</f>
        <v>0</v>
      </c>
      <c r="BA344" s="4">
        <f>AVERAGE(BA299:BA340)</f>
        <v>0</v>
      </c>
      <c r="BB344" s="5"/>
      <c r="BC344" s="5"/>
      <c r="BD344" s="5"/>
      <c r="BE344" s="4">
        <f>AVERAGE(BE299:BE340)</f>
        <v>-0.10811514625514705</v>
      </c>
      <c r="BG344" s="4">
        <f>AVERAGE(BG299:BG340)</f>
        <v>-1.4710910695114923E-2</v>
      </c>
      <c r="BH344" s="4">
        <f>AVERAGE(BH299:BH340)</f>
        <v>-1.4754511538251294E-2</v>
      </c>
      <c r="BI344" s="5"/>
      <c r="BJ344" s="5"/>
      <c r="BK344" s="5"/>
      <c r="BL344" s="4">
        <f>AVERAGE(BL299:BL340)</f>
        <v>0.11017952972229031</v>
      </c>
    </row>
    <row r="345" spans="1:64" x14ac:dyDescent="0.15">
      <c r="B345" s="61" t="s">
        <v>405</v>
      </c>
      <c r="J345" s="62">
        <f>AVERAGE(J5:J340)</f>
        <v>5.924406378367121</v>
      </c>
      <c r="K345" s="62">
        <f>AVERAGE(K5:K340)</f>
        <v>5.1462886595880821</v>
      </c>
      <c r="L345" s="62">
        <f>AVERAGE(L5:L298)</f>
        <v>0.75636998246934395</v>
      </c>
      <c r="M345" s="62">
        <f>AVERAGE(M281:M340)</f>
        <v>0.63078815742274263</v>
      </c>
      <c r="AD345" s="62">
        <f>AVERAGE(AD5:AD340)</f>
        <v>5.7405263566305598</v>
      </c>
      <c r="AE345" s="62">
        <f>AVERAGE(AE5:AE340)</f>
        <v>5.1462886595880821</v>
      </c>
      <c r="AF345" s="62">
        <f>AVERAGE(AF5:AF298)</f>
        <v>0.57090837053874877</v>
      </c>
      <c r="AG345" s="62">
        <f>AVERAGE(AG281:AG340)</f>
        <v>0.51053201801778514</v>
      </c>
      <c r="AX345" s="8">
        <f>AVERAGE(AX5:AX340)</f>
        <v>4.2757513526227538E-2</v>
      </c>
      <c r="AZ345" s="4">
        <f>AVERAGE(AZ5:AZ340)</f>
        <v>0</v>
      </c>
      <c r="BA345" s="4">
        <f>AVERAGE(BA5:BA340)</f>
        <v>0</v>
      </c>
      <c r="BB345" s="4">
        <f>AVERAGE(BB5:BB298)</f>
        <v>-9.8170426088239726E-2</v>
      </c>
      <c r="BC345" s="4">
        <f>AVERAGE(BC5:BC298)</f>
        <v>0.1831020327765765</v>
      </c>
      <c r="BD345" s="4">
        <f>AVERAGE(BD5:BD298)</f>
        <v>0.27379859867454415</v>
      </c>
      <c r="BE345" s="4">
        <f>AVERAGE(BE281:BE340)</f>
        <v>-0.11477874630623748</v>
      </c>
      <c r="BG345" s="4">
        <f>AVERAGE(BG5:BG340)</f>
        <v>-5.4808865567859959E-2</v>
      </c>
      <c r="BH345" s="4">
        <f>AVERAGE(BH5:BH340)</f>
        <v>-5.4648765393434266E-2</v>
      </c>
      <c r="BI345" s="4">
        <f>AVERAGE(BI5:BI298)</f>
        <v>0.18812414414675133</v>
      </c>
      <c r="BJ345" s="4">
        <f>AVERAGE(BJ5:BJ298)</f>
        <v>0.50081003110627076</v>
      </c>
      <c r="BK345" s="4">
        <f>AVERAGE(BK5:BK298)</f>
        <v>0.55487636411432684</v>
      </c>
      <c r="BL345" s="4">
        <f>AVERAGE(BL281:BL340)</f>
        <v>0.1207610020389038</v>
      </c>
    </row>
    <row r="346" spans="1:64" hidden="1" outlineLevel="2" x14ac:dyDescent="0.15">
      <c r="A346" s="61" t="s">
        <v>406</v>
      </c>
      <c r="B346" s="61" t="s">
        <v>407</v>
      </c>
      <c r="Z346" s="64">
        <f>SUM(Z5:Z136,Z137:Z280,Z281:Z298,Z299:Z340)</f>
        <v>0</v>
      </c>
      <c r="AA346" s="64">
        <f>SUM(AA5:AA136,AA137:AA280,AA281:AA298,AA299:AA340)</f>
        <v>0</v>
      </c>
      <c r="AT346" s="64">
        <f>SUM(AT5:AT136,AT137:AT280,AT281:AT298,AT299:AT340)</f>
        <v>0</v>
      </c>
      <c r="AU346" s="64">
        <f>SUM(AU5:AU136,AU137:AU280,AU281:AU298,AU299:AU340)</f>
        <v>0</v>
      </c>
    </row>
    <row r="347" spans="1:64" hidden="1" outlineLevel="2" x14ac:dyDescent="0.15">
      <c r="B347" s="61" t="s">
        <v>408</v>
      </c>
      <c r="AT347" s="8" t="e">
        <f>AT346/Z346</f>
        <v>#DIV/0!</v>
      </c>
      <c r="AU347" s="8" t="e">
        <f>AU346/AA346</f>
        <v>#DIV/0!</v>
      </c>
    </row>
    <row r="348" spans="1:64" ht="27" hidden="1" outlineLevel="2" x14ac:dyDescent="0.15">
      <c r="B348" s="61" t="s">
        <v>409</v>
      </c>
      <c r="Z348" s="64" t="e">
        <f>GEOMEAN(Z5:Z136,Z137:Z280,Z281:Z298,Z299:Z340)</f>
        <v>#NUM!</v>
      </c>
      <c r="AA348" s="64" t="e">
        <f>GEOMEAN(AA5:AA136,AA137:AA280,AA281:AA298,AA299:AA340)</f>
        <v>#NUM!</v>
      </c>
      <c r="AT348" s="64" t="e">
        <f>GEOMEAN(AT5:AT136,AT137:AT280,AT281:AT298,AT299:AT340)</f>
        <v>#NUM!</v>
      </c>
      <c r="AU348" s="64" t="e">
        <f>GEOMEAN(AU5:AU136,AU137:AU280,AU281:AU298,AU299:AU340)</f>
        <v>#NUM!</v>
      </c>
    </row>
    <row r="349" spans="1:64" ht="27" outlineLevel="2" collapsed="1" x14ac:dyDescent="0.15">
      <c r="B349" s="61" t="s">
        <v>410</v>
      </c>
      <c r="AT349" s="8" t="e">
        <f>AT348/Z348</f>
        <v>#NUM!</v>
      </c>
      <c r="AU349" s="8" t="e">
        <f>AU348/AA348</f>
        <v>#NUM!</v>
      </c>
    </row>
  </sheetData>
  <mergeCells count="34">
    <mergeCell ref="A2:A3"/>
    <mergeCell ref="B2:B3"/>
    <mergeCell ref="C2:C3"/>
    <mergeCell ref="D2:D3"/>
    <mergeCell ref="E2:E3"/>
    <mergeCell ref="F2:F3"/>
    <mergeCell ref="G2:G3"/>
    <mergeCell ref="I2:I3"/>
    <mergeCell ref="J2:M2"/>
    <mergeCell ref="N2:N3"/>
    <mergeCell ref="AD2:AG2"/>
    <mergeCell ref="AH2:AH3"/>
    <mergeCell ref="AI2:AI3"/>
    <mergeCell ref="O2:O3"/>
    <mergeCell ref="P2:S2"/>
    <mergeCell ref="T2:U2"/>
    <mergeCell ref="V2:Y2"/>
    <mergeCell ref="Z2:Z3"/>
    <mergeCell ref="BI2:BL2"/>
    <mergeCell ref="A1:G1"/>
    <mergeCell ref="I1:AA1"/>
    <mergeCell ref="AC1:AU1"/>
    <mergeCell ref="AW2:AW3"/>
    <mergeCell ref="AX2:AX3"/>
    <mergeCell ref="AZ2:BA2"/>
    <mergeCell ref="BB2:BE2"/>
    <mergeCell ref="BG2:BH2"/>
    <mergeCell ref="AJ2:AM2"/>
    <mergeCell ref="AN2:AO2"/>
    <mergeCell ref="AP2:AS2"/>
    <mergeCell ref="AT2:AT3"/>
    <mergeCell ref="AU2:AU3"/>
    <mergeCell ref="AA2:AA3"/>
    <mergeCell ref="AC2:AC3"/>
  </mergeCells>
  <phoneticPr fontId="2" type="noConversion"/>
  <conditionalFormatting sqref="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AZ230 AZ231 AZ232 AZ233 AZ234 AZ235 AZ236 AZ237 AZ238 AZ239 AZ240 AZ241 AZ242 AZ243 AZ244 AZ245 AZ246 AZ247 AZ248 AZ249 AZ250 AZ251 AZ252 AZ253 AZ254 AZ255 AZ256 AZ257 AZ258 AZ259 AZ260 AZ261 AZ262 AZ263 AZ264 AZ265 AZ266 AZ267 AZ268 AZ269 AZ270 AZ271 AZ272 AZ273 AZ274 AZ275 AZ276 AZ277 AZ278 AZ279 AZ280 AZ281 AZ282 AZ283 AZ284 AZ285 AZ286 AZ287 AZ288 AZ289 AZ290 AZ291 AZ292 AZ293 AZ294 AZ295 AZ296 AZ297 AZ298 AZ299 AZ300 AZ301 AZ302 AZ303 AZ304 AZ305 AZ306 AZ307 AZ308 AZ309 AZ310 AZ311 AZ312 AZ313 AZ314 AZ315 AZ316 AZ317 AZ318 AZ319 AZ320 AZ321 AZ322 AZ323 AZ324 AZ325 AZ326 AZ327 AZ328 AZ329 AZ330 AZ331 AZ332 AZ333 AZ334 AZ335 AZ336 AZ337 AZ338 AZ339 AZ340 AZ341 AZ342 AZ343 AZ344 AZ345">
    <cfRule type="cellIs" dxfId="63" priority="13" operator="greaterThanOrEqual">
      <formula>0.03</formula>
    </cfRule>
    <cfRule type="cellIs" dxfId="62" priority="14" operator="lessThanOrEqual">
      <formula>-0.03</formula>
    </cfRule>
  </conditionalFormatting>
  <conditionalFormatting sqref="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BA230 BA231 BA232 BA233 BA234 BA235 BA236 BA237 BA238 BA239 BA240 BA241 BA242 BA243 BA244 BA245 BA246 BA247 BA248 BA249 BA250 BA251 BA252 BA253 BA254 BA255 BA256 BA257 BA258 BA259 BA260 BA261 BA262 BA263 BA264 BA265 BA266 BA267 BA268 BA269 BA270 BA271 BA272 BA273 BA274 BA275 BA276 BA277 BA278 BA279 BA280 BA281 BA282 BA283 BA284 BA285 BA286 BA287 BA288 BA289 BA290 BA291 BA292 BA293 BA294 BA295 BA296 BA297 BA298 BA299 BA300 BA301 BA302 BA303 BA304 BA305 BA306 BA307 BA308 BA309 BA310 BA311 BA312 BA313 BA314 BA315 BA316 BA317 BA318 BA319 BA320 BA321 BA322 BA323 BA324 BA325 BA326 BA327 BA328 BA329 BA330 BA331 BA332 BA333 BA334 BA335 BA336 BA337 BA338 BA339 BA340 BA341 BA342 BA343 BA344 BA345">
    <cfRule type="cellIs" dxfId="61" priority="17" operator="greaterThanOrEqual">
      <formula>0.03</formula>
    </cfRule>
    <cfRule type="cellIs" dxfId="60" priority="18" operator="lessThanOrEqual">
      <formula>-0.03</formula>
    </cfRule>
  </conditionalFormatting>
  <conditionalFormatting sqref="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BB230 BB231 BB232 BB233 BB234 BB235 BB236 BB237 BB238 BB239 BB240 BB241 BB242 BB243 BB244 BB245 BB246 BB247 BB248 BB249 BB250 BB251 BB252 BB253 BB254 BB255 BB256 BB257 BB258 BB259 BB260 BB261 BB262 BB263 BB264 BB265 BB266 BB267 BB268 BB269 BB270 BB271 BB272 BB273 BB274 BB275 BB276 BB277 BB278 BB279 BB280 BB281 BB282 BB283 BB284 BB285 BB286 BB287 BB288 BB289 BB290 BB291 BB292 BB293 BB294 BB295 BB296 BB297 BB298 BB299 BB300 BB301 BB302 BB303 BB304 BB305 BB306 BB307 BB308 BB309 BB310 BB311 BB312 BB313 BB314 BB315 BB316 BB317 BB318 BB319 BB320 BB321 BB322 BB323 BB324 BB325 BB326 BB327 BB328 BB329 BB330 BB331 BB332 BB333 BB334 BB335 BB336 BB337 BB338 BB339 BB340 BB341 BB342 BB343 BB345">
    <cfRule type="cellIs" dxfId="59" priority="19" operator="greaterThanOrEqual">
      <formula>0.03</formula>
    </cfRule>
    <cfRule type="cellIs" dxfId="58" priority="20" operator="lessThanOrEqual">
      <formula>-0.03</formula>
    </cfRule>
  </conditionalFormatting>
  <conditionalFormatting sqref="BC5 BC6 BC7 BC8 BC9 BC10 BC11 BC12 BC13 BC14 BC15 BC16 BC17 BC18 BC19 BC20 BC21 BC22 BC23 BC24 BC25 BC26 BC27 BC28 BC29 BC30 BC31 BC32 BC33 BC34 BC35 BC36 BC37 BC38 BC39 BC40 BC41 BC42 BC43 BC44 BC45 BC46 BC47 BC48 BC49 BC50 BC51 BC52 BC53 BC54 BC55 BC56 BC57 BC58 BC59 BC60 BC61 BC62 BC63 BC64 BC65 BC66 BC67 BC68 BC69 BC70 BC71 BC72 BC73 BC74 BC75 BC76 BC77 BC78 BC79 BC80 BC81 BC82 BC83 BC84 BC85 BC86 BC87 BC88 BC89 BC90 BC91 BC92 BC93 BC94 BC95 BC96 BC97 BC98 BC99 BC100 BC101 BC102 BC103 BC104 BC105 BC106 BC107 BC108 BC109 BC110 BC111 BC112 BC113 BC114 BC115 BC116 BC117 BC118 BC119 BC120 BC121 BC122 BC123 BC124 BC125 BC126 BC127 BC128 BC129 BC130 BC131 BC132 BC133 BC134 BC135 BC136 BC137 BC138 BC139 BC140 BC141 BC142 BC143 BC144 BC145 BC146 BC147 BC148 BC149 BC150 BC151 BC152 BC153 BC154 BC155 BC156 BC157 BC158 BC159 BC160 BC161 BC162 BC163 BC164 BC165 BC166 BC167 BC168 BC169 BC170 BC171 BC172 BC173 BC174 BC175 BC176 BC177 BC178 BC179 BC180 BC181 BC182 BC183 BC184 BC185 BC186 BC187 BC188 BC189 BC190 BC191 BC192 BC193 BC194 BC195 BC196 BC197 BC198 BC199 BC200 BC201 BC202 BC203 BC204 BC205 BC206 BC207 BC208 BC209 BC210 BC211 BC212 BC213 BC214 BC215 BC216 BC217 BC218 BC219 BC220 BC221 BC222 BC223 BC224 BC225 BC226 BC227 BC228 BC229 BC230 BC231 BC232 BC233 BC234 BC235 BC236 BC237 BC238 BC239 BC240 BC241 BC242 BC243 BC244 BC245 BC246 BC247 BC248 BC249 BC250 BC251 BC252 BC253 BC254 BC255 BC256 BC257 BC258 BC259 BC260 BC261 BC262 BC263 BC264 BC265 BC266 BC267 BC268 BC269 BC270 BC271 BC272 BC273 BC274 BC275 BC276 BC277 BC278 BC279 BC280 BC281 BC282 BC283 BC284 BC285 BC286 BC287 BC288 BC289 BC290 BC291 BC292 BC293 BC294 BC295 BC296 BC297 BC298 BC299 BC300 BC301 BC302 BC303 BC304 BC305 BC306 BC307 BC308 BC309 BC310 BC311 BC312 BC313 BC314 BC315 BC316 BC317 BC318 BC319 BC320 BC321 BC322 BC323 BC324 BC325 BC326 BC327 BC328 BC329 BC330 BC331 BC332 BC333 BC334 BC335 BC336 BC337 BC338 BC339 BC340 BC341 BC342 BC343 BC345">
    <cfRule type="cellIs" dxfId="57" priority="23" operator="greaterThanOrEqual">
      <formula>0.03</formula>
    </cfRule>
    <cfRule type="cellIs" dxfId="56" priority="24" operator="lessThanOrEqual">
      <formula>-0.03</formula>
    </cfRule>
  </conditionalFormatting>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8 BD289 BD290 BD291 BD292 BD293 BD294 BD295 BD296 BD297 BD298 BD299 BD300 BD301 BD302 BD303 BD304 BD305 BD306 BD307 BD308 BD309 BD310 BD311 BD312 BD313 BD314 BD315 BD316 BD317 BD318 BD319 BD320 BD321 BD322 BD323 BD324 BD325 BD326 BD327 BD328 BD329 BD330 BD331 BD332 BD333 BD334 BD335 BD336 BD337 BD338 BD339 BD340 BD341 BD342 BD343 BD345">
    <cfRule type="cellIs" dxfId="55" priority="21" operator="greaterThanOrEqual">
      <formula>0.03</formula>
    </cfRule>
    <cfRule type="cellIs" dxfId="54" priority="22"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8 BE289 BE290 BE291 BE292 BE293 BE294 BE295 BE296 BE297 BE298 BE299 BE300 BE301 BE302 BE303 BE304 BE305 BE306 BE307 BE308 BE309 BE310 BE311 BE312 BE313 BE314 BE315 BE316 BE317 BE318 BE319 BE320 BE321 BE322 BE323 BE324 BE325 BE326 BE327 BE328 BE329 BE330 BE331 BE332 BE333 BE334 BE335 BE336 BE337 BE338 BE339 BE340 BE343 BE344 BE345">
    <cfRule type="cellIs" dxfId="53" priority="1" operator="greaterThanOrEqual">
      <formula>0.03</formula>
    </cfRule>
    <cfRule type="cellIs" dxfId="52" priority="2"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5 BG286 BG287 BG288 BG289 BG290 BG291 BG292 BG293 BG294 BG295 BG296 BG297 BG298 BG299 BG300 BG301 BG302 BG303 BG304 BG305 BG306 BG307 BG308 BG309 BG310 BG311 BG312 BG313 BG314 BG315 BG316 BG317 BG318 BG319 BG320 BG321 BG322 BG323 BG324 BG325 BG326 BG327 BG328 BG329 BG330 BG331 BG332 BG333 BG334 BG335 BG336 BG337 BG338 BG339 BG340 BG341 BG342 BG343 BG344 BG345">
    <cfRule type="cellIs" dxfId="51" priority="11" operator="greaterThanOrEqual">
      <formula>0.03</formula>
    </cfRule>
    <cfRule type="cellIs" dxfId="50" priority="12" operator="lessThanOrEqual">
      <formula>-0.03</formula>
    </cfRule>
  </conditionalFormatting>
  <conditionalFormatting sqref="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BH230 BH231 BH232 BH233 BH234 BH235 BH236 BH237 BH238 BH239 BH240 BH241 BH242 BH243 BH244 BH245 BH246 BH247 BH248 BH249 BH250 BH251 BH252 BH253 BH254 BH255 BH256 BH257 BH258 BH259 BH260 BH261 BH262 BH263 BH264 BH265 BH266 BH267 BH268 BH269 BH270 BH271 BH272 BH273 BH274 BH275 BH276 BH277 BH278 BH279 BH280 BH281 BH282 BH283 BH284 BH285 BH286 BH287 BH288 BH289 BH290 BH291 BH292 BH293 BH294 BH295 BH296 BH297 BH298 BH299 BH300 BH301 BH302 BH303 BH304 BH305 BH306 BH307 BH308 BH309 BH310 BH311 BH312 BH313 BH314 BH315 BH316 BH317 BH318 BH319 BH320 BH321 BH322 BH323 BH324 BH325 BH326 BH327 BH328 BH329 BH330 BH331 BH332 BH333 BH334 BH335 BH336 BH337 BH338 BH339 BH340 BH341 BH342 BH343 BH344 BH345">
    <cfRule type="cellIs" dxfId="49" priority="9" operator="greaterThanOrEqual">
      <formula>0.03</formula>
    </cfRule>
    <cfRule type="cellIs" dxfId="48" priority="10"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8 BI289 BI290 BI291 BI292 BI293 BI294 BI295 BI296 BI297 BI298 BI299 BI300 BI301 BI302 BI303 BI304 BI305 BI306 BI307 BI308 BI309 BI310 BI311 BI312 BI313 BI314 BI315 BI316 BI317 BI318 BI319 BI320 BI321 BI322 BI323 BI324 BI325 BI326 BI327 BI328 BI329 BI330 BI331 BI332 BI333 BI334 BI335 BI336 BI337 BI338 BI339 BI340 BI341 BI342 BI343 BI345">
    <cfRule type="cellIs" dxfId="47" priority="3" operator="greaterThanOrEqual">
      <formula>0.03</formula>
    </cfRule>
    <cfRule type="cellIs" dxfId="46" priority="4"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8 BJ289 BJ290 BJ291 BJ292 BJ293 BJ294 BJ295 BJ296 BJ297 BJ298 BJ299 BJ300 BJ301 BJ302 BJ303 BJ304 BJ305 BJ306 BJ307 BJ308 BJ309 BJ310 BJ311 BJ312 BJ313 BJ314 BJ315 BJ316 BJ317 BJ318 BJ319 BJ320 BJ321 BJ322 BJ323 BJ324 BJ325 BJ326 BJ327 BJ328 BJ329 BJ330 BJ331 BJ332 BJ333 BJ334 BJ335 BJ336 BJ337 BJ338 BJ339 BJ340 BJ341 BJ342 BJ343 BJ345">
    <cfRule type="cellIs" dxfId="45" priority="5" operator="greaterThanOrEqual">
      <formula>0.03</formula>
    </cfRule>
    <cfRule type="cellIs" dxfId="44" priority="6"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8 BK289 BK290 BK291 BK292 BK293 BK294 BK295 BK296 BK297 BK298 BK299 BK300 BK301 BK302 BK303 BK304 BK305 BK306 BK307 BK308 BK309 BK310 BK311 BK312 BK313 BK314 BK315 BK316 BK317 BK318 BK319 BK320 BK321 BK322 BK323 BK324 BK325 BK326 BK327 BK328 BK329 BK330 BK331 BK332 BK333 BK334 BK335 BK336 BK337 BK338 BK339 BK340 BK341 BK342 BK343 BK345">
    <cfRule type="cellIs" dxfId="43" priority="15" operator="greaterThanOrEqual">
      <formula>0.03</formula>
    </cfRule>
    <cfRule type="cellIs" dxfId="42" priority="16"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5 BL286 BL287 BL288 BL289 BL290 BL291 BL292 BL293 BL294 BL295 BL296 BL297 BL298 BL299 BL300 BL301 BL302 BL303 BL304 BL305 BL306 BL307 BL308 BL309 BL310 BL311 BL312 BL313 BL314 BL315 BL316 BL317 BL318 BL319 BL320 BL321 BL322 BL323 BL324 BL325 BL326 BL327 BL328 BL329 BL330 BL331 BL332 BL333 BL334 BL335 BL336 BL337 BL338 BL339 BL340 BL343 BL344 BL345">
    <cfRule type="cellIs" dxfId="41" priority="7" operator="greaterThanOrEqual">
      <formula>0.03</formula>
    </cfRule>
    <cfRule type="cellIs" dxfId="40" priority="8"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Q69"/>
  <sheetViews>
    <sheetView zoomScale="55" zoomScaleNormal="55" workbookViewId="0">
      <pane xSplit="2" ySplit="4" topLeftCell="C5" activePane="bottomRight" state="frozen"/>
      <selection pane="topRight" activeCell="C1" sqref="C1"/>
      <selection pane="bottomLeft" activeCell="A5" sqref="A5"/>
      <selection pane="bottomRight" activeCell="Y29" sqref="Y29"/>
    </sheetView>
  </sheetViews>
  <sheetFormatPr defaultRowHeight="13.5" outlineLevelRow="2" x14ac:dyDescent="0.15"/>
  <cols>
    <col min="1" max="1" width="9.125"/>
    <col min="2" max="2" width="24.625" customWidth="1"/>
    <col min="3" max="4" width="10.625" customWidth="1"/>
    <col min="5" max="6" width="9.125"/>
    <col min="7" max="7" width="1.625" customWidth="1"/>
    <col min="8" max="9" width="9.125"/>
    <col min="10" max="12" width="10.625" customWidth="1"/>
    <col min="13" max="13" width="11.625" customWidth="1"/>
    <col min="14" max="14" width="12.625" customWidth="1"/>
    <col min="15" max="15" width="10.625" customWidth="1"/>
    <col min="16" max="19" width="12.625" customWidth="1"/>
    <col min="20" max="21" width="9.125"/>
    <col min="22" max="22" width="1.625" customWidth="1"/>
    <col min="23" max="24" width="9.125"/>
    <col min="25" max="27" width="10.625" customWidth="1"/>
    <col min="28" max="28" width="11.625" customWidth="1"/>
    <col min="29" max="29" width="12.625" customWidth="1"/>
    <col min="30" max="30" width="10.625" customWidth="1"/>
    <col min="31" max="34" width="12.625" customWidth="1"/>
    <col min="35" max="36" width="9.125"/>
    <col min="37" max="37" width="1.625" customWidth="1"/>
    <col min="38" max="43" width="9.125"/>
    <col min="44" max="44" width="1.625" customWidth="1"/>
  </cols>
  <sheetData>
    <row r="1" spans="1:43" x14ac:dyDescent="0.15">
      <c r="A1" s="90" t="s">
        <v>661</v>
      </c>
      <c r="B1" s="90"/>
      <c r="C1" s="90"/>
      <c r="D1" s="90"/>
      <c r="E1" s="90"/>
      <c r="F1" s="90"/>
      <c r="H1" s="86" t="s">
        <v>990</v>
      </c>
      <c r="I1" s="86"/>
      <c r="J1" s="86"/>
      <c r="K1" s="86"/>
      <c r="L1" s="86"/>
      <c r="M1" s="86"/>
      <c r="N1" s="86"/>
      <c r="O1" s="86"/>
      <c r="P1" s="86"/>
      <c r="Q1" s="86"/>
      <c r="R1" s="86"/>
      <c r="S1" s="86"/>
      <c r="T1" s="86"/>
      <c r="U1" s="86"/>
      <c r="W1" s="87" t="s">
        <v>991</v>
      </c>
      <c r="X1" s="87"/>
      <c r="Y1" s="87"/>
      <c r="Z1" s="87"/>
      <c r="AA1" s="87"/>
      <c r="AB1" s="87"/>
      <c r="AC1" s="87"/>
      <c r="AD1" s="87"/>
      <c r="AE1" s="87"/>
      <c r="AF1" s="87"/>
      <c r="AG1" s="87"/>
      <c r="AH1" s="87"/>
      <c r="AI1" s="87"/>
      <c r="AJ1" s="87"/>
    </row>
    <row r="2" spans="1:43" ht="30" customHeight="1" x14ac:dyDescent="0.15">
      <c r="A2" s="92" t="s">
        <v>91</v>
      </c>
      <c r="B2" s="91" t="s">
        <v>94</v>
      </c>
      <c r="C2" s="92" t="s">
        <v>100</v>
      </c>
      <c r="D2" s="91" t="s">
        <v>103</v>
      </c>
      <c r="E2" s="92" t="s">
        <v>106</v>
      </c>
      <c r="F2" s="91" t="s">
        <v>109</v>
      </c>
      <c r="H2" s="92" t="s">
        <v>619</v>
      </c>
      <c r="I2" s="91" t="s">
        <v>112</v>
      </c>
      <c r="J2" s="89" t="s">
        <v>115</v>
      </c>
      <c r="K2" s="89"/>
      <c r="L2" s="89"/>
      <c r="M2" s="89"/>
      <c r="N2" s="91" t="s">
        <v>128</v>
      </c>
      <c r="O2" s="92" t="s">
        <v>22</v>
      </c>
      <c r="P2" s="88" t="s">
        <v>133</v>
      </c>
      <c r="Q2" s="88"/>
      <c r="R2" s="88"/>
      <c r="S2" s="88"/>
      <c r="T2" s="92" t="s">
        <v>155</v>
      </c>
      <c r="U2" s="91" t="s">
        <v>158</v>
      </c>
      <c r="W2" s="92" t="s">
        <v>619</v>
      </c>
      <c r="X2" s="91" t="s">
        <v>112</v>
      </c>
      <c r="Y2" s="89" t="s">
        <v>115</v>
      </c>
      <c r="Z2" s="89"/>
      <c r="AA2" s="89"/>
      <c r="AB2" s="89"/>
      <c r="AC2" s="91" t="s">
        <v>128</v>
      </c>
      <c r="AD2" s="92" t="s">
        <v>22</v>
      </c>
      <c r="AE2" s="88" t="s">
        <v>133</v>
      </c>
      <c r="AF2" s="88"/>
      <c r="AG2" s="88"/>
      <c r="AH2" s="88"/>
      <c r="AI2" s="92" t="s">
        <v>155</v>
      </c>
      <c r="AJ2" s="91" t="s">
        <v>158</v>
      </c>
      <c r="AL2" s="89" t="s">
        <v>650</v>
      </c>
      <c r="AM2" s="89"/>
      <c r="AN2" s="89"/>
      <c r="AO2" s="89"/>
      <c r="AP2" s="91" t="s">
        <v>195</v>
      </c>
      <c r="AQ2" s="92" t="s">
        <v>195</v>
      </c>
    </row>
    <row r="3" spans="1:43" ht="27" x14ac:dyDescent="0.15">
      <c r="A3" s="92"/>
      <c r="B3" s="91"/>
      <c r="C3" s="92"/>
      <c r="D3" s="91"/>
      <c r="E3" s="92"/>
      <c r="F3" s="91"/>
      <c r="H3" s="92"/>
      <c r="I3" s="91"/>
      <c r="J3" s="12" t="s">
        <v>116</v>
      </c>
      <c r="K3" s="12" t="s">
        <v>119</v>
      </c>
      <c r="L3" s="12" t="s">
        <v>122</v>
      </c>
      <c r="M3" s="12" t="s">
        <v>125</v>
      </c>
      <c r="N3" s="91"/>
      <c r="O3" s="92"/>
      <c r="P3" s="13" t="s">
        <v>116</v>
      </c>
      <c r="Q3" s="13" t="s">
        <v>119</v>
      </c>
      <c r="R3" s="13" t="s">
        <v>138</v>
      </c>
      <c r="S3" s="13" t="s">
        <v>125</v>
      </c>
      <c r="T3" s="92"/>
      <c r="U3" s="91"/>
      <c r="W3" s="92"/>
      <c r="X3" s="91"/>
      <c r="Y3" s="12" t="s">
        <v>116</v>
      </c>
      <c r="Z3" s="12" t="s">
        <v>119</v>
      </c>
      <c r="AA3" s="12" t="s">
        <v>122</v>
      </c>
      <c r="AB3" s="12" t="s">
        <v>125</v>
      </c>
      <c r="AC3" s="91"/>
      <c r="AD3" s="92"/>
      <c r="AE3" s="13" t="s">
        <v>116</v>
      </c>
      <c r="AF3" s="13" t="s">
        <v>119</v>
      </c>
      <c r="AG3" s="13" t="s">
        <v>138</v>
      </c>
      <c r="AH3" s="13" t="s">
        <v>125</v>
      </c>
      <c r="AI3" s="92"/>
      <c r="AJ3" s="91"/>
      <c r="AL3" s="12" t="s">
        <v>116</v>
      </c>
      <c r="AM3" s="12" t="s">
        <v>119</v>
      </c>
      <c r="AN3" s="12" t="s">
        <v>138</v>
      </c>
      <c r="AO3" s="12" t="s">
        <v>125</v>
      </c>
      <c r="AP3" s="91"/>
      <c r="AQ3" s="92"/>
    </row>
    <row r="4" spans="1:43" ht="91.5" hidden="1" x14ac:dyDescent="0.15">
      <c r="A4" s="14" t="s">
        <v>92</v>
      </c>
      <c r="B4" s="15" t="s">
        <v>95</v>
      </c>
      <c r="C4" s="14" t="s">
        <v>101</v>
      </c>
      <c r="D4" s="15" t="s">
        <v>104</v>
      </c>
      <c r="E4" s="14" t="s">
        <v>107</v>
      </c>
      <c r="F4" s="15" t="s">
        <v>110</v>
      </c>
      <c r="H4" s="14" t="s">
        <v>620</v>
      </c>
      <c r="I4" s="15" t="s">
        <v>113</v>
      </c>
      <c r="J4" s="14" t="s">
        <v>117</v>
      </c>
      <c r="K4" s="14" t="s">
        <v>120</v>
      </c>
      <c r="L4" s="14" t="s">
        <v>123</v>
      </c>
      <c r="M4" s="14" t="s">
        <v>126</v>
      </c>
      <c r="N4" s="15" t="s">
        <v>129</v>
      </c>
      <c r="O4" s="14" t="s">
        <v>131</v>
      </c>
      <c r="P4" s="15" t="s">
        <v>134</v>
      </c>
      <c r="Q4" s="15" t="s">
        <v>136</v>
      </c>
      <c r="R4" s="15" t="s">
        <v>139</v>
      </c>
      <c r="S4" s="15" t="s">
        <v>141</v>
      </c>
      <c r="T4" s="14" t="s">
        <v>156</v>
      </c>
      <c r="U4" s="15" t="s">
        <v>159</v>
      </c>
      <c r="W4" s="14" t="s">
        <v>635</v>
      </c>
      <c r="X4" s="15" t="s">
        <v>161</v>
      </c>
      <c r="Y4" s="14" t="s">
        <v>163</v>
      </c>
      <c r="Z4" s="14" t="s">
        <v>165</v>
      </c>
      <c r="AA4" s="14" t="s">
        <v>167</v>
      </c>
      <c r="AB4" s="14" t="s">
        <v>169</v>
      </c>
      <c r="AC4" s="15" t="s">
        <v>171</v>
      </c>
      <c r="AD4" s="14" t="s">
        <v>173</v>
      </c>
      <c r="AE4" s="15" t="s">
        <v>175</v>
      </c>
      <c r="AF4" s="15" t="s">
        <v>177</v>
      </c>
      <c r="AG4" s="15" t="s">
        <v>179</v>
      </c>
      <c r="AH4" s="15" t="s">
        <v>181</v>
      </c>
      <c r="AI4" s="14" t="s">
        <v>191</v>
      </c>
      <c r="AJ4" s="15" t="s">
        <v>193</v>
      </c>
      <c r="AL4" s="14" t="s">
        <v>651</v>
      </c>
      <c r="AM4" s="14" t="s">
        <v>653</v>
      </c>
      <c r="AN4" s="14" t="s">
        <v>655</v>
      </c>
      <c r="AO4" s="14" t="s">
        <v>657</v>
      </c>
      <c r="AP4" s="15" t="s">
        <v>196</v>
      </c>
      <c r="AQ4" s="14" t="s">
        <v>198</v>
      </c>
    </row>
    <row r="5" spans="1:43" collapsed="1" x14ac:dyDescent="0.15">
      <c r="A5" s="16" t="s">
        <v>224</v>
      </c>
      <c r="B5" s="16" t="s">
        <v>223</v>
      </c>
      <c r="C5" s="16">
        <v>2925514</v>
      </c>
      <c r="D5" s="18">
        <v>11</v>
      </c>
      <c r="E5" s="17">
        <v>1</v>
      </c>
      <c r="F5" s="17"/>
      <c r="H5" s="28">
        <f t="shared" ref="H5:H36" si="0">IF(ISBLANK(P5),"·",P5/(C5*(D5*3+IF(AND(ISNUMBER(R5),R5&gt;0),24,0)+IF(AND(ISNUMBER(S5),S5&gt;0),8,0))))</f>
        <v>0.15097781767520019</v>
      </c>
      <c r="I5" s="19" t="str">
        <f t="shared" ref="I5:I36" si="1">IF(OR(ISBLANK(P5),ISBLANK(F5)),"·",P5*F5/E5/1000000)</f>
        <v>·</v>
      </c>
      <c r="J5" s="20">
        <f t="shared" ref="J5:J36" si="2">IF(ISBLANK(P5),"·",P5/C5)</f>
        <v>8.6057356074864106</v>
      </c>
      <c r="K5" s="20">
        <f t="shared" ref="K5:K36" si="3">IF(Q5="","·",Q5/C5)</f>
        <v>0.89312715645865992</v>
      </c>
      <c r="L5" s="20">
        <f t="shared" ref="L5:L36" si="4">IF(ISBLANK(R5),"·",R5/C5)</f>
        <v>7.7122857726881495</v>
      </c>
      <c r="M5" s="21"/>
      <c r="N5" s="20">
        <f t="shared" ref="N5:N36" si="5">IF(ISBLANK(P5),"·",P5/O5)</f>
        <v>8.6057356074864106</v>
      </c>
      <c r="O5" s="22">
        <v>2925514</v>
      </c>
      <c r="P5" s="23">
        <v>25176200</v>
      </c>
      <c r="Q5" s="23">
        <v>2612856</v>
      </c>
      <c r="R5" s="23">
        <v>22562400</v>
      </c>
      <c r="S5" s="24"/>
      <c r="T5" s="27"/>
      <c r="U5" s="27"/>
      <c r="W5" s="28">
        <f t="shared" ref="W5:W36" si="6">IF(ISBLANK(AE5),"·",AE5/(C5*(D5*3+IF(AND(ISNUMBER(AG5),AG5&gt;0),24,0)+IF(AND(ISNUMBER(AH5),AH5&gt;0),8,0))))</f>
        <v>0.15097781767520019</v>
      </c>
      <c r="X5" s="19" t="str">
        <f t="shared" ref="X5:X36" si="7">IF(OR(ISBLANK(AE5),ISBLANK(F5)),"·",AE5*F5/E5/1000000)</f>
        <v>·</v>
      </c>
      <c r="Y5" s="20">
        <f t="shared" ref="Y5:Y36" si="8">IF(ISBLANK(AE5),"·",AE5/C5)</f>
        <v>8.6057356074864106</v>
      </c>
      <c r="Z5" s="20">
        <f t="shared" ref="Z5:Z36" si="9">IF(AF5="","·",AF5/C5)</f>
        <v>0.89312715645865992</v>
      </c>
      <c r="AA5" s="20">
        <f t="shared" ref="AA5:AA36" si="10">IF(ISBLANK(AG5),"·",AG5/C5)</f>
        <v>7.7122857726881495</v>
      </c>
      <c r="AB5" s="21"/>
      <c r="AC5" s="20">
        <f t="shared" ref="AC5:AC36" si="11">IF(ISBLANK(AE5),"·",AE5/AD5)</f>
        <v>8.6057356074864106</v>
      </c>
      <c r="AD5" s="22">
        <v>2925514</v>
      </c>
      <c r="AE5" s="23">
        <v>25176200</v>
      </c>
      <c r="AF5" s="23">
        <v>2612856</v>
      </c>
      <c r="AG5" s="23">
        <v>22562400</v>
      </c>
      <c r="AH5" s="24"/>
      <c r="AI5" s="27">
        <v>7.5190000000000001</v>
      </c>
      <c r="AJ5" s="27">
        <v>5.7869999999999999</v>
      </c>
      <c r="AL5" s="29">
        <f t="shared" ref="AL5:AL36" si="12">Y5/J5</f>
        <v>1</v>
      </c>
      <c r="AM5" s="29">
        <f t="shared" ref="AM5:AM36" si="13">Z5/K5</f>
        <v>1</v>
      </c>
      <c r="AN5" s="29">
        <f t="shared" ref="AN5:AN36" si="14">AA5/L5</f>
        <v>1</v>
      </c>
      <c r="AO5" s="30"/>
      <c r="AP5" s="28">
        <f t="shared" ref="AP5:AP36" si="15">(AF5/AE5) - (Q5/P5)</f>
        <v>0</v>
      </c>
      <c r="AQ5" s="28">
        <f t="array" ref="AQ5">AVERAGE(AF5:AF5/AE5:AE5) - AVERAGE(Q5:Q5/P5:P5)</f>
        <v>0</v>
      </c>
    </row>
    <row r="6" spans="1:43" collapsed="1" x14ac:dyDescent="0.15">
      <c r="A6" s="31"/>
      <c r="B6" s="31" t="s">
        <v>233</v>
      </c>
      <c r="C6" s="31">
        <v>3493085</v>
      </c>
      <c r="D6" s="33">
        <v>12</v>
      </c>
      <c r="E6" s="32">
        <v>1</v>
      </c>
      <c r="F6" s="32"/>
      <c r="H6" s="43">
        <f t="shared" si="0"/>
        <v>0.15955206739410388</v>
      </c>
      <c r="I6" s="34" t="str">
        <f t="shared" si="1"/>
        <v>·</v>
      </c>
      <c r="J6" s="35">
        <f t="shared" si="2"/>
        <v>9.5731240436462333</v>
      </c>
      <c r="K6" s="35">
        <f t="shared" si="3"/>
        <v>3.5692277743026581</v>
      </c>
      <c r="L6" s="35">
        <f t="shared" si="4"/>
        <v>6.0036557942334641</v>
      </c>
      <c r="M6" s="36"/>
      <c r="N6" s="35">
        <f t="shared" si="5"/>
        <v>9.5731240436462333</v>
      </c>
      <c r="O6" s="37">
        <v>3493085</v>
      </c>
      <c r="P6" s="38">
        <v>33439736</v>
      </c>
      <c r="Q6" s="38">
        <v>12467616</v>
      </c>
      <c r="R6" s="38">
        <v>20971280</v>
      </c>
      <c r="S6" s="39"/>
      <c r="T6" s="42"/>
      <c r="U6" s="42"/>
      <c r="W6" s="43">
        <f t="shared" si="6"/>
        <v>0.15955206739410388</v>
      </c>
      <c r="X6" s="34" t="str">
        <f t="shared" si="7"/>
        <v>·</v>
      </c>
      <c r="Y6" s="35">
        <f t="shared" si="8"/>
        <v>9.5731240436462333</v>
      </c>
      <c r="Z6" s="35">
        <f t="shared" si="9"/>
        <v>3.5692277743026581</v>
      </c>
      <c r="AA6" s="35">
        <f t="shared" si="10"/>
        <v>6.0036557942334641</v>
      </c>
      <c r="AB6" s="36"/>
      <c r="AC6" s="35">
        <f t="shared" si="11"/>
        <v>9.5731240436462333</v>
      </c>
      <c r="AD6" s="37">
        <v>3493085</v>
      </c>
      <c r="AE6" s="38">
        <v>33439736</v>
      </c>
      <c r="AF6" s="38">
        <v>12467616</v>
      </c>
      <c r="AG6" s="38">
        <v>20971280</v>
      </c>
      <c r="AH6" s="39"/>
      <c r="AI6" s="42">
        <v>11.356</v>
      </c>
      <c r="AJ6" s="42">
        <v>9.391</v>
      </c>
      <c r="AL6" s="44">
        <f t="shared" si="12"/>
        <v>1</v>
      </c>
      <c r="AM6" s="44">
        <f t="shared" si="13"/>
        <v>1</v>
      </c>
      <c r="AN6" s="44">
        <f t="shared" si="14"/>
        <v>1</v>
      </c>
      <c r="AO6" s="45"/>
      <c r="AP6" s="43">
        <f t="shared" si="15"/>
        <v>0</v>
      </c>
      <c r="AQ6" s="43">
        <f t="array" ref="AQ6">AVERAGE(AF6:AF6/AE6:AE6) - AVERAGE(Q6:Q6/P6:P6)</f>
        <v>0</v>
      </c>
    </row>
    <row r="7" spans="1:43" collapsed="1" x14ac:dyDescent="0.15">
      <c r="A7" s="16"/>
      <c r="B7" s="16" t="s">
        <v>236</v>
      </c>
      <c r="C7" s="16">
        <v>2592758</v>
      </c>
      <c r="D7" s="18">
        <v>11</v>
      </c>
      <c r="E7" s="17">
        <v>1</v>
      </c>
      <c r="F7" s="17"/>
      <c r="H7" s="28">
        <f t="shared" si="0"/>
        <v>0.15193667035020608</v>
      </c>
      <c r="I7" s="19" t="str">
        <f t="shared" si="1"/>
        <v>·</v>
      </c>
      <c r="J7" s="20">
        <f t="shared" si="2"/>
        <v>8.6603902099617471</v>
      </c>
      <c r="K7" s="20">
        <f t="shared" si="3"/>
        <v>0.87847149637567412</v>
      </c>
      <c r="L7" s="20">
        <f t="shared" si="4"/>
        <v>7.7816163328779622</v>
      </c>
      <c r="M7" s="21"/>
      <c r="N7" s="20">
        <f t="shared" si="5"/>
        <v>8.6603902099617471</v>
      </c>
      <c r="O7" s="22">
        <v>2592758</v>
      </c>
      <c r="P7" s="23">
        <v>22454296</v>
      </c>
      <c r="Q7" s="23">
        <v>2277664</v>
      </c>
      <c r="R7" s="23">
        <v>20175848</v>
      </c>
      <c r="S7" s="24"/>
      <c r="T7" s="27"/>
      <c r="U7" s="27"/>
      <c r="W7" s="28">
        <f t="shared" si="6"/>
        <v>0.15193667035020608</v>
      </c>
      <c r="X7" s="19" t="str">
        <f t="shared" si="7"/>
        <v>·</v>
      </c>
      <c r="Y7" s="20">
        <f t="shared" si="8"/>
        <v>8.6603902099617471</v>
      </c>
      <c r="Z7" s="20">
        <f t="shared" si="9"/>
        <v>0.87847149637567412</v>
      </c>
      <c r="AA7" s="20">
        <f t="shared" si="10"/>
        <v>7.7816163328779622</v>
      </c>
      <c r="AB7" s="21"/>
      <c r="AC7" s="20">
        <f t="shared" si="11"/>
        <v>8.6603902099617471</v>
      </c>
      <c r="AD7" s="22">
        <v>2592758</v>
      </c>
      <c r="AE7" s="23">
        <v>22454296</v>
      </c>
      <c r="AF7" s="23">
        <v>2277664</v>
      </c>
      <c r="AG7" s="23">
        <v>20175848</v>
      </c>
      <c r="AH7" s="24"/>
      <c r="AI7" s="27">
        <v>6.3639999999999999</v>
      </c>
      <c r="AJ7" s="27">
        <v>5.2880000000000003</v>
      </c>
      <c r="AL7" s="29">
        <f t="shared" si="12"/>
        <v>1</v>
      </c>
      <c r="AM7" s="29">
        <f t="shared" si="13"/>
        <v>1</v>
      </c>
      <c r="AN7" s="29">
        <f t="shared" si="14"/>
        <v>1</v>
      </c>
      <c r="AO7" s="30"/>
      <c r="AP7" s="28">
        <f t="shared" si="15"/>
        <v>0</v>
      </c>
      <c r="AQ7" s="28">
        <f t="array" ref="AQ7">AVERAGE(AF7:AF7/AE7:AE7) - AVERAGE(Q7:Q7/P7:P7)</f>
        <v>0</v>
      </c>
    </row>
    <row r="8" spans="1:43" collapsed="1" x14ac:dyDescent="0.15">
      <c r="A8" s="31"/>
      <c r="B8" s="31" t="s">
        <v>239</v>
      </c>
      <c r="C8" s="31">
        <v>272684</v>
      </c>
      <c r="D8" s="33">
        <v>12</v>
      </c>
      <c r="E8" s="32">
        <v>1</v>
      </c>
      <c r="F8" s="32"/>
      <c r="H8" s="43">
        <f t="shared" si="0"/>
        <v>0.35148523565739098</v>
      </c>
      <c r="I8" s="34" t="str">
        <f t="shared" si="1"/>
        <v>·</v>
      </c>
      <c r="J8" s="35">
        <f t="shared" si="2"/>
        <v>21.08911413944346</v>
      </c>
      <c r="K8" s="35">
        <f t="shared" si="3"/>
        <v>11.739009256135306</v>
      </c>
      <c r="L8" s="35">
        <f t="shared" si="4"/>
        <v>9.3481979140690328</v>
      </c>
      <c r="M8" s="36"/>
      <c r="N8" s="35">
        <f t="shared" si="5"/>
        <v>21.08911413944346</v>
      </c>
      <c r="O8" s="37">
        <v>272684</v>
      </c>
      <c r="P8" s="38">
        <v>5750664</v>
      </c>
      <c r="Q8" s="38">
        <v>3201040</v>
      </c>
      <c r="R8" s="38">
        <v>2549104</v>
      </c>
      <c r="S8" s="39"/>
      <c r="T8" s="42"/>
      <c r="U8" s="42"/>
      <c r="W8" s="43">
        <f t="shared" si="6"/>
        <v>0.35148523565739098</v>
      </c>
      <c r="X8" s="34" t="str">
        <f t="shared" si="7"/>
        <v>·</v>
      </c>
      <c r="Y8" s="35">
        <f t="shared" si="8"/>
        <v>21.08911413944346</v>
      </c>
      <c r="Z8" s="35">
        <f t="shared" si="9"/>
        <v>11.739009256135306</v>
      </c>
      <c r="AA8" s="35">
        <f t="shared" si="10"/>
        <v>9.3481979140690328</v>
      </c>
      <c r="AB8" s="36"/>
      <c r="AC8" s="35">
        <f t="shared" si="11"/>
        <v>21.08911413944346</v>
      </c>
      <c r="AD8" s="37">
        <v>272684</v>
      </c>
      <c r="AE8" s="38">
        <v>5750664</v>
      </c>
      <c r="AF8" s="38">
        <v>3201040</v>
      </c>
      <c r="AG8" s="38">
        <v>2549104</v>
      </c>
      <c r="AH8" s="39"/>
      <c r="AI8" s="42">
        <v>1.2010000000000001</v>
      </c>
      <c r="AJ8" s="42">
        <v>1.107</v>
      </c>
      <c r="AL8" s="44">
        <f t="shared" si="12"/>
        <v>1</v>
      </c>
      <c r="AM8" s="44">
        <f t="shared" si="13"/>
        <v>1</v>
      </c>
      <c r="AN8" s="44">
        <f t="shared" si="14"/>
        <v>1</v>
      </c>
      <c r="AO8" s="45"/>
      <c r="AP8" s="43">
        <f t="shared" si="15"/>
        <v>0</v>
      </c>
      <c r="AQ8" s="43">
        <f t="array" ref="AQ8">AVERAGE(AF8:AF8/AE8:AE8) - AVERAGE(Q8:Q8/P8:P8)</f>
        <v>0</v>
      </c>
    </row>
    <row r="9" spans="1:43" collapsed="1" x14ac:dyDescent="0.15">
      <c r="A9" s="16"/>
      <c r="B9" s="16" t="s">
        <v>242</v>
      </c>
      <c r="C9" s="16">
        <v>1596085</v>
      </c>
      <c r="D9" s="18">
        <v>12</v>
      </c>
      <c r="E9" s="17">
        <v>1</v>
      </c>
      <c r="F9" s="17"/>
      <c r="H9" s="28">
        <f t="shared" si="0"/>
        <v>0.30989042981211318</v>
      </c>
      <c r="I9" s="19" t="str">
        <f t="shared" si="1"/>
        <v>·</v>
      </c>
      <c r="J9" s="20">
        <f t="shared" si="2"/>
        <v>18.59342578872679</v>
      </c>
      <c r="K9" s="20">
        <f t="shared" si="3"/>
        <v>6.9863096263670164</v>
      </c>
      <c r="L9" s="20">
        <f t="shared" si="4"/>
        <v>11.606740242530943</v>
      </c>
      <c r="M9" s="21"/>
      <c r="N9" s="20">
        <f t="shared" si="5"/>
        <v>18.59342578872679</v>
      </c>
      <c r="O9" s="22">
        <v>1596085</v>
      </c>
      <c r="P9" s="23">
        <v>29676688</v>
      </c>
      <c r="Q9" s="23">
        <v>11150744</v>
      </c>
      <c r="R9" s="23">
        <v>18525344</v>
      </c>
      <c r="S9" s="24"/>
      <c r="T9" s="27"/>
      <c r="U9" s="27"/>
      <c r="W9" s="28">
        <f t="shared" si="6"/>
        <v>0.30989042981211318</v>
      </c>
      <c r="X9" s="19" t="str">
        <f t="shared" si="7"/>
        <v>·</v>
      </c>
      <c r="Y9" s="20">
        <f t="shared" si="8"/>
        <v>18.59342578872679</v>
      </c>
      <c r="Z9" s="20">
        <f t="shared" si="9"/>
        <v>6.9863096263670164</v>
      </c>
      <c r="AA9" s="20">
        <f t="shared" si="10"/>
        <v>11.606740242530943</v>
      </c>
      <c r="AB9" s="21"/>
      <c r="AC9" s="20">
        <f t="shared" si="11"/>
        <v>18.59342578872679</v>
      </c>
      <c r="AD9" s="22">
        <v>1596085</v>
      </c>
      <c r="AE9" s="23">
        <v>29676688</v>
      </c>
      <c r="AF9" s="23">
        <v>11150744</v>
      </c>
      <c r="AG9" s="23">
        <v>18525344</v>
      </c>
      <c r="AH9" s="24"/>
      <c r="AI9" s="27">
        <v>6.9729999999999999</v>
      </c>
      <c r="AJ9" s="27">
        <v>6.2080000000000002</v>
      </c>
      <c r="AL9" s="29">
        <f t="shared" si="12"/>
        <v>1</v>
      </c>
      <c r="AM9" s="29">
        <f t="shared" si="13"/>
        <v>1</v>
      </c>
      <c r="AN9" s="29">
        <f t="shared" si="14"/>
        <v>1</v>
      </c>
      <c r="AO9" s="30"/>
      <c r="AP9" s="28">
        <f t="shared" si="15"/>
        <v>0</v>
      </c>
      <c r="AQ9" s="28">
        <f t="array" ref="AQ9">AVERAGE(AF9:AF9/AE9:AE9) - AVERAGE(Q9:Q9/P9:P9)</f>
        <v>0</v>
      </c>
    </row>
    <row r="10" spans="1:43" collapsed="1" x14ac:dyDescent="0.15">
      <c r="A10" s="31"/>
      <c r="B10" s="31" t="s">
        <v>245</v>
      </c>
      <c r="C10" s="31">
        <v>8907880</v>
      </c>
      <c r="D10" s="33">
        <v>14</v>
      </c>
      <c r="E10" s="32">
        <v>1</v>
      </c>
      <c r="F10" s="32"/>
      <c r="H10" s="43">
        <f t="shared" si="0"/>
        <v>0.29631744505137503</v>
      </c>
      <c r="I10" s="34" t="str">
        <f t="shared" si="1"/>
        <v>·</v>
      </c>
      <c r="J10" s="35">
        <f t="shared" si="2"/>
        <v>19.556951373390749</v>
      </c>
      <c r="K10" s="35">
        <f t="shared" si="3"/>
        <v>8.6158762803270807</v>
      </c>
      <c r="L10" s="35">
        <f t="shared" si="4"/>
        <v>10.940934992388762</v>
      </c>
      <c r="M10" s="36"/>
      <c r="N10" s="35">
        <f t="shared" si="5"/>
        <v>19.556951373390749</v>
      </c>
      <c r="O10" s="37">
        <v>8907880</v>
      </c>
      <c r="P10" s="38">
        <v>174210976</v>
      </c>
      <c r="Q10" s="38">
        <v>76749192</v>
      </c>
      <c r="R10" s="38">
        <v>97460536</v>
      </c>
      <c r="S10" s="39"/>
      <c r="T10" s="42"/>
      <c r="U10" s="42"/>
      <c r="W10" s="43">
        <f t="shared" si="6"/>
        <v>0.29631744505137503</v>
      </c>
      <c r="X10" s="34" t="str">
        <f t="shared" si="7"/>
        <v>·</v>
      </c>
      <c r="Y10" s="35">
        <f t="shared" si="8"/>
        <v>19.556951373390749</v>
      </c>
      <c r="Z10" s="35">
        <f t="shared" si="9"/>
        <v>8.6158762803270807</v>
      </c>
      <c r="AA10" s="35">
        <f t="shared" si="10"/>
        <v>10.940934992388762</v>
      </c>
      <c r="AB10" s="36"/>
      <c r="AC10" s="35">
        <f t="shared" si="11"/>
        <v>19.556951373390749</v>
      </c>
      <c r="AD10" s="37">
        <v>8907880</v>
      </c>
      <c r="AE10" s="38">
        <v>174210976</v>
      </c>
      <c r="AF10" s="38">
        <v>76749192</v>
      </c>
      <c r="AG10" s="38">
        <v>97460536</v>
      </c>
      <c r="AH10" s="39"/>
      <c r="AI10" s="42">
        <v>47.095999999999997</v>
      </c>
      <c r="AJ10" s="42">
        <v>40.216999999999999</v>
      </c>
      <c r="AL10" s="44">
        <f t="shared" si="12"/>
        <v>1</v>
      </c>
      <c r="AM10" s="44">
        <f t="shared" si="13"/>
        <v>1</v>
      </c>
      <c r="AN10" s="44">
        <f t="shared" si="14"/>
        <v>1</v>
      </c>
      <c r="AO10" s="45"/>
      <c r="AP10" s="43">
        <f t="shared" si="15"/>
        <v>0</v>
      </c>
      <c r="AQ10" s="43">
        <f t="array" ref="AQ10">AVERAGE(AF10:AF10/AE10:AE10) - AVERAGE(Q10:Q10/P10:P10)</f>
        <v>0</v>
      </c>
    </row>
    <row r="11" spans="1:43" collapsed="1" x14ac:dyDescent="0.15">
      <c r="A11" s="16"/>
      <c r="B11" s="16" t="s">
        <v>248</v>
      </c>
      <c r="C11" s="16">
        <v>4061755</v>
      </c>
      <c r="D11" s="18">
        <v>11</v>
      </c>
      <c r="E11" s="17">
        <v>1</v>
      </c>
      <c r="F11" s="17"/>
      <c r="H11" s="28">
        <f t="shared" si="0"/>
        <v>0.19939945154206631</v>
      </c>
      <c r="I11" s="19" t="str">
        <f t="shared" si="1"/>
        <v>·</v>
      </c>
      <c r="J11" s="20">
        <f t="shared" si="2"/>
        <v>11.365768737897781</v>
      </c>
      <c r="K11" s="20">
        <f t="shared" si="3"/>
        <v>1.2030622231030674</v>
      </c>
      <c r="L11" s="20">
        <f t="shared" si="4"/>
        <v>10.162480011719072</v>
      </c>
      <c r="M11" s="21"/>
      <c r="N11" s="20">
        <f t="shared" si="5"/>
        <v>11.365768737897781</v>
      </c>
      <c r="O11" s="22">
        <v>4061755</v>
      </c>
      <c r="P11" s="23">
        <v>46164968</v>
      </c>
      <c r="Q11" s="23">
        <v>4886544</v>
      </c>
      <c r="R11" s="23">
        <v>41277504</v>
      </c>
      <c r="S11" s="24"/>
      <c r="T11" s="27"/>
      <c r="U11" s="27"/>
      <c r="W11" s="28">
        <f t="shared" si="6"/>
        <v>0.19939945154206631</v>
      </c>
      <c r="X11" s="19" t="str">
        <f t="shared" si="7"/>
        <v>·</v>
      </c>
      <c r="Y11" s="20">
        <f t="shared" si="8"/>
        <v>11.365768737897781</v>
      </c>
      <c r="Z11" s="20">
        <f t="shared" si="9"/>
        <v>1.2030622231030674</v>
      </c>
      <c r="AA11" s="20">
        <f t="shared" si="10"/>
        <v>10.162480011719072</v>
      </c>
      <c r="AB11" s="21"/>
      <c r="AC11" s="20">
        <f t="shared" si="11"/>
        <v>11.365768737897781</v>
      </c>
      <c r="AD11" s="22">
        <v>4061755</v>
      </c>
      <c r="AE11" s="23">
        <v>46164968</v>
      </c>
      <c r="AF11" s="23">
        <v>4886544</v>
      </c>
      <c r="AG11" s="23">
        <v>41277504</v>
      </c>
      <c r="AH11" s="24"/>
      <c r="AI11" s="27">
        <v>10.67</v>
      </c>
      <c r="AJ11" s="27">
        <v>10.28</v>
      </c>
      <c r="AL11" s="29">
        <f t="shared" si="12"/>
        <v>1</v>
      </c>
      <c r="AM11" s="29">
        <f t="shared" si="13"/>
        <v>1</v>
      </c>
      <c r="AN11" s="29">
        <f t="shared" si="14"/>
        <v>1</v>
      </c>
      <c r="AO11" s="30"/>
      <c r="AP11" s="28">
        <f t="shared" si="15"/>
        <v>0</v>
      </c>
      <c r="AQ11" s="28">
        <f t="array" ref="AQ11">AVERAGE(AF11:AF11/AE11:AE11) - AVERAGE(Q11:Q11/P11:P11)</f>
        <v>0</v>
      </c>
    </row>
    <row r="12" spans="1:43" collapsed="1" x14ac:dyDescent="0.15">
      <c r="A12" s="31"/>
      <c r="B12" s="31" t="s">
        <v>251</v>
      </c>
      <c r="C12" s="31">
        <v>3614251</v>
      </c>
      <c r="D12" s="33">
        <v>12</v>
      </c>
      <c r="E12" s="32">
        <v>1</v>
      </c>
      <c r="F12" s="32"/>
      <c r="H12" s="43">
        <f t="shared" si="0"/>
        <v>0.26913696180296648</v>
      </c>
      <c r="I12" s="34" t="str">
        <f t="shared" si="1"/>
        <v>·</v>
      </c>
      <c r="J12" s="35">
        <f t="shared" si="2"/>
        <v>16.148217708177988</v>
      </c>
      <c r="K12" s="35">
        <f t="shared" si="3"/>
        <v>6.4338221114139555</v>
      </c>
      <c r="L12" s="35">
        <f t="shared" si="4"/>
        <v>9.714163183464569</v>
      </c>
      <c r="M12" s="36"/>
      <c r="N12" s="35">
        <f t="shared" si="5"/>
        <v>16.148217708177988</v>
      </c>
      <c r="O12" s="37">
        <v>3614251</v>
      </c>
      <c r="P12" s="38">
        <v>58363712</v>
      </c>
      <c r="Q12" s="38">
        <v>23253448</v>
      </c>
      <c r="R12" s="38">
        <v>35109424</v>
      </c>
      <c r="S12" s="39"/>
      <c r="T12" s="42"/>
      <c r="U12" s="42"/>
      <c r="W12" s="43">
        <f t="shared" si="6"/>
        <v>0.26913696180296648</v>
      </c>
      <c r="X12" s="34" t="str">
        <f t="shared" si="7"/>
        <v>·</v>
      </c>
      <c r="Y12" s="35">
        <f t="shared" si="8"/>
        <v>16.148217708177988</v>
      </c>
      <c r="Z12" s="35">
        <f t="shared" si="9"/>
        <v>6.4338221114139555</v>
      </c>
      <c r="AA12" s="35">
        <f t="shared" si="10"/>
        <v>9.714163183464569</v>
      </c>
      <c r="AB12" s="36"/>
      <c r="AC12" s="35">
        <f t="shared" si="11"/>
        <v>16.148217708177988</v>
      </c>
      <c r="AD12" s="37">
        <v>3614251</v>
      </c>
      <c r="AE12" s="38">
        <v>58363712</v>
      </c>
      <c r="AF12" s="38">
        <v>23253448</v>
      </c>
      <c r="AG12" s="38">
        <v>35109424</v>
      </c>
      <c r="AH12" s="39"/>
      <c r="AI12" s="42">
        <v>20.077000000000002</v>
      </c>
      <c r="AJ12" s="42">
        <v>19.422000000000001</v>
      </c>
      <c r="AL12" s="44">
        <f t="shared" si="12"/>
        <v>1</v>
      </c>
      <c r="AM12" s="44">
        <f t="shared" si="13"/>
        <v>1</v>
      </c>
      <c r="AN12" s="44">
        <f t="shared" si="14"/>
        <v>1</v>
      </c>
      <c r="AO12" s="45"/>
      <c r="AP12" s="43">
        <f t="shared" si="15"/>
        <v>0</v>
      </c>
      <c r="AQ12" s="43">
        <f t="array" ref="AQ12">AVERAGE(AF12:AF12/AE12:AE12) - AVERAGE(Q12:Q12/P12:P12)</f>
        <v>0</v>
      </c>
    </row>
    <row r="13" spans="1:43" collapsed="1" x14ac:dyDescent="0.15">
      <c r="A13" s="16"/>
      <c r="B13" s="16" t="s">
        <v>254</v>
      </c>
      <c r="C13" s="16">
        <v>13903516</v>
      </c>
      <c r="D13" s="18">
        <v>12</v>
      </c>
      <c r="E13" s="17">
        <v>1</v>
      </c>
      <c r="F13" s="17"/>
      <c r="H13" s="28">
        <f t="shared" si="0"/>
        <v>0.24428970820522425</v>
      </c>
      <c r="I13" s="19" t="str">
        <f t="shared" si="1"/>
        <v>·</v>
      </c>
      <c r="J13" s="20">
        <f t="shared" si="2"/>
        <v>14.657382492313456</v>
      </c>
      <c r="K13" s="20">
        <f t="shared" si="3"/>
        <v>4.9336815234362303</v>
      </c>
      <c r="L13" s="20">
        <f t="shared" si="4"/>
        <v>9.7235830131025853</v>
      </c>
      <c r="M13" s="21"/>
      <c r="N13" s="20">
        <f t="shared" si="5"/>
        <v>14.657382492313456</v>
      </c>
      <c r="O13" s="22">
        <v>13903516</v>
      </c>
      <c r="P13" s="23">
        <v>203789152</v>
      </c>
      <c r="Q13" s="23">
        <v>68595520</v>
      </c>
      <c r="R13" s="23">
        <v>135191992</v>
      </c>
      <c r="S13" s="24"/>
      <c r="T13" s="27"/>
      <c r="U13" s="27"/>
      <c r="W13" s="28">
        <f t="shared" si="6"/>
        <v>0.24428970820522425</v>
      </c>
      <c r="X13" s="19" t="str">
        <f t="shared" si="7"/>
        <v>·</v>
      </c>
      <c r="Y13" s="20">
        <f t="shared" si="8"/>
        <v>14.657382492313456</v>
      </c>
      <c r="Z13" s="20">
        <f t="shared" si="9"/>
        <v>4.9336815234362303</v>
      </c>
      <c r="AA13" s="20">
        <f t="shared" si="10"/>
        <v>9.7235830131025853</v>
      </c>
      <c r="AB13" s="21"/>
      <c r="AC13" s="20">
        <f t="shared" si="11"/>
        <v>14.657382492313456</v>
      </c>
      <c r="AD13" s="22">
        <v>13903516</v>
      </c>
      <c r="AE13" s="23">
        <v>203789152</v>
      </c>
      <c r="AF13" s="23">
        <v>68595520</v>
      </c>
      <c r="AG13" s="23">
        <v>135191992</v>
      </c>
      <c r="AH13" s="24"/>
      <c r="AI13" s="27">
        <v>72.695999999999998</v>
      </c>
      <c r="AJ13" s="27">
        <v>59.654000000000003</v>
      </c>
      <c r="AL13" s="29">
        <f t="shared" si="12"/>
        <v>1</v>
      </c>
      <c r="AM13" s="29">
        <f t="shared" si="13"/>
        <v>1</v>
      </c>
      <c r="AN13" s="29">
        <f t="shared" si="14"/>
        <v>1</v>
      </c>
      <c r="AO13" s="30"/>
      <c r="AP13" s="28">
        <f t="shared" si="15"/>
        <v>0</v>
      </c>
      <c r="AQ13" s="28">
        <f t="array" ref="AQ13">AVERAGE(AF13:AF13/AE13:AE13) - AVERAGE(Q13:Q13/P13:P13)</f>
        <v>0</v>
      </c>
    </row>
    <row r="14" spans="1:43" collapsed="1" x14ac:dyDescent="0.15">
      <c r="A14" s="31"/>
      <c r="B14" s="31" t="s">
        <v>257</v>
      </c>
      <c r="C14" s="31">
        <v>4848745</v>
      </c>
      <c r="D14" s="33">
        <v>12</v>
      </c>
      <c r="E14" s="32">
        <v>1</v>
      </c>
      <c r="F14" s="32"/>
      <c r="H14" s="43">
        <f t="shared" si="0"/>
        <v>0.2585712935340313</v>
      </c>
      <c r="I14" s="34" t="str">
        <f t="shared" si="1"/>
        <v>·</v>
      </c>
      <c r="J14" s="35">
        <f t="shared" si="2"/>
        <v>15.514277612041878</v>
      </c>
      <c r="K14" s="35">
        <f t="shared" si="3"/>
        <v>5.2585796943332763</v>
      </c>
      <c r="L14" s="35">
        <f t="shared" si="4"/>
        <v>10.255508177889331</v>
      </c>
      <c r="M14" s="36"/>
      <c r="N14" s="35">
        <f t="shared" si="5"/>
        <v>15.514277612041878</v>
      </c>
      <c r="O14" s="37">
        <v>4848745</v>
      </c>
      <c r="P14" s="38">
        <v>75224776</v>
      </c>
      <c r="Q14" s="38">
        <v>25497512</v>
      </c>
      <c r="R14" s="38">
        <v>49726344</v>
      </c>
      <c r="S14" s="39"/>
      <c r="T14" s="42"/>
      <c r="U14" s="42"/>
      <c r="W14" s="43">
        <f t="shared" si="6"/>
        <v>0.2585712935340313</v>
      </c>
      <c r="X14" s="34" t="str">
        <f t="shared" si="7"/>
        <v>·</v>
      </c>
      <c r="Y14" s="35">
        <f t="shared" si="8"/>
        <v>15.514277612041878</v>
      </c>
      <c r="Z14" s="35">
        <f t="shared" si="9"/>
        <v>5.2585796943332763</v>
      </c>
      <c r="AA14" s="35">
        <f t="shared" si="10"/>
        <v>10.255508177889331</v>
      </c>
      <c r="AB14" s="36"/>
      <c r="AC14" s="35">
        <f t="shared" si="11"/>
        <v>15.514277612041878</v>
      </c>
      <c r="AD14" s="37">
        <v>4848745</v>
      </c>
      <c r="AE14" s="38">
        <v>75224776</v>
      </c>
      <c r="AF14" s="38">
        <v>25497512</v>
      </c>
      <c r="AG14" s="38">
        <v>49726344</v>
      </c>
      <c r="AH14" s="39"/>
      <c r="AI14" s="42">
        <v>25.911000000000001</v>
      </c>
      <c r="AJ14" s="42">
        <v>20.263999999999999</v>
      </c>
      <c r="AL14" s="44">
        <f t="shared" si="12"/>
        <v>1</v>
      </c>
      <c r="AM14" s="44">
        <f t="shared" si="13"/>
        <v>1</v>
      </c>
      <c r="AN14" s="44">
        <f t="shared" si="14"/>
        <v>1</v>
      </c>
      <c r="AO14" s="45"/>
      <c r="AP14" s="43">
        <f t="shared" si="15"/>
        <v>0</v>
      </c>
      <c r="AQ14" s="43">
        <f t="array" ref="AQ14">AVERAGE(AF14:AF14/AE14:AE14) - AVERAGE(Q14:Q14/P14:P14)</f>
        <v>0</v>
      </c>
    </row>
    <row r="15" spans="1:43" collapsed="1" x14ac:dyDescent="0.15">
      <c r="A15" s="16"/>
      <c r="B15" s="16" t="s">
        <v>260</v>
      </c>
      <c r="C15" s="16">
        <v>3096122</v>
      </c>
      <c r="D15" s="18">
        <v>12</v>
      </c>
      <c r="E15" s="17">
        <v>1</v>
      </c>
      <c r="F15" s="17"/>
      <c r="H15" s="28">
        <f t="shared" si="0"/>
        <v>0.22756721688184983</v>
      </c>
      <c r="I15" s="19" t="str">
        <f t="shared" si="1"/>
        <v>·</v>
      </c>
      <c r="J15" s="20">
        <f t="shared" si="2"/>
        <v>13.65403301291099</v>
      </c>
      <c r="K15" s="20">
        <f t="shared" si="3"/>
        <v>3.8253841418393719</v>
      </c>
      <c r="L15" s="20">
        <f t="shared" si="4"/>
        <v>9.8284034027082914</v>
      </c>
      <c r="M15" s="21"/>
      <c r="N15" s="20">
        <f t="shared" si="5"/>
        <v>13.65403301291099</v>
      </c>
      <c r="O15" s="22">
        <v>3096122</v>
      </c>
      <c r="P15" s="23">
        <v>42274552</v>
      </c>
      <c r="Q15" s="23">
        <v>11843856</v>
      </c>
      <c r="R15" s="23">
        <v>30429936</v>
      </c>
      <c r="S15" s="24"/>
      <c r="T15" s="27"/>
      <c r="U15" s="27"/>
      <c r="W15" s="28">
        <f t="shared" si="6"/>
        <v>0.22756721688184983</v>
      </c>
      <c r="X15" s="19" t="str">
        <f t="shared" si="7"/>
        <v>·</v>
      </c>
      <c r="Y15" s="20">
        <f t="shared" si="8"/>
        <v>13.65403301291099</v>
      </c>
      <c r="Z15" s="20">
        <f t="shared" si="9"/>
        <v>3.8253841418393719</v>
      </c>
      <c r="AA15" s="20">
        <f t="shared" si="10"/>
        <v>9.8284034027082914</v>
      </c>
      <c r="AB15" s="21"/>
      <c r="AC15" s="20">
        <f t="shared" si="11"/>
        <v>13.65403301291099</v>
      </c>
      <c r="AD15" s="22">
        <v>3096122</v>
      </c>
      <c r="AE15" s="23">
        <v>42274552</v>
      </c>
      <c r="AF15" s="23">
        <v>11843856</v>
      </c>
      <c r="AG15" s="23">
        <v>30429936</v>
      </c>
      <c r="AH15" s="24"/>
      <c r="AI15" s="27">
        <v>14.398</v>
      </c>
      <c r="AJ15" s="27">
        <v>8.782</v>
      </c>
      <c r="AL15" s="29">
        <f t="shared" si="12"/>
        <v>1</v>
      </c>
      <c r="AM15" s="29">
        <f t="shared" si="13"/>
        <v>1</v>
      </c>
      <c r="AN15" s="29">
        <f t="shared" si="14"/>
        <v>1</v>
      </c>
      <c r="AO15" s="30"/>
      <c r="AP15" s="28">
        <f t="shared" si="15"/>
        <v>0</v>
      </c>
      <c r="AQ15" s="28">
        <f t="array" ref="AQ15">AVERAGE(AF15:AF15/AE15:AE15) - AVERAGE(Q15:Q15/P15:P15)</f>
        <v>0</v>
      </c>
    </row>
    <row r="16" spans="1:43" collapsed="1" x14ac:dyDescent="0.15">
      <c r="A16" s="31"/>
      <c r="B16" s="31" t="s">
        <v>263</v>
      </c>
      <c r="C16" s="31">
        <v>857966</v>
      </c>
      <c r="D16" s="33">
        <v>10</v>
      </c>
      <c r="E16" s="32">
        <v>1</v>
      </c>
      <c r="F16" s="32"/>
      <c r="H16" s="43">
        <f t="shared" si="0"/>
        <v>0.23579661837588142</v>
      </c>
      <c r="I16" s="34" t="str">
        <f t="shared" si="1"/>
        <v>·</v>
      </c>
      <c r="J16" s="35">
        <f t="shared" si="2"/>
        <v>12.733017392297597</v>
      </c>
      <c r="K16" s="35">
        <f t="shared" si="3"/>
        <v>1.0206278570479483</v>
      </c>
      <c r="L16" s="35">
        <f t="shared" si="4"/>
        <v>11.711764801868606</v>
      </c>
      <c r="M16" s="36"/>
      <c r="N16" s="35">
        <f t="shared" si="5"/>
        <v>12.733017392297597</v>
      </c>
      <c r="O16" s="37">
        <v>857966</v>
      </c>
      <c r="P16" s="38">
        <v>10924496</v>
      </c>
      <c r="Q16" s="38">
        <v>875664</v>
      </c>
      <c r="R16" s="38">
        <v>10048296</v>
      </c>
      <c r="S16" s="39"/>
      <c r="T16" s="42"/>
      <c r="U16" s="42"/>
      <c r="W16" s="43">
        <f t="shared" si="6"/>
        <v>0.23579661837588142</v>
      </c>
      <c r="X16" s="34" t="str">
        <f t="shared" si="7"/>
        <v>·</v>
      </c>
      <c r="Y16" s="35">
        <f t="shared" si="8"/>
        <v>12.733017392297597</v>
      </c>
      <c r="Z16" s="35">
        <f t="shared" si="9"/>
        <v>1.0206278570479483</v>
      </c>
      <c r="AA16" s="35">
        <f t="shared" si="10"/>
        <v>11.711764801868606</v>
      </c>
      <c r="AB16" s="36"/>
      <c r="AC16" s="35">
        <f t="shared" si="11"/>
        <v>12.733017392297597</v>
      </c>
      <c r="AD16" s="37">
        <v>857966</v>
      </c>
      <c r="AE16" s="38">
        <v>10924496</v>
      </c>
      <c r="AF16" s="38">
        <v>875664</v>
      </c>
      <c r="AG16" s="38">
        <v>10048296</v>
      </c>
      <c r="AH16" s="39"/>
      <c r="AI16" s="42">
        <v>2.839</v>
      </c>
      <c r="AJ16" s="42">
        <v>1.9650000000000001</v>
      </c>
      <c r="AL16" s="44">
        <f t="shared" si="12"/>
        <v>1</v>
      </c>
      <c r="AM16" s="44">
        <f t="shared" si="13"/>
        <v>1</v>
      </c>
      <c r="AN16" s="44">
        <f t="shared" si="14"/>
        <v>1</v>
      </c>
      <c r="AO16" s="45"/>
      <c r="AP16" s="43">
        <f t="shared" si="15"/>
        <v>0</v>
      </c>
      <c r="AQ16" s="43">
        <f t="array" ref="AQ16">AVERAGE(AF16:AF16/AE16:AE16) - AVERAGE(Q16:Q16/P16:P16)</f>
        <v>0</v>
      </c>
    </row>
    <row r="17" spans="1:43" collapsed="1" x14ac:dyDescent="0.15">
      <c r="A17" s="16"/>
      <c r="B17" s="16" t="s">
        <v>266</v>
      </c>
      <c r="C17" s="16">
        <v>3017285</v>
      </c>
      <c r="D17" s="18">
        <v>12</v>
      </c>
      <c r="E17" s="17">
        <v>1</v>
      </c>
      <c r="F17" s="17"/>
      <c r="H17" s="28">
        <f t="shared" si="0"/>
        <v>0.1462773762946932</v>
      </c>
      <c r="I17" s="19" t="str">
        <f t="shared" si="1"/>
        <v>·</v>
      </c>
      <c r="J17" s="20">
        <f t="shared" si="2"/>
        <v>8.7766425776815904</v>
      </c>
      <c r="K17" s="20">
        <f t="shared" si="3"/>
        <v>3.7168832244882402</v>
      </c>
      <c r="L17" s="20">
        <f t="shared" si="4"/>
        <v>5.0594809572181614</v>
      </c>
      <c r="M17" s="21"/>
      <c r="N17" s="20">
        <f t="shared" si="5"/>
        <v>8.7766425776815904</v>
      </c>
      <c r="O17" s="22">
        <v>3017285</v>
      </c>
      <c r="P17" s="23">
        <v>26481632</v>
      </c>
      <c r="Q17" s="23">
        <v>11214896</v>
      </c>
      <c r="R17" s="23">
        <v>15265896</v>
      </c>
      <c r="S17" s="24"/>
      <c r="T17" s="27"/>
      <c r="U17" s="27"/>
      <c r="W17" s="28">
        <f t="shared" si="6"/>
        <v>0.1462773762946932</v>
      </c>
      <c r="X17" s="19" t="str">
        <f t="shared" si="7"/>
        <v>·</v>
      </c>
      <c r="Y17" s="20">
        <f t="shared" si="8"/>
        <v>8.7766425776815904</v>
      </c>
      <c r="Z17" s="20">
        <f t="shared" si="9"/>
        <v>3.7168832244882402</v>
      </c>
      <c r="AA17" s="20">
        <f t="shared" si="10"/>
        <v>5.0594809572181614</v>
      </c>
      <c r="AB17" s="21"/>
      <c r="AC17" s="20">
        <f t="shared" si="11"/>
        <v>8.7766425776815904</v>
      </c>
      <c r="AD17" s="22">
        <v>3017285</v>
      </c>
      <c r="AE17" s="23">
        <v>26481632</v>
      </c>
      <c r="AF17" s="23">
        <v>11214896</v>
      </c>
      <c r="AG17" s="23">
        <v>15265896</v>
      </c>
      <c r="AH17" s="24"/>
      <c r="AI17" s="27">
        <v>10.077</v>
      </c>
      <c r="AJ17" s="27">
        <v>10.545</v>
      </c>
      <c r="AL17" s="29">
        <f t="shared" si="12"/>
        <v>1</v>
      </c>
      <c r="AM17" s="29">
        <f t="shared" si="13"/>
        <v>1</v>
      </c>
      <c r="AN17" s="29">
        <f t="shared" si="14"/>
        <v>1</v>
      </c>
      <c r="AO17" s="30"/>
      <c r="AP17" s="28">
        <f t="shared" si="15"/>
        <v>0</v>
      </c>
      <c r="AQ17" s="28">
        <f t="array" ref="AQ17">AVERAGE(AF17:AF17/AE17:AE17) - AVERAGE(Q17:Q17/P17:P17)</f>
        <v>0</v>
      </c>
    </row>
    <row r="18" spans="1:43" collapsed="1" x14ac:dyDescent="0.15">
      <c r="A18" s="31"/>
      <c r="B18" s="31" t="s">
        <v>269</v>
      </c>
      <c r="C18" s="31">
        <v>805285</v>
      </c>
      <c r="D18" s="33">
        <v>10</v>
      </c>
      <c r="E18" s="32">
        <v>1</v>
      </c>
      <c r="F18" s="32"/>
      <c r="H18" s="43">
        <f t="shared" si="0"/>
        <v>0.13268272401374345</v>
      </c>
      <c r="I18" s="34" t="str">
        <f t="shared" si="1"/>
        <v>·</v>
      </c>
      <c r="J18" s="35">
        <f t="shared" si="2"/>
        <v>7.1648670967421468</v>
      </c>
      <c r="K18" s="35">
        <f t="shared" si="3"/>
        <v>0.97555523820759105</v>
      </c>
      <c r="L18" s="35">
        <f t="shared" si="4"/>
        <v>6.1886462556734569</v>
      </c>
      <c r="M18" s="36"/>
      <c r="N18" s="35">
        <f t="shared" si="5"/>
        <v>7.1648670967421468</v>
      </c>
      <c r="O18" s="37">
        <v>805285</v>
      </c>
      <c r="P18" s="38">
        <v>5769760</v>
      </c>
      <c r="Q18" s="38">
        <v>785600</v>
      </c>
      <c r="R18" s="38">
        <v>4983624</v>
      </c>
      <c r="S18" s="39"/>
      <c r="T18" s="42"/>
      <c r="U18" s="42"/>
      <c r="W18" s="43">
        <f t="shared" si="6"/>
        <v>0.13268272401374345</v>
      </c>
      <c r="X18" s="34" t="str">
        <f t="shared" si="7"/>
        <v>·</v>
      </c>
      <c r="Y18" s="35">
        <f t="shared" si="8"/>
        <v>7.1648670967421468</v>
      </c>
      <c r="Z18" s="35">
        <f t="shared" si="9"/>
        <v>0.97555523820759105</v>
      </c>
      <c r="AA18" s="35">
        <f t="shared" si="10"/>
        <v>6.1886462556734569</v>
      </c>
      <c r="AB18" s="36"/>
      <c r="AC18" s="35">
        <f t="shared" si="11"/>
        <v>7.1648670967421468</v>
      </c>
      <c r="AD18" s="37">
        <v>805285</v>
      </c>
      <c r="AE18" s="38">
        <v>5769760</v>
      </c>
      <c r="AF18" s="38">
        <v>785600</v>
      </c>
      <c r="AG18" s="38">
        <v>4983624</v>
      </c>
      <c r="AH18" s="39"/>
      <c r="AI18" s="42">
        <v>2.2770000000000001</v>
      </c>
      <c r="AJ18" s="42">
        <v>1.762</v>
      </c>
      <c r="AL18" s="44">
        <f t="shared" si="12"/>
        <v>1</v>
      </c>
      <c r="AM18" s="44">
        <f t="shared" si="13"/>
        <v>1</v>
      </c>
      <c r="AN18" s="44">
        <f t="shared" si="14"/>
        <v>1</v>
      </c>
      <c r="AO18" s="45"/>
      <c r="AP18" s="43">
        <f t="shared" si="15"/>
        <v>0</v>
      </c>
      <c r="AQ18" s="43">
        <f t="array" ref="AQ18">AVERAGE(AF18:AF18/AE18:AE18) - AVERAGE(Q18:Q18/P18:P18)</f>
        <v>0</v>
      </c>
    </row>
    <row r="19" spans="1:43" collapsed="1" x14ac:dyDescent="0.15">
      <c r="A19" s="16"/>
      <c r="B19" s="16" t="s">
        <v>272</v>
      </c>
      <c r="C19" s="16">
        <v>1000993</v>
      </c>
      <c r="D19" s="18">
        <v>10</v>
      </c>
      <c r="E19" s="17">
        <v>1</v>
      </c>
      <c r="F19" s="17"/>
      <c r="H19" s="28">
        <f t="shared" si="0"/>
        <v>0.15647602671288152</v>
      </c>
      <c r="I19" s="19" t="str">
        <f t="shared" si="1"/>
        <v>·</v>
      </c>
      <c r="J19" s="20">
        <f t="shared" si="2"/>
        <v>8.4497054424956026</v>
      </c>
      <c r="K19" s="20">
        <f t="shared" si="3"/>
        <v>0.77826718068957523</v>
      </c>
      <c r="L19" s="20">
        <f t="shared" si="4"/>
        <v>7.6708948014621479</v>
      </c>
      <c r="M19" s="21"/>
      <c r="N19" s="20">
        <f t="shared" si="5"/>
        <v>8.4497054424956026</v>
      </c>
      <c r="O19" s="22">
        <v>1000993</v>
      </c>
      <c r="P19" s="23">
        <v>8458096</v>
      </c>
      <c r="Q19" s="23">
        <v>779040</v>
      </c>
      <c r="R19" s="23">
        <v>7678512</v>
      </c>
      <c r="S19" s="24"/>
      <c r="T19" s="27"/>
      <c r="U19" s="27"/>
      <c r="W19" s="28">
        <f t="shared" si="6"/>
        <v>0.15647602671288152</v>
      </c>
      <c r="X19" s="19" t="str">
        <f t="shared" si="7"/>
        <v>·</v>
      </c>
      <c r="Y19" s="20">
        <f t="shared" si="8"/>
        <v>8.4497054424956026</v>
      </c>
      <c r="Z19" s="20">
        <f t="shared" si="9"/>
        <v>0.77826718068957523</v>
      </c>
      <c r="AA19" s="20">
        <f t="shared" si="10"/>
        <v>7.6708948014621479</v>
      </c>
      <c r="AB19" s="21"/>
      <c r="AC19" s="20">
        <f t="shared" si="11"/>
        <v>8.4497054424956026</v>
      </c>
      <c r="AD19" s="22">
        <v>1000993</v>
      </c>
      <c r="AE19" s="23">
        <v>8458096</v>
      </c>
      <c r="AF19" s="23">
        <v>779040</v>
      </c>
      <c r="AG19" s="23">
        <v>7678512</v>
      </c>
      <c r="AH19" s="24"/>
      <c r="AI19" s="27">
        <v>3.556</v>
      </c>
      <c r="AJ19" s="27">
        <v>2.4180000000000001</v>
      </c>
      <c r="AL19" s="29">
        <f t="shared" si="12"/>
        <v>1</v>
      </c>
      <c r="AM19" s="29">
        <f t="shared" si="13"/>
        <v>1</v>
      </c>
      <c r="AN19" s="29">
        <f t="shared" si="14"/>
        <v>1</v>
      </c>
      <c r="AO19" s="30"/>
      <c r="AP19" s="28">
        <f t="shared" si="15"/>
        <v>0</v>
      </c>
      <c r="AQ19" s="28">
        <f t="array" ref="AQ19">AVERAGE(AF19:AF19/AE19:AE19) - AVERAGE(Q19:Q19/P19:P19)</f>
        <v>0</v>
      </c>
    </row>
    <row r="20" spans="1:43" collapsed="1" x14ac:dyDescent="0.15">
      <c r="A20" s="31"/>
      <c r="B20" s="31" t="s">
        <v>275</v>
      </c>
      <c r="C20" s="31">
        <v>2770567</v>
      </c>
      <c r="D20" s="33">
        <v>12</v>
      </c>
      <c r="E20" s="32">
        <v>1</v>
      </c>
      <c r="F20" s="32"/>
      <c r="H20" s="43">
        <f t="shared" si="0"/>
        <v>0.19468424092733846</v>
      </c>
      <c r="I20" s="34" t="str">
        <f t="shared" si="1"/>
        <v>·</v>
      </c>
      <c r="J20" s="35">
        <f t="shared" si="2"/>
        <v>11.681054455640307</v>
      </c>
      <c r="K20" s="35">
        <f t="shared" si="3"/>
        <v>3.9133419260389659</v>
      </c>
      <c r="L20" s="35">
        <f t="shared" si="4"/>
        <v>7.7673804676082545</v>
      </c>
      <c r="M20" s="36"/>
      <c r="N20" s="35">
        <f t="shared" si="5"/>
        <v>11.681054455640307</v>
      </c>
      <c r="O20" s="37">
        <v>2770567</v>
      </c>
      <c r="P20" s="38">
        <v>32363144</v>
      </c>
      <c r="Q20" s="38">
        <v>10842176</v>
      </c>
      <c r="R20" s="38">
        <v>21520048</v>
      </c>
      <c r="S20" s="39"/>
      <c r="T20" s="42"/>
      <c r="U20" s="42"/>
      <c r="W20" s="43">
        <f t="shared" si="6"/>
        <v>0.19468424092733846</v>
      </c>
      <c r="X20" s="34" t="str">
        <f t="shared" si="7"/>
        <v>·</v>
      </c>
      <c r="Y20" s="35">
        <f t="shared" si="8"/>
        <v>11.681054455640307</v>
      </c>
      <c r="Z20" s="35">
        <f t="shared" si="9"/>
        <v>3.9133419260389659</v>
      </c>
      <c r="AA20" s="35">
        <f t="shared" si="10"/>
        <v>7.7673804676082545</v>
      </c>
      <c r="AB20" s="36"/>
      <c r="AC20" s="35">
        <f t="shared" si="11"/>
        <v>11.681054455640307</v>
      </c>
      <c r="AD20" s="37">
        <v>2770567</v>
      </c>
      <c r="AE20" s="38">
        <v>32363144</v>
      </c>
      <c r="AF20" s="38">
        <v>10842176</v>
      </c>
      <c r="AG20" s="38">
        <v>21520048</v>
      </c>
      <c r="AH20" s="39"/>
      <c r="AI20" s="42">
        <v>11.949</v>
      </c>
      <c r="AJ20" s="42">
        <v>10.561</v>
      </c>
      <c r="AL20" s="44">
        <f t="shared" si="12"/>
        <v>1</v>
      </c>
      <c r="AM20" s="44">
        <f t="shared" si="13"/>
        <v>1</v>
      </c>
      <c r="AN20" s="44">
        <f t="shared" si="14"/>
        <v>1</v>
      </c>
      <c r="AO20" s="45"/>
      <c r="AP20" s="43">
        <f t="shared" si="15"/>
        <v>0</v>
      </c>
      <c r="AQ20" s="43">
        <f t="array" ref="AQ20">AVERAGE(AF20:AF20/AE20:AE20) - AVERAGE(Q20:Q20/P20:P20)</f>
        <v>0</v>
      </c>
    </row>
    <row r="21" spans="1:43" collapsed="1" x14ac:dyDescent="0.15">
      <c r="A21" s="16"/>
      <c r="B21" s="16" t="s">
        <v>278</v>
      </c>
      <c r="C21" s="16">
        <v>757691</v>
      </c>
      <c r="D21" s="18">
        <v>10</v>
      </c>
      <c r="E21" s="17">
        <v>1</v>
      </c>
      <c r="F21" s="17"/>
      <c r="H21" s="28">
        <f t="shared" si="0"/>
        <v>0.19373499125535246</v>
      </c>
      <c r="I21" s="19" t="str">
        <f t="shared" si="1"/>
        <v>·</v>
      </c>
      <c r="J21" s="20">
        <f t="shared" si="2"/>
        <v>10.461689527789034</v>
      </c>
      <c r="K21" s="20">
        <f t="shared" si="3"/>
        <v>1.1048936835728549</v>
      </c>
      <c r="L21" s="20">
        <f t="shared" si="4"/>
        <v>9.3560884318277502</v>
      </c>
      <c r="M21" s="21"/>
      <c r="N21" s="20">
        <f t="shared" si="5"/>
        <v>10.461689527789034</v>
      </c>
      <c r="O21" s="22">
        <v>757691</v>
      </c>
      <c r="P21" s="23">
        <v>7926728</v>
      </c>
      <c r="Q21" s="23">
        <v>837168</v>
      </c>
      <c r="R21" s="23">
        <v>7089024</v>
      </c>
      <c r="S21" s="24"/>
      <c r="T21" s="27"/>
      <c r="U21" s="27"/>
      <c r="W21" s="28">
        <f t="shared" si="6"/>
        <v>0.19373499125535246</v>
      </c>
      <c r="X21" s="19" t="str">
        <f t="shared" si="7"/>
        <v>·</v>
      </c>
      <c r="Y21" s="20">
        <f t="shared" si="8"/>
        <v>10.461689527789034</v>
      </c>
      <c r="Z21" s="20">
        <f t="shared" si="9"/>
        <v>1.1048936835728549</v>
      </c>
      <c r="AA21" s="20">
        <f t="shared" si="10"/>
        <v>9.3560884318277502</v>
      </c>
      <c r="AB21" s="21"/>
      <c r="AC21" s="20">
        <f t="shared" si="11"/>
        <v>10.461689527789034</v>
      </c>
      <c r="AD21" s="22">
        <v>757691</v>
      </c>
      <c r="AE21" s="23">
        <v>7926728</v>
      </c>
      <c r="AF21" s="23">
        <v>837168</v>
      </c>
      <c r="AG21" s="23">
        <v>7089024</v>
      </c>
      <c r="AH21" s="24"/>
      <c r="AI21" s="27">
        <v>2.1520000000000001</v>
      </c>
      <c r="AJ21" s="27">
        <v>1.6220000000000001</v>
      </c>
      <c r="AL21" s="29">
        <f t="shared" si="12"/>
        <v>1</v>
      </c>
      <c r="AM21" s="29">
        <f t="shared" si="13"/>
        <v>1</v>
      </c>
      <c r="AN21" s="29">
        <f t="shared" si="14"/>
        <v>1</v>
      </c>
      <c r="AO21" s="30"/>
      <c r="AP21" s="28">
        <f t="shared" si="15"/>
        <v>0</v>
      </c>
      <c r="AQ21" s="28">
        <f t="array" ref="AQ21">AVERAGE(AF21:AF21/AE21:AE21) - AVERAGE(Q21:Q21/P21:P21)</f>
        <v>0</v>
      </c>
    </row>
    <row r="22" spans="1:43" collapsed="1" x14ac:dyDescent="0.15">
      <c r="A22" s="31"/>
      <c r="B22" s="31" t="s">
        <v>281</v>
      </c>
      <c r="C22" s="31">
        <v>1009132</v>
      </c>
      <c r="D22" s="33">
        <v>12</v>
      </c>
      <c r="E22" s="32">
        <v>1</v>
      </c>
      <c r="F22" s="32"/>
      <c r="H22" s="43">
        <f t="shared" si="0"/>
        <v>0.41517330405404512</v>
      </c>
      <c r="I22" s="34" t="str">
        <f t="shared" si="1"/>
        <v>·</v>
      </c>
      <c r="J22" s="35">
        <f t="shared" si="2"/>
        <v>24.910398243242707</v>
      </c>
      <c r="K22" s="35">
        <f t="shared" si="3"/>
        <v>9.6524220815512738</v>
      </c>
      <c r="L22" s="35">
        <f t="shared" si="4"/>
        <v>15.257460867359276</v>
      </c>
      <c r="M22" s="36"/>
      <c r="N22" s="35">
        <f t="shared" si="5"/>
        <v>24.910398243242707</v>
      </c>
      <c r="O22" s="37">
        <v>1009132</v>
      </c>
      <c r="P22" s="38">
        <v>25137880</v>
      </c>
      <c r="Q22" s="38">
        <v>9740568</v>
      </c>
      <c r="R22" s="38">
        <v>15396792</v>
      </c>
      <c r="S22" s="39"/>
      <c r="T22" s="42"/>
      <c r="U22" s="42"/>
      <c r="W22" s="43">
        <f t="shared" si="6"/>
        <v>0.41517330405404512</v>
      </c>
      <c r="X22" s="34" t="str">
        <f t="shared" si="7"/>
        <v>·</v>
      </c>
      <c r="Y22" s="35">
        <f t="shared" si="8"/>
        <v>24.910398243242707</v>
      </c>
      <c r="Z22" s="35">
        <f t="shared" si="9"/>
        <v>9.6524220815512738</v>
      </c>
      <c r="AA22" s="35">
        <f t="shared" si="10"/>
        <v>15.257460867359276</v>
      </c>
      <c r="AB22" s="36"/>
      <c r="AC22" s="35">
        <f t="shared" si="11"/>
        <v>24.910398243242707</v>
      </c>
      <c r="AD22" s="37">
        <v>1009132</v>
      </c>
      <c r="AE22" s="38">
        <v>25137880</v>
      </c>
      <c r="AF22" s="38">
        <v>9740568</v>
      </c>
      <c r="AG22" s="38">
        <v>15396792</v>
      </c>
      <c r="AH22" s="39"/>
      <c r="AI22" s="42">
        <v>4.9450000000000003</v>
      </c>
      <c r="AJ22" s="42">
        <v>5.2720000000000002</v>
      </c>
      <c r="AL22" s="44">
        <f t="shared" si="12"/>
        <v>1</v>
      </c>
      <c r="AM22" s="44">
        <f t="shared" si="13"/>
        <v>1</v>
      </c>
      <c r="AN22" s="44">
        <f t="shared" si="14"/>
        <v>1</v>
      </c>
      <c r="AO22" s="45"/>
      <c r="AP22" s="43">
        <f t="shared" si="15"/>
        <v>0</v>
      </c>
      <c r="AQ22" s="43">
        <f t="array" ref="AQ22">AVERAGE(AF22:AF22/AE22:AE22) - AVERAGE(Q22:Q22/P22:P22)</f>
        <v>0</v>
      </c>
    </row>
    <row r="23" spans="1:43" collapsed="1" x14ac:dyDescent="0.15">
      <c r="A23" s="16"/>
      <c r="B23" s="16" t="s">
        <v>284</v>
      </c>
      <c r="C23" s="16">
        <v>4001754</v>
      </c>
      <c r="D23" s="18">
        <v>12</v>
      </c>
      <c r="E23" s="17">
        <v>1</v>
      </c>
      <c r="F23" s="17"/>
      <c r="H23" s="28">
        <f t="shared" si="0"/>
        <v>0.16821290530768923</v>
      </c>
      <c r="I23" s="19" t="str">
        <f t="shared" si="1"/>
        <v>·</v>
      </c>
      <c r="J23" s="20">
        <f t="shared" si="2"/>
        <v>10.092774318461355</v>
      </c>
      <c r="K23" s="20">
        <f t="shared" si="3"/>
        <v>3.8442702874789405</v>
      </c>
      <c r="L23" s="20">
        <f t="shared" si="4"/>
        <v>6.2482541405593643</v>
      </c>
      <c r="M23" s="21"/>
      <c r="N23" s="20">
        <f t="shared" si="5"/>
        <v>10.092774318461355</v>
      </c>
      <c r="O23" s="22">
        <v>4001754</v>
      </c>
      <c r="P23" s="23">
        <v>40388800</v>
      </c>
      <c r="Q23" s="23">
        <v>15383824</v>
      </c>
      <c r="R23" s="23">
        <v>25003976</v>
      </c>
      <c r="S23" s="24"/>
      <c r="T23" s="27"/>
      <c r="U23" s="27"/>
      <c r="W23" s="28">
        <f t="shared" si="6"/>
        <v>0.16821290530768923</v>
      </c>
      <c r="X23" s="19" t="str">
        <f t="shared" si="7"/>
        <v>·</v>
      </c>
      <c r="Y23" s="20">
        <f t="shared" si="8"/>
        <v>10.092774318461355</v>
      </c>
      <c r="Z23" s="20">
        <f t="shared" si="9"/>
        <v>3.8442702874789405</v>
      </c>
      <c r="AA23" s="20">
        <f t="shared" si="10"/>
        <v>6.2482541405593643</v>
      </c>
      <c r="AB23" s="21"/>
      <c r="AC23" s="20">
        <f t="shared" si="11"/>
        <v>10.092774318461355</v>
      </c>
      <c r="AD23" s="22">
        <v>4001754</v>
      </c>
      <c r="AE23" s="23">
        <v>40388800</v>
      </c>
      <c r="AF23" s="23">
        <v>15383824</v>
      </c>
      <c r="AG23" s="23">
        <v>25003976</v>
      </c>
      <c r="AH23" s="24"/>
      <c r="AI23" s="27">
        <v>13.805999999999999</v>
      </c>
      <c r="AJ23" s="27">
        <v>15.132</v>
      </c>
      <c r="AL23" s="29">
        <f t="shared" si="12"/>
        <v>1</v>
      </c>
      <c r="AM23" s="29">
        <f t="shared" si="13"/>
        <v>1</v>
      </c>
      <c r="AN23" s="29">
        <f t="shared" si="14"/>
        <v>1</v>
      </c>
      <c r="AO23" s="30"/>
      <c r="AP23" s="28">
        <f t="shared" si="15"/>
        <v>0</v>
      </c>
      <c r="AQ23" s="28">
        <f t="array" ref="AQ23">AVERAGE(AF23:AF23/AE23:AE23) - AVERAGE(Q23:Q23/P23:P23)</f>
        <v>0</v>
      </c>
    </row>
    <row r="24" spans="1:43" collapsed="1" x14ac:dyDescent="0.15">
      <c r="A24" s="31"/>
      <c r="B24" s="31" t="s">
        <v>287</v>
      </c>
      <c r="C24" s="31">
        <v>1089091</v>
      </c>
      <c r="D24" s="33">
        <v>10</v>
      </c>
      <c r="E24" s="32">
        <v>1</v>
      </c>
      <c r="F24" s="32"/>
      <c r="H24" s="43">
        <f t="shared" si="0"/>
        <v>0.1502696591316367</v>
      </c>
      <c r="I24" s="34" t="str">
        <f t="shared" si="1"/>
        <v>·</v>
      </c>
      <c r="J24" s="35">
        <f t="shared" si="2"/>
        <v>8.1145615931083803</v>
      </c>
      <c r="K24" s="35">
        <f t="shared" si="3"/>
        <v>1.0349474929092244</v>
      </c>
      <c r="L24" s="35">
        <f t="shared" si="4"/>
        <v>7.0791219466509228</v>
      </c>
      <c r="M24" s="36"/>
      <c r="N24" s="35">
        <f t="shared" si="5"/>
        <v>8.1145615931083803</v>
      </c>
      <c r="O24" s="37">
        <v>1089091</v>
      </c>
      <c r="P24" s="38">
        <v>8837496</v>
      </c>
      <c r="Q24" s="38">
        <v>1127152</v>
      </c>
      <c r="R24" s="38">
        <v>7709808</v>
      </c>
      <c r="S24" s="39"/>
      <c r="T24" s="42"/>
      <c r="U24" s="42"/>
      <c r="W24" s="43">
        <f t="shared" si="6"/>
        <v>0.1502696591316367</v>
      </c>
      <c r="X24" s="34" t="str">
        <f t="shared" si="7"/>
        <v>·</v>
      </c>
      <c r="Y24" s="35">
        <f t="shared" si="8"/>
        <v>8.1145615931083803</v>
      </c>
      <c r="Z24" s="35">
        <f t="shared" si="9"/>
        <v>1.0349474929092244</v>
      </c>
      <c r="AA24" s="35">
        <f t="shared" si="10"/>
        <v>7.0791219466509228</v>
      </c>
      <c r="AB24" s="36"/>
      <c r="AC24" s="35">
        <f t="shared" si="11"/>
        <v>8.1145615931083803</v>
      </c>
      <c r="AD24" s="37">
        <v>1089091</v>
      </c>
      <c r="AE24" s="38">
        <v>8837496</v>
      </c>
      <c r="AF24" s="38">
        <v>1127152</v>
      </c>
      <c r="AG24" s="38">
        <v>7709808</v>
      </c>
      <c r="AH24" s="39"/>
      <c r="AI24" s="42">
        <v>3.3849999999999998</v>
      </c>
      <c r="AJ24" s="42">
        <v>2.964</v>
      </c>
      <c r="AL24" s="44">
        <f t="shared" si="12"/>
        <v>1</v>
      </c>
      <c r="AM24" s="44">
        <f t="shared" si="13"/>
        <v>1</v>
      </c>
      <c r="AN24" s="44">
        <f t="shared" si="14"/>
        <v>1</v>
      </c>
      <c r="AO24" s="45"/>
      <c r="AP24" s="43">
        <f t="shared" si="15"/>
        <v>0</v>
      </c>
      <c r="AQ24" s="43">
        <f t="array" ref="AQ24">AVERAGE(AF24:AF24/AE24:AE24) - AVERAGE(Q24:Q24/P24:P24)</f>
        <v>0</v>
      </c>
    </row>
    <row r="25" spans="1:43" collapsed="1" x14ac:dyDescent="0.15">
      <c r="A25" s="16"/>
      <c r="B25" s="16" t="s">
        <v>290</v>
      </c>
      <c r="C25" s="16">
        <v>3130215</v>
      </c>
      <c r="D25" s="18">
        <v>12</v>
      </c>
      <c r="E25" s="17">
        <v>1</v>
      </c>
      <c r="F25" s="17"/>
      <c r="H25" s="28">
        <f t="shared" si="0"/>
        <v>0.14542771023715623</v>
      </c>
      <c r="I25" s="19" t="str">
        <f t="shared" si="1"/>
        <v>·</v>
      </c>
      <c r="J25" s="20">
        <f t="shared" si="2"/>
        <v>8.7256626142293747</v>
      </c>
      <c r="K25" s="20">
        <f t="shared" si="3"/>
        <v>1.0974786076994711</v>
      </c>
      <c r="L25" s="20">
        <f t="shared" si="4"/>
        <v>7.6278798740661582</v>
      </c>
      <c r="M25" s="21"/>
      <c r="N25" s="20">
        <f t="shared" si="5"/>
        <v>8.7256626142293747</v>
      </c>
      <c r="O25" s="22">
        <v>3130215</v>
      </c>
      <c r="P25" s="23">
        <v>27313200</v>
      </c>
      <c r="Q25" s="23">
        <v>3435344</v>
      </c>
      <c r="R25" s="23">
        <v>23876904</v>
      </c>
      <c r="S25" s="24"/>
      <c r="T25" s="27"/>
      <c r="U25" s="27"/>
      <c r="W25" s="28">
        <f t="shared" si="6"/>
        <v>0.14542771023715623</v>
      </c>
      <c r="X25" s="19" t="str">
        <f t="shared" si="7"/>
        <v>·</v>
      </c>
      <c r="Y25" s="20">
        <f t="shared" si="8"/>
        <v>8.7256626142293747</v>
      </c>
      <c r="Z25" s="20">
        <f t="shared" si="9"/>
        <v>1.0974786076994711</v>
      </c>
      <c r="AA25" s="20">
        <f t="shared" si="10"/>
        <v>7.6278798740661582</v>
      </c>
      <c r="AB25" s="21"/>
      <c r="AC25" s="20">
        <f t="shared" si="11"/>
        <v>8.7256626142293747</v>
      </c>
      <c r="AD25" s="22">
        <v>3130215</v>
      </c>
      <c r="AE25" s="23">
        <v>27313200</v>
      </c>
      <c r="AF25" s="23">
        <v>3435344</v>
      </c>
      <c r="AG25" s="23">
        <v>23876904</v>
      </c>
      <c r="AH25" s="24"/>
      <c r="AI25" s="27">
        <v>11.324999999999999</v>
      </c>
      <c r="AJ25" s="27">
        <v>8.1120000000000001</v>
      </c>
      <c r="AL25" s="29">
        <f t="shared" si="12"/>
        <v>1</v>
      </c>
      <c r="AM25" s="29">
        <f t="shared" si="13"/>
        <v>1</v>
      </c>
      <c r="AN25" s="29">
        <f t="shared" si="14"/>
        <v>1</v>
      </c>
      <c r="AO25" s="30"/>
      <c r="AP25" s="28">
        <f t="shared" si="15"/>
        <v>0</v>
      </c>
      <c r="AQ25" s="28">
        <f t="array" ref="AQ25">AVERAGE(AF25:AF25/AE25:AE25) - AVERAGE(Q25:Q25/P25:P25)</f>
        <v>0</v>
      </c>
    </row>
    <row r="26" spans="1:43" collapsed="1" x14ac:dyDescent="0.15">
      <c r="A26" s="46"/>
      <c r="B26" s="46" t="s">
        <v>293</v>
      </c>
      <c r="C26" s="46">
        <v>1995189</v>
      </c>
      <c r="D26" s="48">
        <v>13</v>
      </c>
      <c r="E26" s="47">
        <v>1</v>
      </c>
      <c r="F26" s="47"/>
      <c r="H26" s="58">
        <f t="shared" si="0"/>
        <v>0.2846368845018597</v>
      </c>
      <c r="I26" s="49" t="str">
        <f t="shared" si="1"/>
        <v>·</v>
      </c>
      <c r="J26" s="50">
        <f t="shared" si="2"/>
        <v>17.93212372361716</v>
      </c>
      <c r="K26" s="50">
        <f t="shared" si="3"/>
        <v>11.243005048644514</v>
      </c>
      <c r="L26" s="50">
        <f t="shared" si="4"/>
        <v>6.6888179515825321</v>
      </c>
      <c r="M26" s="51"/>
      <c r="N26" s="50">
        <f t="shared" si="5"/>
        <v>17.93212372361716</v>
      </c>
      <c r="O26" s="52">
        <v>1995189</v>
      </c>
      <c r="P26" s="53">
        <v>35777976</v>
      </c>
      <c r="Q26" s="53">
        <v>22431920</v>
      </c>
      <c r="R26" s="53">
        <v>13345456</v>
      </c>
      <c r="S26" s="54"/>
      <c r="T26" s="57"/>
      <c r="U26" s="57"/>
      <c r="W26" s="58">
        <f t="shared" si="6"/>
        <v>0.2846368845018597</v>
      </c>
      <c r="X26" s="49" t="str">
        <f t="shared" si="7"/>
        <v>·</v>
      </c>
      <c r="Y26" s="50">
        <f t="shared" si="8"/>
        <v>17.93212372361716</v>
      </c>
      <c r="Z26" s="50">
        <f t="shared" si="9"/>
        <v>11.243005048644514</v>
      </c>
      <c r="AA26" s="50">
        <f t="shared" si="10"/>
        <v>6.6888179515825321</v>
      </c>
      <c r="AB26" s="51"/>
      <c r="AC26" s="50">
        <f t="shared" si="11"/>
        <v>17.93212372361716</v>
      </c>
      <c r="AD26" s="52">
        <v>1995189</v>
      </c>
      <c r="AE26" s="53">
        <v>35777976</v>
      </c>
      <c r="AF26" s="53">
        <v>22431920</v>
      </c>
      <c r="AG26" s="53">
        <v>13345456</v>
      </c>
      <c r="AH26" s="54"/>
      <c r="AI26" s="57">
        <v>13.773999999999999</v>
      </c>
      <c r="AJ26" s="57">
        <v>10.311</v>
      </c>
      <c r="AL26" s="59">
        <f t="shared" si="12"/>
        <v>1</v>
      </c>
      <c r="AM26" s="59">
        <f t="shared" si="13"/>
        <v>1</v>
      </c>
      <c r="AN26" s="59">
        <f t="shared" si="14"/>
        <v>1</v>
      </c>
      <c r="AO26" s="60"/>
      <c r="AP26" s="58">
        <f t="shared" si="15"/>
        <v>0</v>
      </c>
      <c r="AQ26" s="58">
        <f t="array" ref="AQ26">AVERAGE(AF26:AF26/AE26:AE26) - AVERAGE(Q26:Q26/P26:P26)</f>
        <v>0</v>
      </c>
    </row>
    <row r="27" spans="1:43" collapsed="1" x14ac:dyDescent="0.15">
      <c r="A27" s="16" t="s">
        <v>297</v>
      </c>
      <c r="B27" s="16" t="s">
        <v>296</v>
      </c>
      <c r="C27" s="16">
        <v>1481746</v>
      </c>
      <c r="D27" s="18">
        <v>12</v>
      </c>
      <c r="E27" s="17">
        <v>1</v>
      </c>
      <c r="F27" s="17"/>
      <c r="H27" s="28">
        <f t="shared" si="0"/>
        <v>0.43161414529435771</v>
      </c>
      <c r="I27" s="19" t="str">
        <f t="shared" si="1"/>
        <v>·</v>
      </c>
      <c r="J27" s="20">
        <f t="shared" si="2"/>
        <v>25.896848717661463</v>
      </c>
      <c r="K27" s="20">
        <f t="shared" si="3"/>
        <v>10.003965591943558</v>
      </c>
      <c r="L27" s="20">
        <f t="shared" si="4"/>
        <v>15.892370217297701</v>
      </c>
      <c r="M27" s="21"/>
      <c r="N27" s="20">
        <f t="shared" si="5"/>
        <v>25.896848717661463</v>
      </c>
      <c r="O27" s="22">
        <v>1481746</v>
      </c>
      <c r="P27" s="23">
        <v>38372552</v>
      </c>
      <c r="Q27" s="23">
        <v>14823336</v>
      </c>
      <c r="R27" s="23">
        <v>23548456</v>
      </c>
      <c r="S27" s="24"/>
      <c r="T27" s="27"/>
      <c r="U27" s="27"/>
      <c r="W27" s="28">
        <f t="shared" si="6"/>
        <v>0.43161414529435771</v>
      </c>
      <c r="X27" s="19" t="str">
        <f t="shared" si="7"/>
        <v>·</v>
      </c>
      <c r="Y27" s="20">
        <f t="shared" si="8"/>
        <v>25.896848717661463</v>
      </c>
      <c r="Z27" s="20">
        <f t="shared" si="9"/>
        <v>10.003965591943558</v>
      </c>
      <c r="AA27" s="20">
        <f t="shared" si="10"/>
        <v>15.892370217297701</v>
      </c>
      <c r="AB27" s="21"/>
      <c r="AC27" s="20">
        <f t="shared" si="11"/>
        <v>25.896848717661463</v>
      </c>
      <c r="AD27" s="22">
        <v>1481746</v>
      </c>
      <c r="AE27" s="23">
        <v>38372552</v>
      </c>
      <c r="AF27" s="23">
        <v>14823336</v>
      </c>
      <c r="AG27" s="23">
        <v>23548456</v>
      </c>
      <c r="AH27" s="24"/>
      <c r="AI27" s="27">
        <v>8.6259999999999994</v>
      </c>
      <c r="AJ27" s="27">
        <v>7.4249999999999998</v>
      </c>
      <c r="AL27" s="29">
        <f t="shared" si="12"/>
        <v>1</v>
      </c>
      <c r="AM27" s="29">
        <f t="shared" si="13"/>
        <v>1</v>
      </c>
      <c r="AN27" s="29">
        <f t="shared" si="14"/>
        <v>1</v>
      </c>
      <c r="AO27" s="30"/>
      <c r="AP27" s="28">
        <f t="shared" si="15"/>
        <v>0</v>
      </c>
      <c r="AQ27" s="28">
        <f t="array" ref="AQ27">AVERAGE(AF27:AF27/AE27:AE27) - AVERAGE(Q27:Q27/P27:P27)</f>
        <v>0</v>
      </c>
    </row>
    <row r="28" spans="1:43" collapsed="1" x14ac:dyDescent="0.15">
      <c r="A28" s="31"/>
      <c r="B28" s="31" t="s">
        <v>300</v>
      </c>
      <c r="C28" s="31">
        <v>1530552</v>
      </c>
      <c r="D28" s="33">
        <v>20</v>
      </c>
      <c r="E28" s="32">
        <v>1</v>
      </c>
      <c r="F28" s="32"/>
      <c r="H28" s="43">
        <f t="shared" si="0"/>
        <v>0.59880836020816886</v>
      </c>
      <c r="I28" s="34" t="str">
        <f t="shared" si="1"/>
        <v>·</v>
      </c>
      <c r="J28" s="35">
        <f t="shared" si="2"/>
        <v>50.299902257486188</v>
      </c>
      <c r="K28" s="35">
        <f t="shared" si="3"/>
        <v>34.420867765355247</v>
      </c>
      <c r="L28" s="35">
        <f t="shared" si="4"/>
        <v>15.878522258636099</v>
      </c>
      <c r="M28" s="36"/>
      <c r="N28" s="35">
        <f t="shared" si="5"/>
        <v>50.299902257486188</v>
      </c>
      <c r="O28" s="37">
        <v>1530552</v>
      </c>
      <c r="P28" s="38">
        <v>76986616</v>
      </c>
      <c r="Q28" s="38">
        <v>52682928</v>
      </c>
      <c r="R28" s="38">
        <v>24302904</v>
      </c>
      <c r="S28" s="39"/>
      <c r="T28" s="42"/>
      <c r="U28" s="42"/>
      <c r="W28" s="43">
        <f t="shared" si="6"/>
        <v>0.59880836020816886</v>
      </c>
      <c r="X28" s="34" t="str">
        <f t="shared" si="7"/>
        <v>·</v>
      </c>
      <c r="Y28" s="35">
        <f t="shared" si="8"/>
        <v>50.299902257486188</v>
      </c>
      <c r="Z28" s="35">
        <f t="shared" si="9"/>
        <v>34.420867765355247</v>
      </c>
      <c r="AA28" s="35">
        <f t="shared" si="10"/>
        <v>15.878522258636099</v>
      </c>
      <c r="AB28" s="36"/>
      <c r="AC28" s="35">
        <f t="shared" si="11"/>
        <v>50.299902257486188</v>
      </c>
      <c r="AD28" s="37">
        <v>1530552</v>
      </c>
      <c r="AE28" s="38">
        <v>76986616</v>
      </c>
      <c r="AF28" s="38">
        <v>52682928</v>
      </c>
      <c r="AG28" s="38">
        <v>24302904</v>
      </c>
      <c r="AH28" s="39"/>
      <c r="AI28" s="42">
        <v>18.47</v>
      </c>
      <c r="AJ28" s="42">
        <v>15.35</v>
      </c>
      <c r="AL28" s="44">
        <f t="shared" si="12"/>
        <v>1</v>
      </c>
      <c r="AM28" s="44">
        <f t="shared" si="13"/>
        <v>1</v>
      </c>
      <c r="AN28" s="44">
        <f t="shared" si="14"/>
        <v>1</v>
      </c>
      <c r="AO28" s="45"/>
      <c r="AP28" s="43">
        <f t="shared" si="15"/>
        <v>0</v>
      </c>
      <c r="AQ28" s="43">
        <f t="array" ref="AQ28">AVERAGE(AF28:AF28/AE28:AE28) - AVERAGE(Q28:Q28/P28:P28)</f>
        <v>0</v>
      </c>
    </row>
    <row r="29" spans="1:43" collapsed="1" x14ac:dyDescent="0.15">
      <c r="A29" s="16"/>
      <c r="B29" s="16" t="s">
        <v>303</v>
      </c>
      <c r="C29" s="16">
        <v>272689</v>
      </c>
      <c r="D29" s="18">
        <v>20</v>
      </c>
      <c r="E29" s="17">
        <v>1</v>
      </c>
      <c r="F29" s="17"/>
      <c r="H29" s="28">
        <f t="shared" si="0"/>
        <v>0.53268218163758507</v>
      </c>
      <c r="I29" s="19" t="str">
        <f t="shared" si="1"/>
        <v>·</v>
      </c>
      <c r="J29" s="20">
        <f t="shared" si="2"/>
        <v>44.745303257557147</v>
      </c>
      <c r="K29" s="20">
        <f t="shared" si="3"/>
        <v>35.39316950812097</v>
      </c>
      <c r="L29" s="20">
        <f t="shared" si="4"/>
        <v>9.3501388028119941</v>
      </c>
      <c r="M29" s="21"/>
      <c r="N29" s="20">
        <f t="shared" si="5"/>
        <v>44.745303257557147</v>
      </c>
      <c r="O29" s="22">
        <v>272689</v>
      </c>
      <c r="P29" s="23">
        <v>12201552</v>
      </c>
      <c r="Q29" s="23">
        <v>9651328</v>
      </c>
      <c r="R29" s="23">
        <v>2549680</v>
      </c>
      <c r="S29" s="24"/>
      <c r="T29" s="27"/>
      <c r="U29" s="27"/>
      <c r="W29" s="28">
        <f t="shared" si="6"/>
        <v>0.53268218163758507</v>
      </c>
      <c r="X29" s="19" t="str">
        <f t="shared" si="7"/>
        <v>·</v>
      </c>
      <c r="Y29" s="20">
        <f t="shared" si="8"/>
        <v>44.745303257557147</v>
      </c>
      <c r="Z29" s="20">
        <f t="shared" si="9"/>
        <v>35.39316950812097</v>
      </c>
      <c r="AA29" s="20">
        <f t="shared" si="10"/>
        <v>9.3501388028119941</v>
      </c>
      <c r="AB29" s="21"/>
      <c r="AC29" s="20">
        <f t="shared" si="11"/>
        <v>44.745303257557147</v>
      </c>
      <c r="AD29" s="22">
        <v>272689</v>
      </c>
      <c r="AE29" s="23">
        <v>12201552</v>
      </c>
      <c r="AF29" s="23">
        <v>9651328</v>
      </c>
      <c r="AG29" s="23">
        <v>2549680</v>
      </c>
      <c r="AH29" s="24"/>
      <c r="AI29" s="27">
        <v>2.8079999999999998</v>
      </c>
      <c r="AJ29" s="27">
        <v>1.9179999999999999</v>
      </c>
      <c r="AL29" s="29">
        <f t="shared" si="12"/>
        <v>1</v>
      </c>
      <c r="AM29" s="29">
        <f t="shared" si="13"/>
        <v>1</v>
      </c>
      <c r="AN29" s="29">
        <f t="shared" si="14"/>
        <v>1</v>
      </c>
      <c r="AO29" s="30"/>
      <c r="AP29" s="28">
        <f t="shared" si="15"/>
        <v>0</v>
      </c>
      <c r="AQ29" s="28">
        <f t="array" ref="AQ29">AVERAGE(AF29:AF29/AE29:AE29) - AVERAGE(Q29:Q29/P29:P29)</f>
        <v>0</v>
      </c>
    </row>
    <row r="30" spans="1:43" collapsed="1" x14ac:dyDescent="0.15">
      <c r="A30" s="31"/>
      <c r="B30" s="31" t="s">
        <v>306</v>
      </c>
      <c r="C30" s="31">
        <v>1602990</v>
      </c>
      <c r="D30" s="33">
        <v>20</v>
      </c>
      <c r="E30" s="32">
        <v>1</v>
      </c>
      <c r="F30" s="32"/>
      <c r="H30" s="43">
        <f t="shared" si="0"/>
        <v>0.47756588209117545</v>
      </c>
      <c r="I30" s="34" t="str">
        <f t="shared" si="1"/>
        <v>·</v>
      </c>
      <c r="J30" s="35">
        <f t="shared" si="2"/>
        <v>40.115534095658738</v>
      </c>
      <c r="K30" s="35">
        <f t="shared" si="3"/>
        <v>28.597982520165441</v>
      </c>
      <c r="L30" s="35">
        <f t="shared" si="4"/>
        <v>11.517162302946369</v>
      </c>
      <c r="M30" s="36"/>
      <c r="N30" s="35">
        <f t="shared" si="5"/>
        <v>40.115534095658738</v>
      </c>
      <c r="O30" s="37">
        <v>1602990</v>
      </c>
      <c r="P30" s="38">
        <v>64304800</v>
      </c>
      <c r="Q30" s="38">
        <v>45842280</v>
      </c>
      <c r="R30" s="38">
        <v>18461896</v>
      </c>
      <c r="S30" s="39"/>
      <c r="T30" s="42"/>
      <c r="U30" s="42"/>
      <c r="W30" s="43">
        <f t="shared" si="6"/>
        <v>0.47756588209117545</v>
      </c>
      <c r="X30" s="34" t="str">
        <f t="shared" si="7"/>
        <v>·</v>
      </c>
      <c r="Y30" s="35">
        <f t="shared" si="8"/>
        <v>40.115534095658738</v>
      </c>
      <c r="Z30" s="35">
        <f t="shared" si="9"/>
        <v>28.597982520165441</v>
      </c>
      <c r="AA30" s="35">
        <f t="shared" si="10"/>
        <v>11.517162302946369</v>
      </c>
      <c r="AB30" s="36"/>
      <c r="AC30" s="35">
        <f t="shared" si="11"/>
        <v>40.115534095658738</v>
      </c>
      <c r="AD30" s="37">
        <v>1602990</v>
      </c>
      <c r="AE30" s="38">
        <v>64304800</v>
      </c>
      <c r="AF30" s="38">
        <v>45842280</v>
      </c>
      <c r="AG30" s="38">
        <v>18461896</v>
      </c>
      <c r="AH30" s="39"/>
      <c r="AI30" s="42">
        <v>16.364000000000001</v>
      </c>
      <c r="AJ30" s="42">
        <v>19.125</v>
      </c>
      <c r="AL30" s="44">
        <f t="shared" si="12"/>
        <v>1</v>
      </c>
      <c r="AM30" s="44">
        <f t="shared" si="13"/>
        <v>1</v>
      </c>
      <c r="AN30" s="44">
        <f t="shared" si="14"/>
        <v>1</v>
      </c>
      <c r="AO30" s="45"/>
      <c r="AP30" s="43">
        <f t="shared" si="15"/>
        <v>0</v>
      </c>
      <c r="AQ30" s="43">
        <f t="array" ref="AQ30">AVERAGE(AF30:AF30/AE30:AE30) - AVERAGE(Q30:Q30/P30:P30)</f>
        <v>0</v>
      </c>
    </row>
    <row r="31" spans="1:43" collapsed="1" x14ac:dyDescent="0.15">
      <c r="A31" s="16"/>
      <c r="B31" s="16" t="s">
        <v>309</v>
      </c>
      <c r="C31" s="16">
        <v>8929532</v>
      </c>
      <c r="D31" s="18">
        <v>20</v>
      </c>
      <c r="E31" s="17">
        <v>1</v>
      </c>
      <c r="F31" s="17"/>
      <c r="H31" s="28">
        <f t="shared" si="0"/>
        <v>0.45028349270072127</v>
      </c>
      <c r="I31" s="19" t="str">
        <f t="shared" si="1"/>
        <v>·</v>
      </c>
      <c r="J31" s="20">
        <f t="shared" si="2"/>
        <v>37.823813386860586</v>
      </c>
      <c r="K31" s="20">
        <f t="shared" si="3"/>
        <v>26.894269486911519</v>
      </c>
      <c r="L31" s="20">
        <f t="shared" si="4"/>
        <v>10.929402347177881</v>
      </c>
      <c r="M31" s="21"/>
      <c r="N31" s="20">
        <f t="shared" si="5"/>
        <v>37.823813386860586</v>
      </c>
      <c r="O31" s="22">
        <v>8929532</v>
      </c>
      <c r="P31" s="23">
        <v>337748952</v>
      </c>
      <c r="Q31" s="23">
        <v>240153240</v>
      </c>
      <c r="R31" s="23">
        <v>97594448</v>
      </c>
      <c r="S31" s="24"/>
      <c r="T31" s="27"/>
      <c r="U31" s="27"/>
      <c r="W31" s="28">
        <f t="shared" si="6"/>
        <v>0.45028349270072127</v>
      </c>
      <c r="X31" s="19" t="str">
        <f t="shared" si="7"/>
        <v>·</v>
      </c>
      <c r="Y31" s="20">
        <f t="shared" si="8"/>
        <v>37.823813386860586</v>
      </c>
      <c r="Z31" s="20">
        <f t="shared" si="9"/>
        <v>26.894269486911519</v>
      </c>
      <c r="AA31" s="20">
        <f t="shared" si="10"/>
        <v>10.929402347177881</v>
      </c>
      <c r="AB31" s="21"/>
      <c r="AC31" s="20">
        <f t="shared" si="11"/>
        <v>37.823813386860586</v>
      </c>
      <c r="AD31" s="22">
        <v>8929532</v>
      </c>
      <c r="AE31" s="23">
        <v>337748952</v>
      </c>
      <c r="AF31" s="23">
        <v>240153240</v>
      </c>
      <c r="AG31" s="23">
        <v>97594448</v>
      </c>
      <c r="AH31" s="24"/>
      <c r="AI31" s="27">
        <v>76.409000000000006</v>
      </c>
      <c r="AJ31" s="27">
        <v>82.102999999999994</v>
      </c>
      <c r="AL31" s="29">
        <f t="shared" si="12"/>
        <v>1</v>
      </c>
      <c r="AM31" s="29">
        <f t="shared" si="13"/>
        <v>1</v>
      </c>
      <c r="AN31" s="29">
        <f t="shared" si="14"/>
        <v>1</v>
      </c>
      <c r="AO31" s="30"/>
      <c r="AP31" s="28">
        <f t="shared" si="15"/>
        <v>0</v>
      </c>
      <c r="AQ31" s="28">
        <f t="array" ref="AQ31">AVERAGE(AF31:AF31/AE31:AE31) - AVERAGE(Q31:Q31/P31:P31)</f>
        <v>0</v>
      </c>
    </row>
    <row r="32" spans="1:43" collapsed="1" x14ac:dyDescent="0.15">
      <c r="A32" s="31"/>
      <c r="B32" s="31" t="s">
        <v>312</v>
      </c>
      <c r="C32" s="31">
        <v>19702134</v>
      </c>
      <c r="D32" s="33">
        <v>14</v>
      </c>
      <c r="E32" s="32">
        <v>1</v>
      </c>
      <c r="F32" s="32"/>
      <c r="H32" s="43">
        <f t="shared" si="0"/>
        <v>0.23711059559704178</v>
      </c>
      <c r="I32" s="34" t="str">
        <f t="shared" si="1"/>
        <v>·</v>
      </c>
      <c r="J32" s="35">
        <f t="shared" si="2"/>
        <v>15.649299309404757</v>
      </c>
      <c r="K32" s="35">
        <f t="shared" si="3"/>
        <v>5.9567277331480941</v>
      </c>
      <c r="L32" s="35">
        <f t="shared" si="4"/>
        <v>9.6924513862305481</v>
      </c>
      <c r="M32" s="36"/>
      <c r="N32" s="35">
        <f t="shared" si="5"/>
        <v>15.649299309404757</v>
      </c>
      <c r="O32" s="37">
        <v>19702134</v>
      </c>
      <c r="P32" s="38">
        <v>308324592</v>
      </c>
      <c r="Q32" s="38">
        <v>117360248</v>
      </c>
      <c r="R32" s="38">
        <v>190961976</v>
      </c>
      <c r="S32" s="39"/>
      <c r="T32" s="42"/>
      <c r="U32" s="42"/>
      <c r="W32" s="43">
        <f t="shared" si="6"/>
        <v>0.23711059559704178</v>
      </c>
      <c r="X32" s="34" t="str">
        <f t="shared" si="7"/>
        <v>·</v>
      </c>
      <c r="Y32" s="35">
        <f t="shared" si="8"/>
        <v>15.649299309404757</v>
      </c>
      <c r="Z32" s="35">
        <f t="shared" si="9"/>
        <v>5.9567277331480941</v>
      </c>
      <c r="AA32" s="35">
        <f t="shared" si="10"/>
        <v>9.6924513862305481</v>
      </c>
      <c r="AB32" s="36"/>
      <c r="AC32" s="35">
        <f t="shared" si="11"/>
        <v>15.649299309404757</v>
      </c>
      <c r="AD32" s="37">
        <v>19702134</v>
      </c>
      <c r="AE32" s="38">
        <v>308324592</v>
      </c>
      <c r="AF32" s="38">
        <v>117360248</v>
      </c>
      <c r="AG32" s="38">
        <v>190961976</v>
      </c>
      <c r="AH32" s="39"/>
      <c r="AI32" s="42">
        <v>93.054000000000002</v>
      </c>
      <c r="AJ32" s="42">
        <v>71.197999999999993</v>
      </c>
      <c r="AL32" s="44">
        <f t="shared" si="12"/>
        <v>1</v>
      </c>
      <c r="AM32" s="44">
        <f t="shared" si="13"/>
        <v>1</v>
      </c>
      <c r="AN32" s="44">
        <f t="shared" si="14"/>
        <v>1</v>
      </c>
      <c r="AO32" s="45"/>
      <c r="AP32" s="43">
        <f t="shared" si="15"/>
        <v>0</v>
      </c>
      <c r="AQ32" s="43">
        <f t="array" ref="AQ32">AVERAGE(AF32:AF32/AE32:AE32) - AVERAGE(Q32:Q32/P32:P32)</f>
        <v>0</v>
      </c>
    </row>
    <row r="33" spans="1:43" collapsed="1" x14ac:dyDescent="0.15">
      <c r="A33" s="16"/>
      <c r="B33" s="16" t="s">
        <v>315</v>
      </c>
      <c r="C33" s="16">
        <v>19714629</v>
      </c>
      <c r="D33" s="18">
        <v>20</v>
      </c>
      <c r="E33" s="17">
        <v>1</v>
      </c>
      <c r="F33" s="17"/>
      <c r="H33" s="28">
        <f t="shared" si="0"/>
        <v>0.38142683645878256</v>
      </c>
      <c r="I33" s="19" t="str">
        <f t="shared" si="1"/>
        <v>·</v>
      </c>
      <c r="J33" s="20">
        <f t="shared" si="2"/>
        <v>32.03985426253773</v>
      </c>
      <c r="K33" s="20">
        <f t="shared" si="3"/>
        <v>22.383093894386754</v>
      </c>
      <c r="L33" s="20">
        <f t="shared" si="4"/>
        <v>9.6566394427204294</v>
      </c>
      <c r="M33" s="21"/>
      <c r="N33" s="20">
        <f t="shared" si="5"/>
        <v>32.03985426253773</v>
      </c>
      <c r="O33" s="22">
        <v>19714629</v>
      </c>
      <c r="P33" s="23">
        <v>631653840</v>
      </c>
      <c r="Q33" s="23">
        <v>441274392</v>
      </c>
      <c r="R33" s="23">
        <v>190377064</v>
      </c>
      <c r="S33" s="24"/>
      <c r="T33" s="27"/>
      <c r="U33" s="27"/>
      <c r="W33" s="28">
        <f t="shared" si="6"/>
        <v>0.38142683645878256</v>
      </c>
      <c r="X33" s="19" t="str">
        <f t="shared" si="7"/>
        <v>·</v>
      </c>
      <c r="Y33" s="20">
        <f t="shared" si="8"/>
        <v>32.03985426253773</v>
      </c>
      <c r="Z33" s="20">
        <f t="shared" si="9"/>
        <v>22.383093894386754</v>
      </c>
      <c r="AA33" s="20">
        <f t="shared" si="10"/>
        <v>9.6566394427204294</v>
      </c>
      <c r="AB33" s="21"/>
      <c r="AC33" s="20">
        <f t="shared" si="11"/>
        <v>32.03985426253773</v>
      </c>
      <c r="AD33" s="22">
        <v>19714629</v>
      </c>
      <c r="AE33" s="23">
        <v>631653840</v>
      </c>
      <c r="AF33" s="23">
        <v>441274392</v>
      </c>
      <c r="AG33" s="23">
        <v>190377064</v>
      </c>
      <c r="AH33" s="24"/>
      <c r="AI33" s="27">
        <v>169.214</v>
      </c>
      <c r="AJ33" s="27">
        <v>138.87200000000001</v>
      </c>
      <c r="AL33" s="29">
        <f t="shared" si="12"/>
        <v>1</v>
      </c>
      <c r="AM33" s="29">
        <f t="shared" si="13"/>
        <v>1</v>
      </c>
      <c r="AN33" s="29">
        <f t="shared" si="14"/>
        <v>1</v>
      </c>
      <c r="AO33" s="30"/>
      <c r="AP33" s="28">
        <f t="shared" si="15"/>
        <v>0</v>
      </c>
      <c r="AQ33" s="28">
        <f t="array" ref="AQ33">AVERAGE(AF33:AF33/AE33:AE33) - AVERAGE(Q33:Q33/P33:P33)</f>
        <v>0</v>
      </c>
    </row>
    <row r="34" spans="1:43" collapsed="1" x14ac:dyDescent="0.15">
      <c r="A34" s="31"/>
      <c r="B34" s="31" t="s">
        <v>318</v>
      </c>
      <c r="C34" s="31">
        <v>3630907</v>
      </c>
      <c r="D34" s="33">
        <v>20</v>
      </c>
      <c r="E34" s="32">
        <v>1</v>
      </c>
      <c r="F34" s="32"/>
      <c r="H34" s="43">
        <f t="shared" si="0"/>
        <v>0.47147485003976508</v>
      </c>
      <c r="I34" s="34" t="str">
        <f t="shared" si="1"/>
        <v>·</v>
      </c>
      <c r="J34" s="35">
        <f t="shared" si="2"/>
        <v>39.603887403340266</v>
      </c>
      <c r="K34" s="35">
        <f t="shared" si="3"/>
        <v>29.969428575284358</v>
      </c>
      <c r="L34" s="35">
        <f t="shared" si="4"/>
        <v>9.6342208709834765</v>
      </c>
      <c r="M34" s="36"/>
      <c r="N34" s="35">
        <f t="shared" si="5"/>
        <v>39.603887403340266</v>
      </c>
      <c r="O34" s="37">
        <v>3630907</v>
      </c>
      <c r="P34" s="38">
        <v>143798032</v>
      </c>
      <c r="Q34" s="38">
        <v>108816208</v>
      </c>
      <c r="R34" s="38">
        <v>34980960</v>
      </c>
      <c r="S34" s="39"/>
      <c r="T34" s="42"/>
      <c r="U34" s="42"/>
      <c r="W34" s="43">
        <f t="shared" si="6"/>
        <v>0.47147485003976508</v>
      </c>
      <c r="X34" s="34" t="str">
        <f t="shared" si="7"/>
        <v>·</v>
      </c>
      <c r="Y34" s="35">
        <f t="shared" si="8"/>
        <v>39.603887403340266</v>
      </c>
      <c r="Z34" s="35">
        <f t="shared" si="9"/>
        <v>29.969428575284358</v>
      </c>
      <c r="AA34" s="35">
        <f t="shared" si="10"/>
        <v>9.6342208709834765</v>
      </c>
      <c r="AB34" s="36"/>
      <c r="AC34" s="35">
        <f t="shared" si="11"/>
        <v>39.603887403340266</v>
      </c>
      <c r="AD34" s="37">
        <v>3630907</v>
      </c>
      <c r="AE34" s="38">
        <v>143798032</v>
      </c>
      <c r="AF34" s="38">
        <v>108816208</v>
      </c>
      <c r="AG34" s="38">
        <v>34980960</v>
      </c>
      <c r="AH34" s="39"/>
      <c r="AI34" s="42">
        <v>37.408999999999999</v>
      </c>
      <c r="AJ34" s="42">
        <v>32.167000000000002</v>
      </c>
      <c r="AL34" s="44">
        <f t="shared" si="12"/>
        <v>1</v>
      </c>
      <c r="AM34" s="44">
        <f t="shared" si="13"/>
        <v>1</v>
      </c>
      <c r="AN34" s="44">
        <f t="shared" si="14"/>
        <v>1</v>
      </c>
      <c r="AO34" s="45"/>
      <c r="AP34" s="43">
        <f t="shared" si="15"/>
        <v>0</v>
      </c>
      <c r="AQ34" s="43">
        <f t="array" ref="AQ34">AVERAGE(AF34:AF34/AE34:AE34) - AVERAGE(Q34:Q34/P34:P34)</f>
        <v>0</v>
      </c>
    </row>
    <row r="35" spans="1:43" collapsed="1" x14ac:dyDescent="0.15">
      <c r="A35" s="16"/>
      <c r="B35" s="16" t="s">
        <v>321</v>
      </c>
      <c r="C35" s="16">
        <v>14025709</v>
      </c>
      <c r="D35" s="18">
        <v>20</v>
      </c>
      <c r="E35" s="17">
        <v>1</v>
      </c>
      <c r="F35" s="17"/>
      <c r="H35" s="28">
        <f t="shared" si="0"/>
        <v>0.42985755997212316</v>
      </c>
      <c r="I35" s="19" t="str">
        <f t="shared" si="1"/>
        <v>·</v>
      </c>
      <c r="J35" s="20">
        <f t="shared" si="2"/>
        <v>36.108035037658347</v>
      </c>
      <c r="K35" s="20">
        <f t="shared" si="3"/>
        <v>26.505209825756403</v>
      </c>
      <c r="L35" s="20">
        <f t="shared" si="4"/>
        <v>9.6027065726231733</v>
      </c>
      <c r="M35" s="21"/>
      <c r="N35" s="20">
        <f t="shared" si="5"/>
        <v>36.108035037658347</v>
      </c>
      <c r="O35" s="22">
        <v>14025709</v>
      </c>
      <c r="P35" s="23">
        <v>506440792</v>
      </c>
      <c r="Q35" s="23">
        <v>371754360</v>
      </c>
      <c r="R35" s="23">
        <v>134684768</v>
      </c>
      <c r="S35" s="24"/>
      <c r="T35" s="27"/>
      <c r="U35" s="27"/>
      <c r="W35" s="28">
        <f t="shared" si="6"/>
        <v>0.42985755997212316</v>
      </c>
      <c r="X35" s="19" t="str">
        <f t="shared" si="7"/>
        <v>·</v>
      </c>
      <c r="Y35" s="20">
        <f t="shared" si="8"/>
        <v>36.108035037658347</v>
      </c>
      <c r="Z35" s="20">
        <f t="shared" si="9"/>
        <v>26.505209825756403</v>
      </c>
      <c r="AA35" s="20">
        <f t="shared" si="10"/>
        <v>9.6027065726231733</v>
      </c>
      <c r="AB35" s="21"/>
      <c r="AC35" s="20">
        <f t="shared" si="11"/>
        <v>36.108035037658347</v>
      </c>
      <c r="AD35" s="22">
        <v>14025709</v>
      </c>
      <c r="AE35" s="23">
        <v>506440792</v>
      </c>
      <c r="AF35" s="23">
        <v>371754360</v>
      </c>
      <c r="AG35" s="23">
        <v>134684768</v>
      </c>
      <c r="AH35" s="24"/>
      <c r="AI35" s="27">
        <v>137.51400000000001</v>
      </c>
      <c r="AJ35" s="27">
        <v>105.90900000000001</v>
      </c>
      <c r="AL35" s="29">
        <f t="shared" si="12"/>
        <v>1</v>
      </c>
      <c r="AM35" s="29">
        <f t="shared" si="13"/>
        <v>1</v>
      </c>
      <c r="AN35" s="29">
        <f t="shared" si="14"/>
        <v>1</v>
      </c>
      <c r="AO35" s="30"/>
      <c r="AP35" s="28">
        <f t="shared" si="15"/>
        <v>0</v>
      </c>
      <c r="AQ35" s="28">
        <f t="array" ref="AQ35">AVERAGE(AF35:AF35/AE35:AE35) - AVERAGE(Q35:Q35/P35:P35)</f>
        <v>0</v>
      </c>
    </row>
    <row r="36" spans="1:43" collapsed="1" x14ac:dyDescent="0.15">
      <c r="A36" s="31"/>
      <c r="B36" s="31" t="s">
        <v>324</v>
      </c>
      <c r="C36" s="31">
        <v>5001077</v>
      </c>
      <c r="D36" s="33">
        <v>20</v>
      </c>
      <c r="E36" s="32">
        <v>1</v>
      </c>
      <c r="F36" s="32"/>
      <c r="H36" s="43">
        <f t="shared" si="0"/>
        <v>0.44372423132438227</v>
      </c>
      <c r="I36" s="34" t="str">
        <f t="shared" si="1"/>
        <v>·</v>
      </c>
      <c r="J36" s="35">
        <f t="shared" si="2"/>
        <v>37.272835431248112</v>
      </c>
      <c r="K36" s="35">
        <f t="shared" si="3"/>
        <v>27.063079412694506</v>
      </c>
      <c r="L36" s="35">
        <f t="shared" si="4"/>
        <v>10.209551262658023</v>
      </c>
      <c r="M36" s="36"/>
      <c r="N36" s="35">
        <f t="shared" si="5"/>
        <v>37.272835431248112</v>
      </c>
      <c r="O36" s="37">
        <v>5001077</v>
      </c>
      <c r="P36" s="38">
        <v>186404320</v>
      </c>
      <c r="Q36" s="38">
        <v>135344544</v>
      </c>
      <c r="R36" s="38">
        <v>51058752</v>
      </c>
      <c r="S36" s="39"/>
      <c r="T36" s="42"/>
      <c r="U36" s="42"/>
      <c r="W36" s="43">
        <f t="shared" si="6"/>
        <v>0.44372423132438227</v>
      </c>
      <c r="X36" s="34" t="str">
        <f t="shared" si="7"/>
        <v>·</v>
      </c>
      <c r="Y36" s="35">
        <f t="shared" si="8"/>
        <v>37.272835431248112</v>
      </c>
      <c r="Z36" s="35">
        <f t="shared" si="9"/>
        <v>27.063079412694506</v>
      </c>
      <c r="AA36" s="35">
        <f t="shared" si="10"/>
        <v>10.209551262658023</v>
      </c>
      <c r="AB36" s="36"/>
      <c r="AC36" s="35">
        <f t="shared" si="11"/>
        <v>37.272835431248112</v>
      </c>
      <c r="AD36" s="37">
        <v>5001077</v>
      </c>
      <c r="AE36" s="38">
        <v>186404320</v>
      </c>
      <c r="AF36" s="38">
        <v>135344544</v>
      </c>
      <c r="AG36" s="38">
        <v>51058752</v>
      </c>
      <c r="AH36" s="39"/>
      <c r="AI36" s="42">
        <v>49.981999999999999</v>
      </c>
      <c r="AJ36" s="42">
        <v>34.241999999999997</v>
      </c>
      <c r="AL36" s="44">
        <f t="shared" si="12"/>
        <v>1</v>
      </c>
      <c r="AM36" s="44">
        <f t="shared" si="13"/>
        <v>1</v>
      </c>
      <c r="AN36" s="44">
        <f t="shared" si="14"/>
        <v>1</v>
      </c>
      <c r="AO36" s="45"/>
      <c r="AP36" s="43">
        <f t="shared" si="15"/>
        <v>0</v>
      </c>
      <c r="AQ36" s="43">
        <f t="array" ref="AQ36">AVERAGE(AF36:AF36/AE36:AE36) - AVERAGE(Q36:Q36/P36:P36)</f>
        <v>0</v>
      </c>
    </row>
    <row r="37" spans="1:43" collapsed="1" x14ac:dyDescent="0.15">
      <c r="A37" s="16"/>
      <c r="B37" s="16" t="s">
        <v>327</v>
      </c>
      <c r="C37" s="16">
        <v>71948094</v>
      </c>
      <c r="D37" s="18">
        <v>14</v>
      </c>
      <c r="E37" s="17">
        <v>1</v>
      </c>
      <c r="F37" s="17"/>
      <c r="H37" s="28">
        <f t="shared" ref="H37:H60" si="16">IF(ISBLANK(P37),"·",P37/(C37*(D37*3+IF(AND(ISNUMBER(R37),R37&gt;0),24,0)+IF(AND(ISNUMBER(S37),S37&gt;0),8,0))))</f>
        <v>0.22919136086853914</v>
      </c>
      <c r="I37" s="19" t="str">
        <f t="shared" ref="I37:I60" si="17">IF(OR(ISBLANK(P37),ISBLANK(F37)),"·",P37*F37/E37/1000000)</f>
        <v>·</v>
      </c>
      <c r="J37" s="20">
        <f t="shared" ref="J37:J60" si="18">IF(ISBLANK(P37),"·",P37/C37)</f>
        <v>15.126629817323582</v>
      </c>
      <c r="K37" s="20">
        <f t="shared" ref="K37:K60" si="19">IF(Q37="","·",Q37/C37)</f>
        <v>4.0031617237838155</v>
      </c>
      <c r="L37" s="20">
        <f t="shared" ref="L37:L53" si="20">IF(ISBLANK(R37),"·",R37/C37)</f>
        <v>11.123368466161175</v>
      </c>
      <c r="M37" s="21"/>
      <c r="N37" s="20">
        <f t="shared" ref="N37:N60" si="21">IF(ISBLANK(P37),"·",P37/O37)</f>
        <v>15.126629817323582</v>
      </c>
      <c r="O37" s="22">
        <v>71948094</v>
      </c>
      <c r="P37" s="23">
        <v>1088332184</v>
      </c>
      <c r="Q37" s="23">
        <v>288019856</v>
      </c>
      <c r="R37" s="23">
        <v>800305160</v>
      </c>
      <c r="S37" s="24"/>
      <c r="T37" s="27"/>
      <c r="U37" s="27"/>
      <c r="W37" s="28">
        <f t="shared" ref="W37:W60" si="22">IF(ISBLANK(AE37),"·",AE37/(C37*(D37*3+IF(AND(ISNUMBER(AG37),AG37&gt;0),24,0)+IF(AND(ISNUMBER(AH37),AH37&gt;0),8,0))))</f>
        <v>0.22919136086853914</v>
      </c>
      <c r="X37" s="19" t="str">
        <f t="shared" ref="X37:X60" si="23">IF(OR(ISBLANK(AE37),ISBLANK(F37)),"·",AE37*F37/E37/1000000)</f>
        <v>·</v>
      </c>
      <c r="Y37" s="20">
        <f t="shared" ref="Y37:Y60" si="24">IF(ISBLANK(AE37),"·",AE37/C37)</f>
        <v>15.126629817323582</v>
      </c>
      <c r="Z37" s="20">
        <f t="shared" ref="Z37:Z60" si="25">IF(AF37="","·",AF37/C37)</f>
        <v>4.0031617237838155</v>
      </c>
      <c r="AA37" s="20">
        <f t="shared" ref="AA37:AA53" si="26">IF(ISBLANK(AG37),"·",AG37/C37)</f>
        <v>11.123368466161175</v>
      </c>
      <c r="AB37" s="21"/>
      <c r="AC37" s="20">
        <f t="shared" ref="AC37:AC60" si="27">IF(ISBLANK(AE37),"·",AE37/AD37)</f>
        <v>15.126629817323582</v>
      </c>
      <c r="AD37" s="22">
        <v>71948094</v>
      </c>
      <c r="AE37" s="23">
        <v>1088332184</v>
      </c>
      <c r="AF37" s="23">
        <v>288019856</v>
      </c>
      <c r="AG37" s="23">
        <v>800305160</v>
      </c>
      <c r="AH37" s="24"/>
      <c r="AI37" s="27">
        <v>291.39400000000001</v>
      </c>
      <c r="AJ37" s="27">
        <v>220.71</v>
      </c>
      <c r="AL37" s="29">
        <f t="shared" ref="AL37:AL53" si="28">Y37/J37</f>
        <v>1</v>
      </c>
      <c r="AM37" s="29">
        <f t="shared" ref="AM37:AM53" si="29">Z37/K37</f>
        <v>1</v>
      </c>
      <c r="AN37" s="29">
        <f t="shared" ref="AN37:AN53" si="30">AA37/L37</f>
        <v>1</v>
      </c>
      <c r="AO37" s="30"/>
      <c r="AP37" s="28">
        <f t="shared" ref="AP37:AP60" si="31">(AF37/AE37) - (Q37/P37)</f>
        <v>0</v>
      </c>
      <c r="AQ37" s="28">
        <f t="array" ref="AQ37">AVERAGE(AF37:AF37/AE37:AE37) - AVERAGE(Q37:Q37/P37:P37)</f>
        <v>0</v>
      </c>
    </row>
    <row r="38" spans="1:43" collapsed="1" x14ac:dyDescent="0.15">
      <c r="A38" s="31"/>
      <c r="B38" s="31" t="s">
        <v>330</v>
      </c>
      <c r="C38" s="31">
        <v>72145549</v>
      </c>
      <c r="D38" s="33">
        <v>20</v>
      </c>
      <c r="E38" s="32">
        <v>1</v>
      </c>
      <c r="F38" s="32"/>
      <c r="H38" s="43">
        <f t="shared" si="16"/>
        <v>0.37679579149221304</v>
      </c>
      <c r="I38" s="34" t="str">
        <f t="shared" si="17"/>
        <v>·</v>
      </c>
      <c r="J38" s="35">
        <f t="shared" si="18"/>
        <v>31.650846485345895</v>
      </c>
      <c r="K38" s="35">
        <f t="shared" si="19"/>
        <v>20.789421451349689</v>
      </c>
      <c r="L38" s="35">
        <f t="shared" si="20"/>
        <v>10.861325457513672</v>
      </c>
      <c r="M38" s="36"/>
      <c r="N38" s="35">
        <f t="shared" si="21"/>
        <v>31.650846485345895</v>
      </c>
      <c r="O38" s="37">
        <v>72145549</v>
      </c>
      <c r="P38" s="38">
        <v>2283467696</v>
      </c>
      <c r="Q38" s="38">
        <v>1499864224</v>
      </c>
      <c r="R38" s="38">
        <v>783596288</v>
      </c>
      <c r="S38" s="39"/>
      <c r="T38" s="42"/>
      <c r="U38" s="42"/>
      <c r="W38" s="43">
        <f t="shared" si="22"/>
        <v>0.37679579149221304</v>
      </c>
      <c r="X38" s="34" t="str">
        <f t="shared" si="23"/>
        <v>·</v>
      </c>
      <c r="Y38" s="35">
        <f t="shared" si="24"/>
        <v>31.650846485345895</v>
      </c>
      <c r="Z38" s="35">
        <f t="shared" si="25"/>
        <v>20.789421451349689</v>
      </c>
      <c r="AA38" s="35">
        <f t="shared" si="26"/>
        <v>10.861325457513672</v>
      </c>
      <c r="AB38" s="36"/>
      <c r="AC38" s="35">
        <f t="shared" si="27"/>
        <v>31.650846485345895</v>
      </c>
      <c r="AD38" s="37">
        <v>72145549</v>
      </c>
      <c r="AE38" s="38">
        <v>2283467696</v>
      </c>
      <c r="AF38" s="38">
        <v>1499864224</v>
      </c>
      <c r="AG38" s="38">
        <v>783596288</v>
      </c>
      <c r="AH38" s="39"/>
      <c r="AI38" s="42">
        <v>465.30399999999997</v>
      </c>
      <c r="AJ38" s="42">
        <v>450.18700000000001</v>
      </c>
      <c r="AL38" s="44">
        <f t="shared" si="28"/>
        <v>1</v>
      </c>
      <c r="AM38" s="44">
        <f t="shared" si="29"/>
        <v>1</v>
      </c>
      <c r="AN38" s="44">
        <f t="shared" si="30"/>
        <v>1</v>
      </c>
      <c r="AO38" s="45"/>
      <c r="AP38" s="43">
        <f t="shared" si="31"/>
        <v>0</v>
      </c>
      <c r="AQ38" s="43">
        <f t="array" ref="AQ38">AVERAGE(AF38:AF38/AE38:AE38) - AVERAGE(Q38:Q38/P38:P38)</f>
        <v>0</v>
      </c>
    </row>
    <row r="39" spans="1:43" collapsed="1" x14ac:dyDescent="0.15">
      <c r="A39" s="16"/>
      <c r="B39" s="16" t="s">
        <v>333</v>
      </c>
      <c r="C39" s="16">
        <v>4187594</v>
      </c>
      <c r="D39" s="18">
        <v>14</v>
      </c>
      <c r="E39" s="17">
        <v>1</v>
      </c>
      <c r="F39" s="17"/>
      <c r="H39" s="28">
        <f t="shared" si="16"/>
        <v>0.46064044210473881</v>
      </c>
      <c r="I39" s="19" t="str">
        <f t="shared" si="17"/>
        <v>·</v>
      </c>
      <c r="J39" s="20">
        <f t="shared" si="18"/>
        <v>30.402269178912761</v>
      </c>
      <c r="K39" s="20">
        <f t="shared" si="19"/>
        <v>13.515159301498665</v>
      </c>
      <c r="L39" s="20">
        <f t="shared" si="20"/>
        <v>16.886888270448377</v>
      </c>
      <c r="M39" s="21"/>
      <c r="N39" s="20">
        <f t="shared" si="21"/>
        <v>30.402269178912761</v>
      </c>
      <c r="O39" s="22">
        <v>4187594</v>
      </c>
      <c r="P39" s="23">
        <v>127312360</v>
      </c>
      <c r="Q39" s="23">
        <v>56596000</v>
      </c>
      <c r="R39" s="23">
        <v>70715432</v>
      </c>
      <c r="S39" s="24"/>
      <c r="T39" s="27"/>
      <c r="U39" s="27"/>
      <c r="W39" s="28">
        <f t="shared" si="22"/>
        <v>0.46064044210473881</v>
      </c>
      <c r="X39" s="19" t="str">
        <f t="shared" si="23"/>
        <v>·</v>
      </c>
      <c r="Y39" s="20">
        <f t="shared" si="24"/>
        <v>30.402269178912761</v>
      </c>
      <c r="Z39" s="20">
        <f t="shared" si="25"/>
        <v>13.515159301498665</v>
      </c>
      <c r="AA39" s="20">
        <f t="shared" si="26"/>
        <v>16.886888270448377</v>
      </c>
      <c r="AB39" s="21"/>
      <c r="AC39" s="20">
        <f t="shared" si="27"/>
        <v>30.402269178912761</v>
      </c>
      <c r="AD39" s="22">
        <v>4187594</v>
      </c>
      <c r="AE39" s="23">
        <v>127312360</v>
      </c>
      <c r="AF39" s="23">
        <v>56596000</v>
      </c>
      <c r="AG39" s="23">
        <v>70715432</v>
      </c>
      <c r="AH39" s="24"/>
      <c r="AI39" s="27">
        <v>30.201000000000001</v>
      </c>
      <c r="AJ39" s="27">
        <v>29.64</v>
      </c>
      <c r="AL39" s="29">
        <f t="shared" si="28"/>
        <v>1</v>
      </c>
      <c r="AM39" s="29">
        <f t="shared" si="29"/>
        <v>1</v>
      </c>
      <c r="AN39" s="29">
        <f t="shared" si="30"/>
        <v>1</v>
      </c>
      <c r="AO39" s="30"/>
      <c r="AP39" s="28">
        <f t="shared" si="31"/>
        <v>0</v>
      </c>
      <c r="AQ39" s="28">
        <f t="array" ref="AQ39">AVERAGE(AF39:AF39/AE39:AE39) - AVERAGE(Q39:Q39/P39:P39)</f>
        <v>0</v>
      </c>
    </row>
    <row r="40" spans="1:43" collapsed="1" x14ac:dyDescent="0.15">
      <c r="A40" s="31"/>
      <c r="B40" s="31" t="s">
        <v>336</v>
      </c>
      <c r="C40" s="31">
        <v>4203962</v>
      </c>
      <c r="D40" s="33">
        <v>20</v>
      </c>
      <c r="E40" s="32">
        <v>1</v>
      </c>
      <c r="F40" s="32"/>
      <c r="H40" s="43">
        <f t="shared" si="16"/>
        <v>0.58004407225737009</v>
      </c>
      <c r="I40" s="34" t="str">
        <f t="shared" si="17"/>
        <v>·</v>
      </c>
      <c r="J40" s="35">
        <f t="shared" si="18"/>
        <v>48.723702069619087</v>
      </c>
      <c r="K40" s="35">
        <f t="shared" si="19"/>
        <v>31.85194537914472</v>
      </c>
      <c r="L40" s="35">
        <f t="shared" si="20"/>
        <v>16.871532140395178</v>
      </c>
      <c r="M40" s="36"/>
      <c r="N40" s="35">
        <f t="shared" si="21"/>
        <v>48.723702069619087</v>
      </c>
      <c r="O40" s="37">
        <v>4203962</v>
      </c>
      <c r="P40" s="38">
        <v>204832592</v>
      </c>
      <c r="Q40" s="38">
        <v>133904368</v>
      </c>
      <c r="R40" s="38">
        <v>70927280</v>
      </c>
      <c r="S40" s="39"/>
      <c r="T40" s="42"/>
      <c r="U40" s="42"/>
      <c r="W40" s="43">
        <f t="shared" si="22"/>
        <v>0.58004407225737009</v>
      </c>
      <c r="X40" s="34" t="str">
        <f t="shared" si="23"/>
        <v>·</v>
      </c>
      <c r="Y40" s="35">
        <f t="shared" si="24"/>
        <v>48.723702069619087</v>
      </c>
      <c r="Z40" s="35">
        <f t="shared" si="25"/>
        <v>31.85194537914472</v>
      </c>
      <c r="AA40" s="35">
        <f t="shared" si="26"/>
        <v>16.871532140395178</v>
      </c>
      <c r="AB40" s="36"/>
      <c r="AC40" s="35">
        <f t="shared" si="27"/>
        <v>48.723702069619087</v>
      </c>
      <c r="AD40" s="37">
        <v>4203962</v>
      </c>
      <c r="AE40" s="38">
        <v>204832592</v>
      </c>
      <c r="AF40" s="38">
        <v>133904368</v>
      </c>
      <c r="AG40" s="38">
        <v>70927280</v>
      </c>
      <c r="AH40" s="39"/>
      <c r="AI40" s="42">
        <v>45.192999999999998</v>
      </c>
      <c r="AJ40" s="42">
        <v>30.95</v>
      </c>
      <c r="AL40" s="44">
        <f t="shared" si="28"/>
        <v>1</v>
      </c>
      <c r="AM40" s="44">
        <f t="shared" si="29"/>
        <v>1</v>
      </c>
      <c r="AN40" s="44">
        <f t="shared" si="30"/>
        <v>1</v>
      </c>
      <c r="AO40" s="45"/>
      <c r="AP40" s="43">
        <f t="shared" si="31"/>
        <v>0</v>
      </c>
      <c r="AQ40" s="43">
        <f t="array" ref="AQ40">AVERAGE(AF40:AF40/AE40:AE40) - AVERAGE(Q40:Q40/P40:P40)</f>
        <v>0</v>
      </c>
    </row>
    <row r="41" spans="1:43" collapsed="1" x14ac:dyDescent="0.15">
      <c r="A41" s="16"/>
      <c r="B41" s="16" t="s">
        <v>339</v>
      </c>
      <c r="C41" s="16">
        <v>1010591</v>
      </c>
      <c r="D41" s="18">
        <v>20</v>
      </c>
      <c r="E41" s="17">
        <v>1</v>
      </c>
      <c r="F41" s="17"/>
      <c r="H41" s="28">
        <f t="shared" si="16"/>
        <v>0.56772814361195811</v>
      </c>
      <c r="I41" s="19" t="str">
        <f t="shared" si="17"/>
        <v>·</v>
      </c>
      <c r="J41" s="20">
        <f t="shared" si="18"/>
        <v>47.689164063404483</v>
      </c>
      <c r="K41" s="20">
        <f t="shared" si="19"/>
        <v>32.437819058352986</v>
      </c>
      <c r="L41" s="20">
        <f t="shared" si="20"/>
        <v>15.250806706174902</v>
      </c>
      <c r="M41" s="21"/>
      <c r="N41" s="20">
        <f t="shared" si="21"/>
        <v>47.689164063404483</v>
      </c>
      <c r="O41" s="22">
        <v>1010591</v>
      </c>
      <c r="P41" s="23">
        <v>48194240</v>
      </c>
      <c r="Q41" s="23">
        <v>32781368</v>
      </c>
      <c r="R41" s="23">
        <v>15412328</v>
      </c>
      <c r="S41" s="24"/>
      <c r="T41" s="27"/>
      <c r="U41" s="27"/>
      <c r="W41" s="28">
        <f t="shared" si="22"/>
        <v>0.56772814361195811</v>
      </c>
      <c r="X41" s="19" t="str">
        <f t="shared" si="23"/>
        <v>·</v>
      </c>
      <c r="Y41" s="20">
        <f t="shared" si="24"/>
        <v>47.689164063404483</v>
      </c>
      <c r="Z41" s="20">
        <f t="shared" si="25"/>
        <v>32.437819058352986</v>
      </c>
      <c r="AA41" s="20">
        <f t="shared" si="26"/>
        <v>15.250806706174902</v>
      </c>
      <c r="AB41" s="21"/>
      <c r="AC41" s="20">
        <f t="shared" si="27"/>
        <v>47.689164063404483</v>
      </c>
      <c r="AD41" s="22">
        <v>1010591</v>
      </c>
      <c r="AE41" s="23">
        <v>48194240</v>
      </c>
      <c r="AF41" s="23">
        <v>32781368</v>
      </c>
      <c r="AG41" s="23">
        <v>15412328</v>
      </c>
      <c r="AH41" s="24"/>
      <c r="AI41" s="27">
        <v>11.481</v>
      </c>
      <c r="AJ41" s="27">
        <v>10.154999999999999</v>
      </c>
      <c r="AL41" s="29">
        <f t="shared" si="28"/>
        <v>1</v>
      </c>
      <c r="AM41" s="29">
        <f t="shared" si="29"/>
        <v>1</v>
      </c>
      <c r="AN41" s="29">
        <f t="shared" si="30"/>
        <v>1</v>
      </c>
      <c r="AO41" s="30"/>
      <c r="AP41" s="28">
        <f t="shared" si="31"/>
        <v>0</v>
      </c>
      <c r="AQ41" s="28">
        <f t="array" ref="AQ41">AVERAGE(AF41:AF41/AE41:AE41) - AVERAGE(Q41:Q41/P41:P41)</f>
        <v>0</v>
      </c>
    </row>
    <row r="42" spans="1:43" collapsed="1" x14ac:dyDescent="0.15">
      <c r="A42" s="31"/>
      <c r="B42" s="31" t="s">
        <v>342</v>
      </c>
      <c r="C42" s="31">
        <v>47062002</v>
      </c>
      <c r="D42" s="33">
        <v>16</v>
      </c>
      <c r="E42" s="32">
        <v>1</v>
      </c>
      <c r="F42" s="32"/>
      <c r="H42" s="43">
        <f t="shared" si="16"/>
        <v>0.27170218036103855</v>
      </c>
      <c r="I42" s="34" t="str">
        <f t="shared" si="17"/>
        <v>·</v>
      </c>
      <c r="J42" s="35">
        <f t="shared" si="18"/>
        <v>19.562556985994775</v>
      </c>
      <c r="K42" s="35">
        <f t="shared" si="19"/>
        <v>11.060105942794358</v>
      </c>
      <c r="L42" s="35">
        <f t="shared" si="20"/>
        <v>8.5023427605140984</v>
      </c>
      <c r="M42" s="36"/>
      <c r="N42" s="35">
        <f t="shared" si="21"/>
        <v>19.562556985994775</v>
      </c>
      <c r="O42" s="37">
        <v>47062002</v>
      </c>
      <c r="P42" s="38">
        <v>920653096</v>
      </c>
      <c r="Q42" s="38">
        <v>520510728</v>
      </c>
      <c r="R42" s="38">
        <v>400137272</v>
      </c>
      <c r="S42" s="39"/>
      <c r="T42" s="42"/>
      <c r="U42" s="42"/>
      <c r="W42" s="43">
        <f t="shared" si="22"/>
        <v>0.27170218036103855</v>
      </c>
      <c r="X42" s="34" t="str">
        <f t="shared" si="23"/>
        <v>·</v>
      </c>
      <c r="Y42" s="35">
        <f t="shared" si="24"/>
        <v>19.562556985994775</v>
      </c>
      <c r="Z42" s="35">
        <f t="shared" si="25"/>
        <v>11.060105942794358</v>
      </c>
      <c r="AA42" s="35">
        <f t="shared" si="26"/>
        <v>8.5023427605140984</v>
      </c>
      <c r="AB42" s="36"/>
      <c r="AC42" s="35">
        <f t="shared" si="27"/>
        <v>19.562556985994775</v>
      </c>
      <c r="AD42" s="37">
        <v>47062002</v>
      </c>
      <c r="AE42" s="38">
        <v>920653096</v>
      </c>
      <c r="AF42" s="38">
        <v>520510728</v>
      </c>
      <c r="AG42" s="38">
        <v>400137272</v>
      </c>
      <c r="AH42" s="39"/>
      <c r="AI42" s="42">
        <v>249.38300000000001</v>
      </c>
      <c r="AJ42" s="42">
        <v>226.607</v>
      </c>
      <c r="AL42" s="44">
        <f t="shared" si="28"/>
        <v>1</v>
      </c>
      <c r="AM42" s="44">
        <f t="shared" si="29"/>
        <v>1</v>
      </c>
      <c r="AN42" s="44">
        <f t="shared" si="30"/>
        <v>1</v>
      </c>
      <c r="AO42" s="45"/>
      <c r="AP42" s="43">
        <f t="shared" si="31"/>
        <v>0</v>
      </c>
      <c r="AQ42" s="43">
        <f t="array" ref="AQ42">AVERAGE(AF42:AF42/AE42:AE42) - AVERAGE(Q42:Q42/P42:P42)</f>
        <v>0</v>
      </c>
    </row>
    <row r="43" spans="1:43" collapsed="1" x14ac:dyDescent="0.15">
      <c r="A43" s="16"/>
      <c r="B43" s="16" t="s">
        <v>345</v>
      </c>
      <c r="C43" s="16">
        <v>47062018</v>
      </c>
      <c r="D43" s="18">
        <v>20</v>
      </c>
      <c r="E43" s="17">
        <v>1</v>
      </c>
      <c r="F43" s="17"/>
      <c r="H43" s="28">
        <f t="shared" si="16"/>
        <v>0.23653607964909704</v>
      </c>
      <c r="I43" s="19" t="str">
        <f t="shared" si="17"/>
        <v>·</v>
      </c>
      <c r="J43" s="20">
        <f t="shared" si="18"/>
        <v>19.869030690524152</v>
      </c>
      <c r="K43" s="20">
        <f t="shared" si="19"/>
        <v>11.370199722417343</v>
      </c>
      <c r="L43" s="20">
        <f t="shared" si="20"/>
        <v>8.4987225154688435</v>
      </c>
      <c r="M43" s="21"/>
      <c r="N43" s="20">
        <f t="shared" si="21"/>
        <v>19.869030690524152</v>
      </c>
      <c r="O43" s="22">
        <v>47062018</v>
      </c>
      <c r="P43" s="23">
        <v>935076680</v>
      </c>
      <c r="Q43" s="23">
        <v>535104544</v>
      </c>
      <c r="R43" s="23">
        <v>399967032</v>
      </c>
      <c r="S43" s="24"/>
      <c r="T43" s="27"/>
      <c r="U43" s="27"/>
      <c r="W43" s="28">
        <f t="shared" si="22"/>
        <v>0.23653607964909704</v>
      </c>
      <c r="X43" s="19" t="str">
        <f t="shared" si="23"/>
        <v>·</v>
      </c>
      <c r="Y43" s="20">
        <f t="shared" si="24"/>
        <v>19.869030690524152</v>
      </c>
      <c r="Z43" s="20">
        <f t="shared" si="25"/>
        <v>11.370199722417343</v>
      </c>
      <c r="AA43" s="20">
        <f t="shared" si="26"/>
        <v>8.4987225154688435</v>
      </c>
      <c r="AB43" s="21"/>
      <c r="AC43" s="20">
        <f t="shared" si="27"/>
        <v>19.869030690524152</v>
      </c>
      <c r="AD43" s="22">
        <v>47062018</v>
      </c>
      <c r="AE43" s="23">
        <v>935076680</v>
      </c>
      <c r="AF43" s="23">
        <v>535104544</v>
      </c>
      <c r="AG43" s="23">
        <v>399967032</v>
      </c>
      <c r="AH43" s="24"/>
      <c r="AI43" s="27">
        <v>289.77100000000002</v>
      </c>
      <c r="AJ43" s="27">
        <v>303.04700000000003</v>
      </c>
      <c r="AL43" s="29">
        <f t="shared" si="28"/>
        <v>1</v>
      </c>
      <c r="AM43" s="29">
        <f t="shared" si="29"/>
        <v>1</v>
      </c>
      <c r="AN43" s="29">
        <f t="shared" si="30"/>
        <v>1</v>
      </c>
      <c r="AO43" s="30"/>
      <c r="AP43" s="28">
        <f t="shared" si="31"/>
        <v>0</v>
      </c>
      <c r="AQ43" s="28">
        <f t="array" ref="AQ43">AVERAGE(AF43:AF43/AE43:AE43) - AVERAGE(Q43:Q43/P43:P43)</f>
        <v>0</v>
      </c>
    </row>
    <row r="44" spans="1:43" collapsed="1" x14ac:dyDescent="0.15">
      <c r="A44" s="31"/>
      <c r="B44" s="31" t="s">
        <v>348</v>
      </c>
      <c r="C44" s="31">
        <v>43399204</v>
      </c>
      <c r="D44" s="33">
        <v>16</v>
      </c>
      <c r="E44" s="32">
        <v>1</v>
      </c>
      <c r="F44" s="32"/>
      <c r="H44" s="43">
        <f t="shared" si="16"/>
        <v>0.28203010615381591</v>
      </c>
      <c r="I44" s="34" t="str">
        <f t="shared" si="17"/>
        <v>·</v>
      </c>
      <c r="J44" s="35">
        <f t="shared" si="18"/>
        <v>20.306167643074744</v>
      </c>
      <c r="K44" s="35">
        <f t="shared" si="19"/>
        <v>11.385743572624051</v>
      </c>
      <c r="L44" s="35">
        <f t="shared" si="20"/>
        <v>8.9203195524046937</v>
      </c>
      <c r="M44" s="36"/>
      <c r="N44" s="35">
        <f t="shared" si="21"/>
        <v>20.306167643074744</v>
      </c>
      <c r="O44" s="37">
        <v>43399204</v>
      </c>
      <c r="P44" s="38">
        <v>881271512</v>
      </c>
      <c r="Q44" s="38">
        <v>494132208</v>
      </c>
      <c r="R44" s="38">
        <v>387134768</v>
      </c>
      <c r="S44" s="39"/>
      <c r="T44" s="42"/>
      <c r="U44" s="42"/>
      <c r="W44" s="43">
        <f t="shared" si="22"/>
        <v>0.28203010615381591</v>
      </c>
      <c r="X44" s="34" t="str">
        <f t="shared" si="23"/>
        <v>·</v>
      </c>
      <c r="Y44" s="35">
        <f t="shared" si="24"/>
        <v>20.306167643074744</v>
      </c>
      <c r="Z44" s="35">
        <f t="shared" si="25"/>
        <v>11.385743572624051</v>
      </c>
      <c r="AA44" s="35">
        <f t="shared" si="26"/>
        <v>8.9203195524046937</v>
      </c>
      <c r="AB44" s="36"/>
      <c r="AC44" s="35">
        <f t="shared" si="27"/>
        <v>20.306167643074744</v>
      </c>
      <c r="AD44" s="37">
        <v>43399204</v>
      </c>
      <c r="AE44" s="38">
        <v>881271512</v>
      </c>
      <c r="AF44" s="38">
        <v>494132208</v>
      </c>
      <c r="AG44" s="38">
        <v>387134768</v>
      </c>
      <c r="AH44" s="39"/>
      <c r="AI44" s="42">
        <v>227.19900000000001</v>
      </c>
      <c r="AJ44" s="42">
        <v>183.26900000000001</v>
      </c>
      <c r="AL44" s="44">
        <f t="shared" si="28"/>
        <v>1</v>
      </c>
      <c r="AM44" s="44">
        <f t="shared" si="29"/>
        <v>1</v>
      </c>
      <c r="AN44" s="44">
        <f t="shared" si="30"/>
        <v>1</v>
      </c>
      <c r="AO44" s="45"/>
      <c r="AP44" s="43">
        <f t="shared" si="31"/>
        <v>0</v>
      </c>
      <c r="AQ44" s="43">
        <f t="array" ref="AQ44">AVERAGE(AF44:AF44/AE44:AE44) - AVERAGE(Q44:Q44/P44:P44)</f>
        <v>0</v>
      </c>
    </row>
    <row r="45" spans="1:43" collapsed="1" x14ac:dyDescent="0.15">
      <c r="A45" s="16"/>
      <c r="B45" s="16" t="s">
        <v>351</v>
      </c>
      <c r="C45" s="16">
        <v>43399207</v>
      </c>
      <c r="D45" s="18">
        <v>20</v>
      </c>
      <c r="E45" s="17">
        <v>1</v>
      </c>
      <c r="F45" s="17"/>
      <c r="H45" s="28">
        <f t="shared" si="16"/>
        <v>0.24468289302635238</v>
      </c>
      <c r="I45" s="19" t="str">
        <f t="shared" si="17"/>
        <v>·</v>
      </c>
      <c r="J45" s="20">
        <f t="shared" si="18"/>
        <v>20.553363014213602</v>
      </c>
      <c r="K45" s="20">
        <f t="shared" si="19"/>
        <v>11.635811133599745</v>
      </c>
      <c r="L45" s="20">
        <f t="shared" si="20"/>
        <v>8.9174471782399163</v>
      </c>
      <c r="M45" s="21"/>
      <c r="N45" s="20">
        <f t="shared" si="21"/>
        <v>20.553363014213602</v>
      </c>
      <c r="O45" s="22">
        <v>43399207</v>
      </c>
      <c r="P45" s="23">
        <v>891999656</v>
      </c>
      <c r="Q45" s="23">
        <v>504984976</v>
      </c>
      <c r="R45" s="23">
        <v>387010136</v>
      </c>
      <c r="S45" s="24"/>
      <c r="T45" s="27"/>
      <c r="U45" s="27"/>
      <c r="W45" s="28">
        <f t="shared" si="22"/>
        <v>0.24468289302635238</v>
      </c>
      <c r="X45" s="19" t="str">
        <f t="shared" si="23"/>
        <v>·</v>
      </c>
      <c r="Y45" s="20">
        <f t="shared" si="24"/>
        <v>20.553363014213602</v>
      </c>
      <c r="Z45" s="20">
        <f t="shared" si="25"/>
        <v>11.635811133599745</v>
      </c>
      <c r="AA45" s="20">
        <f t="shared" si="26"/>
        <v>8.9174471782399163</v>
      </c>
      <c r="AB45" s="21"/>
      <c r="AC45" s="20">
        <f t="shared" si="27"/>
        <v>20.553363014213602</v>
      </c>
      <c r="AD45" s="22">
        <v>43399207</v>
      </c>
      <c r="AE45" s="23">
        <v>891999656</v>
      </c>
      <c r="AF45" s="23">
        <v>504984976</v>
      </c>
      <c r="AG45" s="23">
        <v>387010136</v>
      </c>
      <c r="AH45" s="24"/>
      <c r="AI45" s="27">
        <v>297.58699999999999</v>
      </c>
      <c r="AJ45" s="27">
        <v>257.99400000000003</v>
      </c>
      <c r="AL45" s="29">
        <f t="shared" si="28"/>
        <v>1</v>
      </c>
      <c r="AM45" s="29">
        <f t="shared" si="29"/>
        <v>1</v>
      </c>
      <c r="AN45" s="29">
        <f t="shared" si="30"/>
        <v>1</v>
      </c>
      <c r="AO45" s="30"/>
      <c r="AP45" s="28">
        <f t="shared" si="31"/>
        <v>0</v>
      </c>
      <c r="AQ45" s="28">
        <f t="array" ref="AQ45">AVERAGE(AF45:AF45/AE45:AE45) - AVERAGE(Q45:Q45/P45:P45)</f>
        <v>0</v>
      </c>
    </row>
    <row r="46" spans="1:43" collapsed="1" x14ac:dyDescent="0.15">
      <c r="A46" s="31"/>
      <c r="B46" s="31" t="s">
        <v>354</v>
      </c>
      <c r="C46" s="31">
        <v>499660</v>
      </c>
      <c r="D46" s="33">
        <v>12</v>
      </c>
      <c r="E46" s="32">
        <v>1</v>
      </c>
      <c r="F46" s="32"/>
      <c r="H46" s="43">
        <f t="shared" si="16"/>
        <v>0.38583356682544129</v>
      </c>
      <c r="I46" s="34" t="str">
        <f t="shared" si="17"/>
        <v>·</v>
      </c>
      <c r="J46" s="35">
        <f t="shared" si="18"/>
        <v>23.15001400952648</v>
      </c>
      <c r="K46" s="35">
        <f t="shared" si="19"/>
        <v>9.8042669014930155</v>
      </c>
      <c r="L46" s="35">
        <f t="shared" si="20"/>
        <v>13.344706400352239</v>
      </c>
      <c r="M46" s="36"/>
      <c r="N46" s="35">
        <f t="shared" si="21"/>
        <v>23.15001400952648</v>
      </c>
      <c r="O46" s="37">
        <v>499660</v>
      </c>
      <c r="P46" s="38">
        <v>11567136</v>
      </c>
      <c r="Q46" s="38">
        <v>4898800</v>
      </c>
      <c r="R46" s="38">
        <v>6667816</v>
      </c>
      <c r="S46" s="39"/>
      <c r="T46" s="42"/>
      <c r="U46" s="42"/>
      <c r="W46" s="43">
        <f t="shared" si="22"/>
        <v>0.38583356682544129</v>
      </c>
      <c r="X46" s="34" t="str">
        <f t="shared" si="23"/>
        <v>·</v>
      </c>
      <c r="Y46" s="35">
        <f t="shared" si="24"/>
        <v>23.15001400952648</v>
      </c>
      <c r="Z46" s="35">
        <f t="shared" si="25"/>
        <v>9.8042669014930155</v>
      </c>
      <c r="AA46" s="35">
        <f t="shared" si="26"/>
        <v>13.344706400352239</v>
      </c>
      <c r="AB46" s="36"/>
      <c r="AC46" s="35">
        <f t="shared" si="27"/>
        <v>23.15001400952648</v>
      </c>
      <c r="AD46" s="37">
        <v>499660</v>
      </c>
      <c r="AE46" s="38">
        <v>11567136</v>
      </c>
      <c r="AF46" s="38">
        <v>4898800</v>
      </c>
      <c r="AG46" s="38">
        <v>6667816</v>
      </c>
      <c r="AH46" s="39"/>
      <c r="AI46" s="42">
        <v>2.4180000000000001</v>
      </c>
      <c r="AJ46" s="42">
        <v>1.95</v>
      </c>
      <c r="AL46" s="44">
        <f t="shared" si="28"/>
        <v>1</v>
      </c>
      <c r="AM46" s="44">
        <f t="shared" si="29"/>
        <v>1</v>
      </c>
      <c r="AN46" s="44">
        <f t="shared" si="30"/>
        <v>1</v>
      </c>
      <c r="AO46" s="45"/>
      <c r="AP46" s="43">
        <f t="shared" si="31"/>
        <v>0</v>
      </c>
      <c r="AQ46" s="43">
        <f t="array" ref="AQ46">AVERAGE(AF46:AF46/AE46:AE46) - AVERAGE(Q46:Q46/P46:P46)</f>
        <v>0</v>
      </c>
    </row>
    <row r="47" spans="1:43" collapsed="1" x14ac:dyDescent="0.15">
      <c r="A47" s="16"/>
      <c r="B47" s="16" t="s">
        <v>357</v>
      </c>
      <c r="C47" s="16">
        <v>499886</v>
      </c>
      <c r="D47" s="18">
        <v>20</v>
      </c>
      <c r="E47" s="17">
        <v>1</v>
      </c>
      <c r="F47" s="17"/>
      <c r="H47" s="28">
        <f t="shared" si="16"/>
        <v>0.56627177663173867</v>
      </c>
      <c r="I47" s="19" t="str">
        <f t="shared" si="17"/>
        <v>·</v>
      </c>
      <c r="J47" s="20">
        <f t="shared" si="18"/>
        <v>47.566829237066052</v>
      </c>
      <c r="K47" s="20">
        <f t="shared" si="19"/>
        <v>34.227515873619183</v>
      </c>
      <c r="L47" s="20">
        <f t="shared" si="20"/>
        <v>13.338225115326294</v>
      </c>
      <c r="M47" s="21"/>
      <c r="N47" s="20">
        <f t="shared" si="21"/>
        <v>47.566829237066052</v>
      </c>
      <c r="O47" s="22">
        <v>499886</v>
      </c>
      <c r="P47" s="23">
        <v>23777992</v>
      </c>
      <c r="Q47" s="23">
        <v>17109856</v>
      </c>
      <c r="R47" s="23">
        <v>6667592</v>
      </c>
      <c r="S47" s="24"/>
      <c r="T47" s="27"/>
      <c r="U47" s="27"/>
      <c r="W47" s="28">
        <f t="shared" si="22"/>
        <v>0.56627177663173867</v>
      </c>
      <c r="X47" s="19" t="str">
        <f t="shared" si="23"/>
        <v>·</v>
      </c>
      <c r="Y47" s="20">
        <f t="shared" si="24"/>
        <v>47.566829237066052</v>
      </c>
      <c r="Z47" s="20">
        <f t="shared" si="25"/>
        <v>34.227515873619183</v>
      </c>
      <c r="AA47" s="20">
        <f t="shared" si="26"/>
        <v>13.338225115326294</v>
      </c>
      <c r="AB47" s="21"/>
      <c r="AC47" s="20">
        <f t="shared" si="27"/>
        <v>47.566829237066052</v>
      </c>
      <c r="AD47" s="22">
        <v>499886</v>
      </c>
      <c r="AE47" s="23">
        <v>23777992</v>
      </c>
      <c r="AF47" s="23">
        <v>17109856</v>
      </c>
      <c r="AG47" s="23">
        <v>6667592</v>
      </c>
      <c r="AH47" s="24"/>
      <c r="AI47" s="27">
        <v>4.68</v>
      </c>
      <c r="AJ47" s="27">
        <v>4.508</v>
      </c>
      <c r="AL47" s="29">
        <f t="shared" si="28"/>
        <v>1</v>
      </c>
      <c r="AM47" s="29">
        <f t="shared" si="29"/>
        <v>1</v>
      </c>
      <c r="AN47" s="29">
        <f t="shared" si="30"/>
        <v>1</v>
      </c>
      <c r="AO47" s="30"/>
      <c r="AP47" s="28">
        <f t="shared" si="31"/>
        <v>0</v>
      </c>
      <c r="AQ47" s="28">
        <f t="array" ref="AQ47">AVERAGE(AF47:AF47/AE47:AE47) - AVERAGE(Q47:Q47/P47:P47)</f>
        <v>0</v>
      </c>
    </row>
    <row r="48" spans="1:43" collapsed="1" x14ac:dyDescent="0.15">
      <c r="A48" s="31"/>
      <c r="B48" s="31" t="s">
        <v>360</v>
      </c>
      <c r="C48" s="31">
        <v>63787119</v>
      </c>
      <c r="D48" s="33">
        <v>15</v>
      </c>
      <c r="E48" s="32">
        <v>1</v>
      </c>
      <c r="F48" s="32"/>
      <c r="H48" s="43">
        <f t="shared" si="16"/>
        <v>0.22464822154108746</v>
      </c>
      <c r="I48" s="34" t="str">
        <f t="shared" si="17"/>
        <v>·</v>
      </c>
      <c r="J48" s="35">
        <f t="shared" si="18"/>
        <v>15.500727286335035</v>
      </c>
      <c r="K48" s="35">
        <f t="shared" si="19"/>
        <v>8.3884078225887588</v>
      </c>
      <c r="L48" s="35">
        <f t="shared" si="20"/>
        <v>7.112237190082217</v>
      </c>
      <c r="M48" s="36"/>
      <c r="N48" s="35">
        <f t="shared" si="21"/>
        <v>15.500727286335035</v>
      </c>
      <c r="O48" s="37">
        <v>63787119</v>
      </c>
      <c r="P48" s="38">
        <v>988746736</v>
      </c>
      <c r="Q48" s="38">
        <v>535072368</v>
      </c>
      <c r="R48" s="38">
        <v>453669120</v>
      </c>
      <c r="S48" s="39"/>
      <c r="T48" s="42"/>
      <c r="U48" s="42"/>
      <c r="W48" s="43">
        <f t="shared" si="22"/>
        <v>0.22464822154108746</v>
      </c>
      <c r="X48" s="34" t="str">
        <f t="shared" si="23"/>
        <v>·</v>
      </c>
      <c r="Y48" s="35">
        <f t="shared" si="24"/>
        <v>15.500727286335035</v>
      </c>
      <c r="Z48" s="35">
        <f t="shared" si="25"/>
        <v>8.3884078225887588</v>
      </c>
      <c r="AA48" s="35">
        <f t="shared" si="26"/>
        <v>7.112237190082217</v>
      </c>
      <c r="AB48" s="36"/>
      <c r="AC48" s="35">
        <f t="shared" si="27"/>
        <v>15.500727286335035</v>
      </c>
      <c r="AD48" s="37">
        <v>63787119</v>
      </c>
      <c r="AE48" s="38">
        <v>988746736</v>
      </c>
      <c r="AF48" s="38">
        <v>535072368</v>
      </c>
      <c r="AG48" s="38">
        <v>453669120</v>
      </c>
      <c r="AH48" s="39"/>
      <c r="AI48" s="42">
        <v>345.26100000000002</v>
      </c>
      <c r="AJ48" s="42">
        <v>299.16300000000001</v>
      </c>
      <c r="AL48" s="44">
        <f t="shared" si="28"/>
        <v>1</v>
      </c>
      <c r="AM48" s="44">
        <f t="shared" si="29"/>
        <v>1</v>
      </c>
      <c r="AN48" s="44">
        <f t="shared" si="30"/>
        <v>1</v>
      </c>
      <c r="AO48" s="45"/>
      <c r="AP48" s="43">
        <f t="shared" si="31"/>
        <v>0</v>
      </c>
      <c r="AQ48" s="43">
        <f t="array" ref="AQ48">AVERAGE(AF48:AF48/AE48:AE48) - AVERAGE(Q48:Q48/P48:P48)</f>
        <v>0</v>
      </c>
    </row>
    <row r="49" spans="1:43" collapsed="1" x14ac:dyDescent="0.15">
      <c r="A49" s="16"/>
      <c r="B49" s="16" t="s">
        <v>363</v>
      </c>
      <c r="C49" s="16">
        <v>63864641</v>
      </c>
      <c r="D49" s="18">
        <v>20</v>
      </c>
      <c r="E49" s="17">
        <v>1</v>
      </c>
      <c r="F49" s="17"/>
      <c r="H49" s="28">
        <f t="shared" si="16"/>
        <v>0.36225984951665569</v>
      </c>
      <c r="I49" s="19" t="str">
        <f t="shared" si="17"/>
        <v>·</v>
      </c>
      <c r="J49" s="20">
        <f t="shared" si="18"/>
        <v>30.429827359399077</v>
      </c>
      <c r="K49" s="20">
        <f t="shared" si="19"/>
        <v>23.377496539908524</v>
      </c>
      <c r="L49" s="20">
        <f t="shared" si="20"/>
        <v>7.0522483951643915</v>
      </c>
      <c r="M49" s="21"/>
      <c r="N49" s="20">
        <f t="shared" si="21"/>
        <v>30.429827359399077</v>
      </c>
      <c r="O49" s="22">
        <v>63864641</v>
      </c>
      <c r="P49" s="23">
        <v>1943390000</v>
      </c>
      <c r="Q49" s="23">
        <v>1492995424</v>
      </c>
      <c r="R49" s="23">
        <v>450389312</v>
      </c>
      <c r="S49" s="24"/>
      <c r="T49" s="27"/>
      <c r="U49" s="27"/>
      <c r="W49" s="28">
        <f t="shared" si="22"/>
        <v>0.36225984951665569</v>
      </c>
      <c r="X49" s="19" t="str">
        <f t="shared" si="23"/>
        <v>·</v>
      </c>
      <c r="Y49" s="20">
        <f t="shared" si="24"/>
        <v>30.429827359399077</v>
      </c>
      <c r="Z49" s="20">
        <f t="shared" si="25"/>
        <v>23.377496539908524</v>
      </c>
      <c r="AA49" s="20">
        <f t="shared" si="26"/>
        <v>7.0522483951643915</v>
      </c>
      <c r="AB49" s="21"/>
      <c r="AC49" s="20">
        <f t="shared" si="27"/>
        <v>30.429827359399077</v>
      </c>
      <c r="AD49" s="22">
        <v>63864641</v>
      </c>
      <c r="AE49" s="23">
        <v>1943390000</v>
      </c>
      <c r="AF49" s="23">
        <v>1492995424</v>
      </c>
      <c r="AG49" s="23">
        <v>450389312</v>
      </c>
      <c r="AH49" s="24"/>
      <c r="AI49" s="27">
        <v>501.137</v>
      </c>
      <c r="AJ49" s="27">
        <v>506.39400000000001</v>
      </c>
      <c r="AL49" s="29">
        <f t="shared" si="28"/>
        <v>1</v>
      </c>
      <c r="AM49" s="29">
        <f t="shared" si="29"/>
        <v>1</v>
      </c>
      <c r="AN49" s="29">
        <f t="shared" si="30"/>
        <v>1</v>
      </c>
      <c r="AO49" s="30"/>
      <c r="AP49" s="28">
        <f t="shared" si="31"/>
        <v>0</v>
      </c>
      <c r="AQ49" s="28">
        <f t="array" ref="AQ49">AVERAGE(AF49:AF49/AE49:AE49) - AVERAGE(Q49:Q49/P49:P49)</f>
        <v>0</v>
      </c>
    </row>
    <row r="50" spans="1:43" collapsed="1" x14ac:dyDescent="0.15">
      <c r="A50" s="46"/>
      <c r="B50" s="46" t="s">
        <v>366</v>
      </c>
      <c r="C50" s="46">
        <v>2000297</v>
      </c>
      <c r="D50" s="48">
        <v>20</v>
      </c>
      <c r="E50" s="47">
        <v>1</v>
      </c>
      <c r="F50" s="47"/>
      <c r="H50" s="58">
        <f t="shared" si="16"/>
        <v>0.44657720709427029</v>
      </c>
      <c r="I50" s="49" t="str">
        <f t="shared" si="17"/>
        <v>·</v>
      </c>
      <c r="J50" s="50">
        <f t="shared" si="18"/>
        <v>37.512485395918709</v>
      </c>
      <c r="K50" s="50">
        <f t="shared" si="19"/>
        <v>30.838964413784552</v>
      </c>
      <c r="L50" s="50">
        <f t="shared" si="20"/>
        <v>6.673209028459274</v>
      </c>
      <c r="M50" s="51"/>
      <c r="N50" s="50">
        <f t="shared" si="21"/>
        <v>37.512485395918709</v>
      </c>
      <c r="O50" s="52">
        <v>2000297</v>
      </c>
      <c r="P50" s="53">
        <v>75036112</v>
      </c>
      <c r="Q50" s="53">
        <v>61687088</v>
      </c>
      <c r="R50" s="53">
        <v>13348400</v>
      </c>
      <c r="S50" s="54"/>
      <c r="T50" s="57"/>
      <c r="U50" s="57"/>
      <c r="W50" s="58">
        <f t="shared" si="22"/>
        <v>0.44657720709427029</v>
      </c>
      <c r="X50" s="49" t="str">
        <f t="shared" si="23"/>
        <v>·</v>
      </c>
      <c r="Y50" s="50">
        <f t="shared" si="24"/>
        <v>37.512485395918709</v>
      </c>
      <c r="Z50" s="50">
        <f t="shared" si="25"/>
        <v>30.838964413784552</v>
      </c>
      <c r="AA50" s="50">
        <f t="shared" si="26"/>
        <v>6.673209028459274</v>
      </c>
      <c r="AB50" s="51"/>
      <c r="AC50" s="50">
        <f t="shared" si="27"/>
        <v>37.512485395918709</v>
      </c>
      <c r="AD50" s="52">
        <v>2000297</v>
      </c>
      <c r="AE50" s="53">
        <v>75036112</v>
      </c>
      <c r="AF50" s="53">
        <v>61687088</v>
      </c>
      <c r="AG50" s="53">
        <v>13348400</v>
      </c>
      <c r="AH50" s="54"/>
      <c r="AI50" s="57">
        <v>17.829999999999998</v>
      </c>
      <c r="AJ50" s="57">
        <v>16.114000000000001</v>
      </c>
      <c r="AL50" s="59">
        <f t="shared" si="28"/>
        <v>1</v>
      </c>
      <c r="AM50" s="59">
        <f t="shared" si="29"/>
        <v>1</v>
      </c>
      <c r="AN50" s="59">
        <f t="shared" si="30"/>
        <v>1</v>
      </c>
      <c r="AO50" s="60"/>
      <c r="AP50" s="58">
        <f t="shared" si="31"/>
        <v>0</v>
      </c>
      <c r="AQ50" s="58">
        <f t="array" ref="AQ50">AVERAGE(AF50:AF50/AE50:AE50) - AVERAGE(Q50:Q50/P50:P50)</f>
        <v>0</v>
      </c>
    </row>
    <row r="51" spans="1:43" collapsed="1" x14ac:dyDescent="0.15">
      <c r="A51" s="16" t="s">
        <v>370</v>
      </c>
      <c r="B51" s="16" t="s">
        <v>369</v>
      </c>
      <c r="C51" s="16">
        <v>19948121</v>
      </c>
      <c r="D51" s="18">
        <v>21</v>
      </c>
      <c r="E51" s="17">
        <v>1</v>
      </c>
      <c r="F51" s="17"/>
      <c r="H51" s="28">
        <f t="shared" si="16"/>
        <v>0.38392680905160254</v>
      </c>
      <c r="I51" s="19" t="str">
        <f t="shared" si="17"/>
        <v>·</v>
      </c>
      <c r="J51" s="20">
        <f t="shared" si="18"/>
        <v>36.47304685990224</v>
      </c>
      <c r="K51" s="20">
        <f t="shared" si="19"/>
        <v>17.528235366127969</v>
      </c>
      <c r="L51" s="20">
        <f t="shared" si="20"/>
        <v>14.094680095433549</v>
      </c>
      <c r="M51" s="20">
        <f t="shared" ref="M51:M60" si="32">IF(ISBLANK(Q51),"·",S51/C51)</f>
        <v>4.8499340865237386</v>
      </c>
      <c r="N51" s="20">
        <f t="shared" si="21"/>
        <v>36.47304685990224</v>
      </c>
      <c r="O51" s="22">
        <v>19948121</v>
      </c>
      <c r="P51" s="23">
        <v>727568752</v>
      </c>
      <c r="Q51" s="23">
        <v>349655360</v>
      </c>
      <c r="R51" s="23">
        <v>281162384</v>
      </c>
      <c r="S51" s="23">
        <v>96747072</v>
      </c>
      <c r="T51" s="27"/>
      <c r="U51" s="27"/>
      <c r="W51" s="28">
        <f t="shared" si="22"/>
        <v>0.38392680905160254</v>
      </c>
      <c r="X51" s="19" t="str">
        <f t="shared" si="23"/>
        <v>·</v>
      </c>
      <c r="Y51" s="20">
        <f t="shared" si="24"/>
        <v>36.47304685990224</v>
      </c>
      <c r="Z51" s="20">
        <f t="shared" si="25"/>
        <v>17.528235366127969</v>
      </c>
      <c r="AA51" s="20">
        <f t="shared" si="26"/>
        <v>14.094680095433549</v>
      </c>
      <c r="AB51" s="20">
        <f t="shared" ref="AB51:AB60" si="33">IF(ISBLANK(AF51),"·",AH51/C51)</f>
        <v>4.8499340865237386</v>
      </c>
      <c r="AC51" s="20">
        <f t="shared" si="27"/>
        <v>36.47304685990224</v>
      </c>
      <c r="AD51" s="22">
        <v>19948121</v>
      </c>
      <c r="AE51" s="23">
        <v>727568752</v>
      </c>
      <c r="AF51" s="23">
        <v>349655360</v>
      </c>
      <c r="AG51" s="23">
        <v>281162384</v>
      </c>
      <c r="AH51" s="23">
        <v>96747072</v>
      </c>
      <c r="AI51" s="27">
        <v>124.239</v>
      </c>
      <c r="AJ51" s="27">
        <v>98.326999999999998</v>
      </c>
      <c r="AL51" s="29">
        <f t="shared" si="28"/>
        <v>1</v>
      </c>
      <c r="AM51" s="29">
        <f t="shared" si="29"/>
        <v>1</v>
      </c>
      <c r="AN51" s="29">
        <f t="shared" si="30"/>
        <v>1</v>
      </c>
      <c r="AO51" s="29">
        <f t="shared" ref="AO51:AO60" si="34">AB51/M51</f>
        <v>1</v>
      </c>
      <c r="AP51" s="28">
        <f t="shared" si="31"/>
        <v>0</v>
      </c>
      <c r="AQ51" s="28">
        <f t="array" ref="AQ51">AVERAGE(AF51:AF51/AE51:AE51) - AVERAGE(Q51:Q51/P51:P51)</f>
        <v>0</v>
      </c>
    </row>
    <row r="52" spans="1:43" collapsed="1" x14ac:dyDescent="0.15">
      <c r="A52" s="31"/>
      <c r="B52" s="31" t="s">
        <v>373</v>
      </c>
      <c r="C52" s="31">
        <v>5255920</v>
      </c>
      <c r="D52" s="33">
        <v>20</v>
      </c>
      <c r="E52" s="32">
        <v>1</v>
      </c>
      <c r="F52" s="32"/>
      <c r="H52" s="43">
        <f t="shared" si="16"/>
        <v>0.43497275453203244</v>
      </c>
      <c r="I52" s="34" t="str">
        <f t="shared" si="17"/>
        <v>·</v>
      </c>
      <c r="J52" s="35">
        <f t="shared" si="18"/>
        <v>40.017493416946984</v>
      </c>
      <c r="K52" s="35">
        <f t="shared" si="19"/>
        <v>20.815736921414327</v>
      </c>
      <c r="L52" s="35">
        <f t="shared" si="20"/>
        <v>13.948324936452609</v>
      </c>
      <c r="M52" s="35">
        <f t="shared" si="32"/>
        <v>5.2531393171889986</v>
      </c>
      <c r="N52" s="35">
        <f t="shared" si="21"/>
        <v>40.017493416946984</v>
      </c>
      <c r="O52" s="37">
        <v>5255920</v>
      </c>
      <c r="P52" s="38">
        <v>210328744</v>
      </c>
      <c r="Q52" s="38">
        <v>109405848</v>
      </c>
      <c r="R52" s="38">
        <v>73311280</v>
      </c>
      <c r="S52" s="38">
        <v>27610080</v>
      </c>
      <c r="T52" s="42"/>
      <c r="U52" s="42"/>
      <c r="W52" s="43">
        <f t="shared" si="22"/>
        <v>0.43497275453203244</v>
      </c>
      <c r="X52" s="34" t="str">
        <f t="shared" si="23"/>
        <v>·</v>
      </c>
      <c r="Y52" s="35">
        <f t="shared" si="24"/>
        <v>40.017493416946984</v>
      </c>
      <c r="Z52" s="35">
        <f t="shared" si="25"/>
        <v>20.815736921414327</v>
      </c>
      <c r="AA52" s="35">
        <f t="shared" si="26"/>
        <v>13.948324936452609</v>
      </c>
      <c r="AB52" s="35">
        <f t="shared" si="33"/>
        <v>5.2531393171889986</v>
      </c>
      <c r="AC52" s="35">
        <f t="shared" si="27"/>
        <v>40.017493416946984</v>
      </c>
      <c r="AD52" s="37">
        <v>5255920</v>
      </c>
      <c r="AE52" s="38">
        <v>210328744</v>
      </c>
      <c r="AF52" s="38">
        <v>109405848</v>
      </c>
      <c r="AG52" s="38">
        <v>73311280</v>
      </c>
      <c r="AH52" s="38">
        <v>27610080</v>
      </c>
      <c r="AI52" s="42">
        <v>26.27</v>
      </c>
      <c r="AJ52" s="42">
        <v>24.102</v>
      </c>
      <c r="AL52" s="44">
        <f t="shared" si="28"/>
        <v>1</v>
      </c>
      <c r="AM52" s="44">
        <f t="shared" si="29"/>
        <v>1</v>
      </c>
      <c r="AN52" s="44">
        <f t="shared" si="30"/>
        <v>1</v>
      </c>
      <c r="AO52" s="44">
        <f t="shared" si="34"/>
        <v>1</v>
      </c>
      <c r="AP52" s="43">
        <f t="shared" si="31"/>
        <v>0</v>
      </c>
      <c r="AQ52" s="43">
        <f t="array" ref="AQ52">AVERAGE(AF52:AF52/AE52:AE52) - AVERAGE(Q52:Q52/P52:P52)</f>
        <v>0</v>
      </c>
    </row>
    <row r="53" spans="1:43" collapsed="1" x14ac:dyDescent="0.15">
      <c r="A53" s="65"/>
      <c r="B53" s="65" t="s">
        <v>376</v>
      </c>
      <c r="C53" s="65">
        <v>7148516</v>
      </c>
      <c r="D53" s="66">
        <v>21</v>
      </c>
      <c r="E53" s="67">
        <v>1</v>
      </c>
      <c r="F53" s="67"/>
      <c r="H53" s="68">
        <f t="shared" si="16"/>
        <v>0.40677389913036349</v>
      </c>
      <c r="I53" s="69" t="str">
        <f t="shared" si="17"/>
        <v>·</v>
      </c>
      <c r="J53" s="70">
        <f t="shared" si="18"/>
        <v>38.643520417384529</v>
      </c>
      <c r="K53" s="70">
        <f t="shared" si="19"/>
        <v>20.74781842832834</v>
      </c>
      <c r="L53" s="70">
        <f t="shared" si="20"/>
        <v>12.808731770342265</v>
      </c>
      <c r="M53" s="70">
        <f t="shared" si="32"/>
        <v>5.0866882021387374</v>
      </c>
      <c r="N53" s="70">
        <f t="shared" si="21"/>
        <v>38.643520417384529</v>
      </c>
      <c r="O53" s="71">
        <v>7148516</v>
      </c>
      <c r="P53" s="72">
        <v>276243824</v>
      </c>
      <c r="Q53" s="72">
        <v>148316112</v>
      </c>
      <c r="R53" s="72">
        <v>91563424</v>
      </c>
      <c r="S53" s="72">
        <v>36362272</v>
      </c>
      <c r="T53" s="73"/>
      <c r="U53" s="73"/>
      <c r="W53" s="68">
        <f t="shared" si="22"/>
        <v>0.40677389913036349</v>
      </c>
      <c r="X53" s="69" t="str">
        <f t="shared" si="23"/>
        <v>·</v>
      </c>
      <c r="Y53" s="70">
        <f t="shared" si="24"/>
        <v>38.643520417384529</v>
      </c>
      <c r="Z53" s="70">
        <f t="shared" si="25"/>
        <v>20.74781842832834</v>
      </c>
      <c r="AA53" s="70">
        <f t="shared" si="26"/>
        <v>12.808731770342265</v>
      </c>
      <c r="AB53" s="70">
        <f t="shared" si="33"/>
        <v>5.0866882021387374</v>
      </c>
      <c r="AC53" s="70">
        <f t="shared" si="27"/>
        <v>38.643520417384529</v>
      </c>
      <c r="AD53" s="71">
        <v>7148516</v>
      </c>
      <c r="AE53" s="72">
        <v>276243824</v>
      </c>
      <c r="AF53" s="72">
        <v>148316112</v>
      </c>
      <c r="AG53" s="72">
        <v>91563424</v>
      </c>
      <c r="AH53" s="72">
        <v>36362272</v>
      </c>
      <c r="AI53" s="73">
        <v>39.624000000000002</v>
      </c>
      <c r="AJ53" s="73">
        <v>28.344999999999999</v>
      </c>
      <c r="AL53" s="74">
        <f t="shared" si="28"/>
        <v>1</v>
      </c>
      <c r="AM53" s="74">
        <f t="shared" si="29"/>
        <v>1</v>
      </c>
      <c r="AN53" s="74">
        <f t="shared" si="30"/>
        <v>1</v>
      </c>
      <c r="AO53" s="74">
        <f t="shared" si="34"/>
        <v>1</v>
      </c>
      <c r="AP53" s="68">
        <f t="shared" si="31"/>
        <v>0</v>
      </c>
      <c r="AQ53" s="68">
        <f t="array" ref="AQ53">AVERAGE(AF53:AF53/AE53:AE53) - AVERAGE(Q53:Q53/P53:P53)</f>
        <v>0</v>
      </c>
    </row>
    <row r="54" spans="1:43" collapsed="1" x14ac:dyDescent="0.15">
      <c r="A54" s="31" t="s">
        <v>380</v>
      </c>
      <c r="B54" s="31" t="s">
        <v>379</v>
      </c>
      <c r="C54" s="31">
        <v>123940658</v>
      </c>
      <c r="D54" s="33">
        <v>18</v>
      </c>
      <c r="E54" s="32">
        <v>1500</v>
      </c>
      <c r="F54" s="32">
        <v>10</v>
      </c>
      <c r="H54" s="43">
        <f t="shared" si="16"/>
        <v>0.36140025198396208</v>
      </c>
      <c r="I54" s="34">
        <f t="shared" si="17"/>
        <v>18.514103146666667</v>
      </c>
      <c r="J54" s="35">
        <f t="shared" si="18"/>
        <v>22.406815623005649</v>
      </c>
      <c r="K54" s="35">
        <f t="shared" si="19"/>
        <v>17.394479541975645</v>
      </c>
      <c r="L54" s="36"/>
      <c r="M54" s="35">
        <f t="shared" si="32"/>
        <v>4.9904546416075988</v>
      </c>
      <c r="N54" s="35">
        <f t="shared" si="21"/>
        <v>22.406815623005649</v>
      </c>
      <c r="O54" s="37">
        <v>123940658</v>
      </c>
      <c r="P54" s="38">
        <v>2777115472</v>
      </c>
      <c r="Q54" s="38">
        <v>2155883240</v>
      </c>
      <c r="R54" s="39"/>
      <c r="S54" s="38">
        <v>618520232</v>
      </c>
      <c r="T54" s="42"/>
      <c r="U54" s="42"/>
      <c r="W54" s="43">
        <f t="shared" si="22"/>
        <v>0.36140025198396208</v>
      </c>
      <c r="X54" s="34">
        <f t="shared" si="23"/>
        <v>18.514103146666667</v>
      </c>
      <c r="Y54" s="35">
        <f t="shared" si="24"/>
        <v>22.406815623005649</v>
      </c>
      <c r="Z54" s="35">
        <f t="shared" si="25"/>
        <v>17.394479541975645</v>
      </c>
      <c r="AA54" s="36"/>
      <c r="AB54" s="35">
        <f t="shared" si="33"/>
        <v>4.9904546416075988</v>
      </c>
      <c r="AC54" s="35">
        <f t="shared" si="27"/>
        <v>22.406815623005649</v>
      </c>
      <c r="AD54" s="37">
        <v>123940658</v>
      </c>
      <c r="AE54" s="38">
        <v>2777115472</v>
      </c>
      <c r="AF54" s="38">
        <v>2155883240</v>
      </c>
      <c r="AG54" s="39"/>
      <c r="AH54" s="38">
        <v>618520232</v>
      </c>
      <c r="AI54" s="42">
        <v>529.8839999999974</v>
      </c>
      <c r="AJ54" s="42">
        <v>452.86799999999823</v>
      </c>
      <c r="AL54" s="44">
        <f t="shared" ref="AL54:AL65" si="35">Y54/J54</f>
        <v>1</v>
      </c>
      <c r="AM54" s="44">
        <f t="shared" ref="AM54:AM65" si="36">Z54/K54</f>
        <v>1</v>
      </c>
      <c r="AN54" s="45"/>
      <c r="AO54" s="44">
        <f t="shared" si="34"/>
        <v>1</v>
      </c>
      <c r="AP54" s="43">
        <f t="shared" si="31"/>
        <v>0</v>
      </c>
      <c r="AQ54" s="43">
        <f t="array" ref="AQ54">AVERAGE(AF54:AF54/AE54:AE54) - AVERAGE(Q54:Q54/P54:P54)</f>
        <v>0</v>
      </c>
    </row>
    <row r="55" spans="1:43" collapsed="1" x14ac:dyDescent="0.15">
      <c r="A55" s="16"/>
      <c r="B55" s="16" t="s">
        <v>383</v>
      </c>
      <c r="C55" s="16">
        <v>125751705</v>
      </c>
      <c r="D55" s="18">
        <v>18</v>
      </c>
      <c r="E55" s="17">
        <v>1500</v>
      </c>
      <c r="F55" s="17">
        <v>10</v>
      </c>
      <c r="H55" s="28">
        <f t="shared" si="16"/>
        <v>0.35756369985779363</v>
      </c>
      <c r="I55" s="19">
        <f t="shared" si="17"/>
        <v>18.585221226666668</v>
      </c>
      <c r="J55" s="20">
        <f t="shared" si="18"/>
        <v>22.168949391183205</v>
      </c>
      <c r="K55" s="20">
        <f t="shared" si="19"/>
        <v>17.137833447268171</v>
      </c>
      <c r="L55" s="21"/>
      <c r="M55" s="20">
        <f t="shared" si="32"/>
        <v>5.0095496359274012</v>
      </c>
      <c r="N55" s="20">
        <f t="shared" si="21"/>
        <v>22.168949391183205</v>
      </c>
      <c r="O55" s="22">
        <v>125751705</v>
      </c>
      <c r="P55" s="23">
        <v>2787783184</v>
      </c>
      <c r="Q55" s="23">
        <v>2155111776</v>
      </c>
      <c r="R55" s="24"/>
      <c r="S55" s="23">
        <v>629959408</v>
      </c>
      <c r="T55" s="27"/>
      <c r="U55" s="27"/>
      <c r="W55" s="28">
        <f t="shared" si="22"/>
        <v>0.35756369985779363</v>
      </c>
      <c r="X55" s="19">
        <f t="shared" si="23"/>
        <v>18.585221226666668</v>
      </c>
      <c r="Y55" s="20">
        <f t="shared" si="24"/>
        <v>22.168949391183205</v>
      </c>
      <c r="Z55" s="20">
        <f t="shared" si="25"/>
        <v>17.137833447268171</v>
      </c>
      <c r="AA55" s="21"/>
      <c r="AB55" s="20">
        <f t="shared" si="33"/>
        <v>5.0095496359274012</v>
      </c>
      <c r="AC55" s="20">
        <f t="shared" si="27"/>
        <v>22.168949391183205</v>
      </c>
      <c r="AD55" s="22">
        <v>125751705</v>
      </c>
      <c r="AE55" s="23">
        <v>2787783184</v>
      </c>
      <c r="AF55" s="23">
        <v>2155111776</v>
      </c>
      <c r="AG55" s="24"/>
      <c r="AH55" s="23">
        <v>629959408</v>
      </c>
      <c r="AI55" s="27">
        <v>546.70299999999781</v>
      </c>
      <c r="AJ55" s="27">
        <v>463.65199999999868</v>
      </c>
      <c r="AL55" s="29">
        <f t="shared" si="35"/>
        <v>1</v>
      </c>
      <c r="AM55" s="29">
        <f t="shared" si="36"/>
        <v>1</v>
      </c>
      <c r="AN55" s="30"/>
      <c r="AO55" s="29">
        <f t="shared" si="34"/>
        <v>1</v>
      </c>
      <c r="AP55" s="28">
        <f t="shared" si="31"/>
        <v>0</v>
      </c>
      <c r="AQ55" s="28">
        <f t="array" ref="AQ55">AVERAGE(AF55:AF55/AE55:AE55) - AVERAGE(Q55:Q55/P55:P55)</f>
        <v>0</v>
      </c>
    </row>
    <row r="56" spans="1:43" collapsed="1" x14ac:dyDescent="0.15">
      <c r="A56" s="31"/>
      <c r="B56" s="31" t="s">
        <v>386</v>
      </c>
      <c r="C56" s="31">
        <v>126093865</v>
      </c>
      <c r="D56" s="33">
        <v>18</v>
      </c>
      <c r="E56" s="32">
        <v>1500</v>
      </c>
      <c r="F56" s="32">
        <v>10</v>
      </c>
      <c r="H56" s="43">
        <f t="shared" si="16"/>
        <v>0.3705879400034201</v>
      </c>
      <c r="I56" s="34">
        <f t="shared" si="17"/>
        <v>19.314597813333332</v>
      </c>
      <c r="J56" s="35">
        <f t="shared" si="18"/>
        <v>22.976452280212047</v>
      </c>
      <c r="K56" s="35">
        <f t="shared" si="19"/>
        <v>17.910893983620852</v>
      </c>
      <c r="L56" s="36"/>
      <c r="M56" s="35">
        <f t="shared" si="32"/>
        <v>5.044050509515273</v>
      </c>
      <c r="N56" s="35">
        <f t="shared" si="21"/>
        <v>22.976452280212047</v>
      </c>
      <c r="O56" s="37">
        <v>126093865</v>
      </c>
      <c r="P56" s="38">
        <v>2897189672</v>
      </c>
      <c r="Q56" s="38">
        <v>2258453848</v>
      </c>
      <c r="R56" s="39"/>
      <c r="S56" s="38">
        <v>636023824</v>
      </c>
      <c r="T56" s="42"/>
      <c r="U56" s="42"/>
      <c r="W56" s="43">
        <f t="shared" si="22"/>
        <v>0.3705879400034201</v>
      </c>
      <c r="X56" s="34">
        <f t="shared" si="23"/>
        <v>19.314597813333332</v>
      </c>
      <c r="Y56" s="35">
        <f t="shared" si="24"/>
        <v>22.976452280212047</v>
      </c>
      <c r="Z56" s="35">
        <f t="shared" si="25"/>
        <v>17.910893983620852</v>
      </c>
      <c r="AA56" s="36"/>
      <c r="AB56" s="35">
        <f t="shared" si="33"/>
        <v>5.044050509515273</v>
      </c>
      <c r="AC56" s="35">
        <f t="shared" si="27"/>
        <v>22.976452280212047</v>
      </c>
      <c r="AD56" s="37">
        <v>126093865</v>
      </c>
      <c r="AE56" s="38">
        <v>2897189672</v>
      </c>
      <c r="AF56" s="38">
        <v>2258453848</v>
      </c>
      <c r="AG56" s="39"/>
      <c r="AH56" s="38">
        <v>636023824</v>
      </c>
      <c r="AI56" s="42">
        <v>530.55899999999667</v>
      </c>
      <c r="AJ56" s="42">
        <v>446.0249999999981</v>
      </c>
      <c r="AL56" s="44">
        <f t="shared" si="35"/>
        <v>1</v>
      </c>
      <c r="AM56" s="44">
        <f t="shared" si="36"/>
        <v>1</v>
      </c>
      <c r="AN56" s="45"/>
      <c r="AO56" s="44">
        <f t="shared" si="34"/>
        <v>1</v>
      </c>
      <c r="AP56" s="43">
        <f t="shared" si="31"/>
        <v>0</v>
      </c>
      <c r="AQ56" s="43">
        <f t="array" ref="AQ56">AVERAGE(AF56:AF56/AE56:AE56) - AVERAGE(Q56:Q56/P56:P56)</f>
        <v>0</v>
      </c>
    </row>
    <row r="57" spans="1:43" collapsed="1" x14ac:dyDescent="0.15">
      <c r="A57" s="16"/>
      <c r="B57" s="16" t="s">
        <v>389</v>
      </c>
      <c r="C57" s="16">
        <v>2233793</v>
      </c>
      <c r="D57" s="18">
        <v>18</v>
      </c>
      <c r="E57" s="17">
        <v>74</v>
      </c>
      <c r="F57" s="17">
        <v>5</v>
      </c>
      <c r="H57" s="28">
        <f t="shared" si="16"/>
        <v>0.22206314406670338</v>
      </c>
      <c r="I57" s="19">
        <f t="shared" si="17"/>
        <v>2.0780183783783786</v>
      </c>
      <c r="J57" s="20">
        <f t="shared" si="18"/>
        <v>13.767914932135609</v>
      </c>
      <c r="K57" s="20">
        <f t="shared" si="19"/>
        <v>11.263009598472195</v>
      </c>
      <c r="L57" s="21"/>
      <c r="M57" s="20">
        <f t="shared" si="32"/>
        <v>2.470982763398399</v>
      </c>
      <c r="N57" s="20">
        <f t="shared" si="21"/>
        <v>13.767914932135609</v>
      </c>
      <c r="O57" s="22">
        <v>2233793</v>
      </c>
      <c r="P57" s="23">
        <v>30754672</v>
      </c>
      <c r="Q57" s="23">
        <v>25159232</v>
      </c>
      <c r="R57" s="24"/>
      <c r="S57" s="23">
        <v>5519664</v>
      </c>
      <c r="T57" s="27"/>
      <c r="U57" s="27"/>
      <c r="W57" s="28">
        <f t="shared" si="22"/>
        <v>0.22206314406670338</v>
      </c>
      <c r="X57" s="19">
        <f t="shared" si="23"/>
        <v>2.0780183783783786</v>
      </c>
      <c r="Y57" s="20">
        <f t="shared" si="24"/>
        <v>13.767914932135609</v>
      </c>
      <c r="Z57" s="20">
        <f t="shared" si="25"/>
        <v>11.263009598472195</v>
      </c>
      <c r="AA57" s="21"/>
      <c r="AB57" s="20">
        <f t="shared" si="33"/>
        <v>2.470982763398399</v>
      </c>
      <c r="AC57" s="20">
        <f t="shared" si="27"/>
        <v>13.767914932135609</v>
      </c>
      <c r="AD57" s="22">
        <v>2233793</v>
      </c>
      <c r="AE57" s="23">
        <v>30754672</v>
      </c>
      <c r="AF57" s="23">
        <v>25159232</v>
      </c>
      <c r="AG57" s="24"/>
      <c r="AH57" s="23">
        <v>5519664</v>
      </c>
      <c r="AI57" s="27">
        <v>10.325000000000001</v>
      </c>
      <c r="AJ57" s="27">
        <v>8.5649999999999995</v>
      </c>
      <c r="AL57" s="29">
        <f t="shared" si="35"/>
        <v>1</v>
      </c>
      <c r="AM57" s="29">
        <f t="shared" si="36"/>
        <v>1</v>
      </c>
      <c r="AN57" s="30"/>
      <c r="AO57" s="29">
        <f t="shared" si="34"/>
        <v>1</v>
      </c>
      <c r="AP57" s="28">
        <f t="shared" si="31"/>
        <v>0</v>
      </c>
      <c r="AQ57" s="28">
        <f t="array" ref="AQ57">AVERAGE(AF57:AF57/AE57:AE57) - AVERAGE(Q57:Q57/P57:P57)</f>
        <v>0</v>
      </c>
    </row>
    <row r="58" spans="1:43" collapsed="1" x14ac:dyDescent="0.15">
      <c r="A58" s="31"/>
      <c r="B58" s="31" t="s">
        <v>392</v>
      </c>
      <c r="C58" s="31">
        <v>2016190</v>
      </c>
      <c r="D58" s="33">
        <v>18</v>
      </c>
      <c r="E58" s="32">
        <v>74</v>
      </c>
      <c r="F58" s="32">
        <v>5</v>
      </c>
      <c r="H58" s="43">
        <f t="shared" si="16"/>
        <v>0.20353253317619674</v>
      </c>
      <c r="I58" s="34">
        <f t="shared" si="17"/>
        <v>1.7190767567567566</v>
      </c>
      <c r="J58" s="35">
        <f t="shared" si="18"/>
        <v>12.619017056924198</v>
      </c>
      <c r="K58" s="35">
        <f t="shared" si="19"/>
        <v>10.980560363854597</v>
      </c>
      <c r="L58" s="36"/>
      <c r="M58" s="35">
        <f t="shared" si="32"/>
        <v>1.6008729336024878</v>
      </c>
      <c r="N58" s="35">
        <f t="shared" si="21"/>
        <v>12.619017056924198</v>
      </c>
      <c r="O58" s="37">
        <v>2016190</v>
      </c>
      <c r="P58" s="38">
        <v>25442336</v>
      </c>
      <c r="Q58" s="38">
        <v>22138896</v>
      </c>
      <c r="R58" s="39"/>
      <c r="S58" s="38">
        <v>3227664</v>
      </c>
      <c r="T58" s="42"/>
      <c r="U58" s="42"/>
      <c r="W58" s="43">
        <f t="shared" si="22"/>
        <v>0.20353253317619674</v>
      </c>
      <c r="X58" s="34">
        <f t="shared" si="23"/>
        <v>1.7190767567567566</v>
      </c>
      <c r="Y58" s="35">
        <f t="shared" si="24"/>
        <v>12.619017056924198</v>
      </c>
      <c r="Z58" s="35">
        <f t="shared" si="25"/>
        <v>10.980560363854597</v>
      </c>
      <c r="AA58" s="36"/>
      <c r="AB58" s="35">
        <f t="shared" si="33"/>
        <v>1.6008729336024878</v>
      </c>
      <c r="AC58" s="35">
        <f t="shared" si="27"/>
        <v>12.619017056924198</v>
      </c>
      <c r="AD58" s="37">
        <v>2016190</v>
      </c>
      <c r="AE58" s="38">
        <v>25442336</v>
      </c>
      <c r="AF58" s="38">
        <v>22138896</v>
      </c>
      <c r="AG58" s="39"/>
      <c r="AH58" s="38">
        <v>3227664</v>
      </c>
      <c r="AI58" s="42">
        <v>10.233999999999996</v>
      </c>
      <c r="AJ58" s="42">
        <v>8.8009999999999984</v>
      </c>
      <c r="AL58" s="44">
        <f t="shared" si="35"/>
        <v>1</v>
      </c>
      <c r="AM58" s="44">
        <f t="shared" si="36"/>
        <v>1</v>
      </c>
      <c r="AN58" s="45"/>
      <c r="AO58" s="44">
        <f t="shared" si="34"/>
        <v>1</v>
      </c>
      <c r="AP58" s="43">
        <f t="shared" si="31"/>
        <v>0</v>
      </c>
      <c r="AQ58" s="43">
        <f t="array" ref="AQ58">AVERAGE(AF58:AF58/AE58:AE58) - AVERAGE(Q58:Q58/P58:P58)</f>
        <v>0</v>
      </c>
    </row>
    <row r="59" spans="1:43" collapsed="1" x14ac:dyDescent="0.15">
      <c r="A59" s="16"/>
      <c r="B59" s="16" t="s">
        <v>395</v>
      </c>
      <c r="C59" s="16">
        <v>14430189</v>
      </c>
      <c r="D59" s="18">
        <v>18</v>
      </c>
      <c r="E59" s="17">
        <v>500</v>
      </c>
      <c r="F59" s="17">
        <v>5</v>
      </c>
      <c r="H59" s="28">
        <f t="shared" si="16"/>
        <v>0.21040090148462701</v>
      </c>
      <c r="I59" s="19">
        <f t="shared" si="17"/>
        <v>1.8823973600000001</v>
      </c>
      <c r="J59" s="20">
        <f t="shared" si="18"/>
        <v>13.044855892046876</v>
      </c>
      <c r="K59" s="20">
        <f t="shared" si="19"/>
        <v>11.25104487543441</v>
      </c>
      <c r="L59" s="21"/>
      <c r="M59" s="20">
        <f t="shared" si="32"/>
        <v>1.7583298458530239</v>
      </c>
      <c r="N59" s="20">
        <f t="shared" si="21"/>
        <v>13.044855892046876</v>
      </c>
      <c r="O59" s="22">
        <v>14430189</v>
      </c>
      <c r="P59" s="23">
        <v>188239736</v>
      </c>
      <c r="Q59" s="23">
        <v>162354704</v>
      </c>
      <c r="R59" s="24"/>
      <c r="S59" s="23">
        <v>25373032</v>
      </c>
      <c r="T59" s="27"/>
      <c r="U59" s="27"/>
      <c r="W59" s="28">
        <f t="shared" si="22"/>
        <v>0.21040090148462701</v>
      </c>
      <c r="X59" s="19">
        <f t="shared" si="23"/>
        <v>1.8823973600000001</v>
      </c>
      <c r="Y59" s="20">
        <f t="shared" si="24"/>
        <v>13.044855892046876</v>
      </c>
      <c r="Z59" s="20">
        <f t="shared" si="25"/>
        <v>11.25104487543441</v>
      </c>
      <c r="AA59" s="21"/>
      <c r="AB59" s="20">
        <f t="shared" si="33"/>
        <v>1.7583298458530239</v>
      </c>
      <c r="AC59" s="20">
        <f t="shared" si="27"/>
        <v>13.044855892046876</v>
      </c>
      <c r="AD59" s="22">
        <v>14430189</v>
      </c>
      <c r="AE59" s="23">
        <v>188239736</v>
      </c>
      <c r="AF59" s="23">
        <v>162354704</v>
      </c>
      <c r="AG59" s="24"/>
      <c r="AH59" s="23">
        <v>25373032</v>
      </c>
      <c r="AI59" s="27">
        <v>62.568000000000502</v>
      </c>
      <c r="AJ59" s="27">
        <v>52.737000000000492</v>
      </c>
      <c r="AL59" s="29">
        <f t="shared" si="35"/>
        <v>1</v>
      </c>
      <c r="AM59" s="29">
        <f t="shared" si="36"/>
        <v>1</v>
      </c>
      <c r="AN59" s="30"/>
      <c r="AO59" s="29">
        <f t="shared" si="34"/>
        <v>1</v>
      </c>
      <c r="AP59" s="28">
        <f t="shared" si="31"/>
        <v>0</v>
      </c>
      <c r="AQ59" s="28">
        <f t="array" ref="AQ59">AVERAGE(AF59:AF59/AE59:AE59) - AVERAGE(Q59:Q59/P59:P59)</f>
        <v>0</v>
      </c>
    </row>
    <row r="60" spans="1:43" collapsed="1" x14ac:dyDescent="0.15">
      <c r="A60" s="46"/>
      <c r="B60" s="46" t="s">
        <v>398</v>
      </c>
      <c r="C60" s="46">
        <v>8167066</v>
      </c>
      <c r="D60" s="48">
        <v>18</v>
      </c>
      <c r="E60" s="47">
        <v>300</v>
      </c>
      <c r="F60" s="47">
        <v>5</v>
      </c>
      <c r="H60" s="58">
        <f t="shared" si="16"/>
        <v>0.23118701537409223</v>
      </c>
      <c r="I60" s="49">
        <f t="shared" si="17"/>
        <v>1.9510569333333334</v>
      </c>
      <c r="J60" s="50">
        <f t="shared" si="18"/>
        <v>14.333594953193717</v>
      </c>
      <c r="K60" s="50">
        <f t="shared" si="19"/>
        <v>11.909703680611862</v>
      </c>
      <c r="L60" s="51"/>
      <c r="M60" s="50">
        <f t="shared" si="32"/>
        <v>2.3862767853229054</v>
      </c>
      <c r="N60" s="50">
        <f t="shared" si="21"/>
        <v>14.333594953193717</v>
      </c>
      <c r="O60" s="52">
        <v>8167066</v>
      </c>
      <c r="P60" s="53">
        <v>117063416</v>
      </c>
      <c r="Q60" s="53">
        <v>97267336</v>
      </c>
      <c r="R60" s="54"/>
      <c r="S60" s="53">
        <v>19488880</v>
      </c>
      <c r="T60" s="57"/>
      <c r="U60" s="57"/>
      <c r="W60" s="58">
        <f t="shared" si="22"/>
        <v>0.23118701537409223</v>
      </c>
      <c r="X60" s="49">
        <f t="shared" si="23"/>
        <v>1.9510569333333334</v>
      </c>
      <c r="Y60" s="50">
        <f t="shared" si="24"/>
        <v>14.333594953193717</v>
      </c>
      <c r="Z60" s="50">
        <f t="shared" si="25"/>
        <v>11.909703680611862</v>
      </c>
      <c r="AA60" s="51"/>
      <c r="AB60" s="50">
        <f t="shared" si="33"/>
        <v>2.3862767853229054</v>
      </c>
      <c r="AC60" s="50">
        <f t="shared" si="27"/>
        <v>14.333594953193717</v>
      </c>
      <c r="AD60" s="52">
        <v>8167066</v>
      </c>
      <c r="AE60" s="53">
        <v>117063416</v>
      </c>
      <c r="AF60" s="53">
        <v>97267336</v>
      </c>
      <c r="AG60" s="54"/>
      <c r="AH60" s="53">
        <v>19488880</v>
      </c>
      <c r="AI60" s="57">
        <v>33.892000000000017</v>
      </c>
      <c r="AJ60" s="57">
        <v>30.024000000000004</v>
      </c>
      <c r="AL60" s="59">
        <f t="shared" si="35"/>
        <v>1</v>
      </c>
      <c r="AM60" s="59">
        <f t="shared" si="36"/>
        <v>1</v>
      </c>
      <c r="AN60" s="60"/>
      <c r="AO60" s="59">
        <f t="shared" si="34"/>
        <v>1</v>
      </c>
      <c r="AP60" s="58">
        <f t="shared" si="31"/>
        <v>0</v>
      </c>
      <c r="AQ60" s="58">
        <f t="array" ref="AQ60">AVERAGE(AF60:AF60/AE60:AE60) - AVERAGE(Q60:Q60/P60:P60)</f>
        <v>0</v>
      </c>
    </row>
    <row r="61" spans="1:43" x14ac:dyDescent="0.15">
      <c r="B61" s="61" t="s">
        <v>401</v>
      </c>
      <c r="J61" s="62">
        <f>AVERAGE(J5:J26)</f>
        <v>13.020950805059213</v>
      </c>
      <c r="K61" s="62">
        <f>AVERAGE(K5:K26)</f>
        <v>4.2144656323827681</v>
      </c>
      <c r="L61" s="62">
        <f>AVERAGE(L5:L26)</f>
        <v>8.8060617878885825</v>
      </c>
      <c r="M61" s="63"/>
      <c r="Y61" s="62">
        <f>AVERAGE(Y5:Y26)</f>
        <v>13.020950805059213</v>
      </c>
      <c r="Z61" s="62">
        <f>AVERAGE(Z5:Z26)</f>
        <v>4.2144656323827681</v>
      </c>
      <c r="AA61" s="62">
        <f>AVERAGE(AA5:AA26)</f>
        <v>8.8060617878885825</v>
      </c>
      <c r="AB61" s="63"/>
      <c r="AL61" s="4">
        <f t="shared" si="35"/>
        <v>1</v>
      </c>
      <c r="AM61" s="4">
        <f t="shared" si="36"/>
        <v>1</v>
      </c>
      <c r="AN61" s="4">
        <f>AA61/L61</f>
        <v>1</v>
      </c>
      <c r="AO61" s="5"/>
      <c r="AQ61" s="8">
        <f>AVERAGE(AQ5:AQ26)</f>
        <v>0</v>
      </c>
    </row>
    <row r="62" spans="1:43" x14ac:dyDescent="0.15">
      <c r="B62" s="61" t="s">
        <v>402</v>
      </c>
      <c r="J62" s="62">
        <f>AVERAGE(J27:J50)</f>
        <v>31.983288599836325</v>
      </c>
      <c r="K62" s="62">
        <f>AVERAGE(K27:K50)</f>
        <v>20.911408881280256</v>
      </c>
      <c r="L62" s="62">
        <f>AVERAGE(L27:L50)</f>
        <v>11.071522693366289</v>
      </c>
      <c r="M62" s="63"/>
      <c r="Y62" s="62">
        <f>AVERAGE(Y27:Y50)</f>
        <v>31.983288599836325</v>
      </c>
      <c r="Z62" s="62">
        <f>AVERAGE(Z27:Z50)</f>
        <v>20.911408881280256</v>
      </c>
      <c r="AA62" s="62">
        <f>AVERAGE(AA27:AA50)</f>
        <v>11.071522693366289</v>
      </c>
      <c r="AB62" s="63"/>
      <c r="AL62" s="4">
        <f t="shared" si="35"/>
        <v>1</v>
      </c>
      <c r="AM62" s="4">
        <f t="shared" si="36"/>
        <v>1</v>
      </c>
      <c r="AN62" s="4">
        <f>AA62/L62</f>
        <v>1</v>
      </c>
      <c r="AO62" s="5"/>
      <c r="AQ62" s="8">
        <f>AVERAGE(AQ27:AQ50)</f>
        <v>0</v>
      </c>
    </row>
    <row r="63" spans="1:43" x14ac:dyDescent="0.15">
      <c r="B63" s="61" t="s">
        <v>403</v>
      </c>
      <c r="J63" s="62">
        <f>AVERAGE(J51:J53)</f>
        <v>38.378020231411256</v>
      </c>
      <c r="K63" s="62">
        <f>AVERAGE(K51:K53)</f>
        <v>19.697263571956881</v>
      </c>
      <c r="L63" s="62">
        <f>AVERAGE(L51:L53)</f>
        <v>13.617245600742807</v>
      </c>
      <c r="M63" s="62">
        <f>AVERAGE(M51:M53)</f>
        <v>5.0632538686171591</v>
      </c>
      <c r="Y63" s="62">
        <f>AVERAGE(Y51:Y53)</f>
        <v>38.378020231411256</v>
      </c>
      <c r="Z63" s="62">
        <f>AVERAGE(Z51:Z53)</f>
        <v>19.697263571956881</v>
      </c>
      <c r="AA63" s="62">
        <f>AVERAGE(AA51:AA53)</f>
        <v>13.617245600742807</v>
      </c>
      <c r="AB63" s="62">
        <f>AVERAGE(AB51:AB53)</f>
        <v>5.0632538686171591</v>
      </c>
      <c r="AL63" s="4">
        <f t="shared" si="35"/>
        <v>1</v>
      </c>
      <c r="AM63" s="4">
        <f t="shared" si="36"/>
        <v>1</v>
      </c>
      <c r="AN63" s="4">
        <f>AA63/L63</f>
        <v>1</v>
      </c>
      <c r="AO63" s="4">
        <f>AB63/M63</f>
        <v>1</v>
      </c>
      <c r="AQ63" s="8">
        <f>AVERAGE(AQ51:AQ53)</f>
        <v>0</v>
      </c>
    </row>
    <row r="64" spans="1:43" x14ac:dyDescent="0.15">
      <c r="B64" s="61" t="s">
        <v>404</v>
      </c>
      <c r="J64" s="62">
        <f>AVERAGE(J54:J60)</f>
        <v>17.331085732671614</v>
      </c>
      <c r="K64" s="62">
        <f>AVERAGE(K54:K60)</f>
        <v>13.978217927319678</v>
      </c>
      <c r="L64" s="63"/>
      <c r="M64" s="62">
        <f>AVERAGE(M54:M60)</f>
        <v>3.3229310164610126</v>
      </c>
      <c r="Y64" s="62">
        <f>AVERAGE(Y54:Y60)</f>
        <v>17.331085732671614</v>
      </c>
      <c r="Z64" s="62">
        <f>AVERAGE(Z54:Z60)</f>
        <v>13.978217927319678</v>
      </c>
      <c r="AA64" s="63"/>
      <c r="AB64" s="62">
        <f>AVERAGE(AB54:AB60)</f>
        <v>3.3229310164610126</v>
      </c>
      <c r="AL64" s="4">
        <f t="shared" si="35"/>
        <v>1</v>
      </c>
      <c r="AM64" s="4">
        <f t="shared" si="36"/>
        <v>1</v>
      </c>
      <c r="AN64" s="5"/>
      <c r="AO64" s="4">
        <f>AB64/M64</f>
        <v>1</v>
      </c>
      <c r="AQ64" s="8">
        <f>AVERAGE(AQ54:AQ60)</f>
        <v>0</v>
      </c>
    </row>
    <row r="65" spans="1:43" x14ac:dyDescent="0.15">
      <c r="B65" s="61" t="s">
        <v>405</v>
      </c>
      <c r="J65" s="62">
        <f>AVERAGE(J5:J60)</f>
        <v>23.044848302326958</v>
      </c>
      <c r="K65" s="62">
        <f>AVERAGE(K5:K60)</f>
        <v>13.420203094111708</v>
      </c>
      <c r="L65" s="62">
        <f>AVERAGE(L5:L53)</f>
        <v>10.210237566868738</v>
      </c>
      <c r="M65" s="62">
        <f>AVERAGE(M51:M60)</f>
        <v>3.845027872107857</v>
      </c>
      <c r="Y65" s="62">
        <f>AVERAGE(Y5:Y60)</f>
        <v>23.044848302326958</v>
      </c>
      <c r="Z65" s="62">
        <f>AVERAGE(Z5:Z60)</f>
        <v>13.420203094111708</v>
      </c>
      <c r="AA65" s="62">
        <f>AVERAGE(AA5:AA53)</f>
        <v>10.210237566868738</v>
      </c>
      <c r="AB65" s="62">
        <f>AVERAGE(AB51:AB60)</f>
        <v>3.845027872107857</v>
      </c>
      <c r="AL65" s="4">
        <f t="shared" si="35"/>
        <v>1</v>
      </c>
      <c r="AM65" s="4">
        <f t="shared" si="36"/>
        <v>1</v>
      </c>
      <c r="AN65" s="4">
        <f>AA65/L65</f>
        <v>1</v>
      </c>
      <c r="AO65" s="4">
        <f>AB65/M65</f>
        <v>1</v>
      </c>
      <c r="AQ65" s="8">
        <f>AVERAGE(AQ5:AQ60)</f>
        <v>0</v>
      </c>
    </row>
    <row r="66" spans="1:43" hidden="1" outlineLevel="2" x14ac:dyDescent="0.15">
      <c r="A66" s="61" t="s">
        <v>406</v>
      </c>
      <c r="B66" s="61" t="s">
        <v>407</v>
      </c>
      <c r="T66" s="64">
        <f>SUM(T5:T26,T27:T50,T51:T53,T54:T60)</f>
        <v>0</v>
      </c>
      <c r="U66" s="64">
        <f>SUM(U5:U26,U27:U50,U51:U53,U54:U60)</f>
        <v>0</v>
      </c>
      <c r="AI66" s="64">
        <f>SUM(AI5:AI26,AI27:AI50,AI51:AI53,AI54:AI60)</f>
        <v>5607.3329999999914</v>
      </c>
      <c r="AJ66" s="64">
        <f>SUM(AJ5:AJ26,AJ27:AJ50,AJ51:AJ53,AJ54:AJ60)</f>
        <v>4919.5069999999942</v>
      </c>
    </row>
    <row r="67" spans="1:43" hidden="1" outlineLevel="2" x14ac:dyDescent="0.15">
      <c r="B67" s="61" t="s">
        <v>408</v>
      </c>
      <c r="AI67" s="8" t="e">
        <f>AI66/T66</f>
        <v>#DIV/0!</v>
      </c>
      <c r="AJ67" s="8" t="e">
        <f>AJ66/U66</f>
        <v>#DIV/0!</v>
      </c>
    </row>
    <row r="68" spans="1:43" ht="27" hidden="1" outlineLevel="2" x14ac:dyDescent="0.15">
      <c r="B68" s="61" t="s">
        <v>409</v>
      </c>
      <c r="T68" s="64" t="e">
        <f>GEOMEAN(T5:T26,T27:T50,T51:T53,T54:T60)</f>
        <v>#NUM!</v>
      </c>
      <c r="U68" s="64" t="e">
        <f>GEOMEAN(U5:U26,U27:U50,U51:U53,U54:U60)</f>
        <v>#NUM!</v>
      </c>
      <c r="AI68" s="64">
        <f>GEOMEAN(AI5:AI26,AI27:AI50,AI51:AI53,AI54:AI60)</f>
        <v>27.941564968415637</v>
      </c>
      <c r="AJ68" s="64">
        <f>GEOMEAN(AJ5:AJ26,AJ27:AJ50,AJ51:AJ53,AJ54:AJ60)</f>
        <v>23.698841478956894</v>
      </c>
    </row>
    <row r="69" spans="1:43" ht="27" outlineLevel="2" collapsed="1" x14ac:dyDescent="0.15">
      <c r="B69" s="61" t="s">
        <v>410</v>
      </c>
      <c r="AI69" s="8" t="e">
        <f>AI68/T68</f>
        <v>#NUM!</v>
      </c>
      <c r="AJ69" s="8" t="e">
        <f>AJ68/U68</f>
        <v>#NUM!</v>
      </c>
    </row>
  </sheetData>
  <mergeCells count="28">
    <mergeCell ref="B2:B3"/>
    <mergeCell ref="C2:C3"/>
    <mergeCell ref="D2:D3"/>
    <mergeCell ref="E2:E3"/>
    <mergeCell ref="AL2:AO2"/>
    <mergeCell ref="AP2:AP3"/>
    <mergeCell ref="AQ2:AQ3"/>
    <mergeCell ref="X2:X3"/>
    <mergeCell ref="Y2:AB2"/>
    <mergeCell ref="AC2:AC3"/>
    <mergeCell ref="AD2:AD3"/>
    <mergeCell ref="AE2:AH2"/>
    <mergeCell ref="A1:F1"/>
    <mergeCell ref="H1:U1"/>
    <mergeCell ref="W1:AJ1"/>
    <mergeCell ref="AI2:AI3"/>
    <mergeCell ref="AJ2:AJ3"/>
    <mergeCell ref="O2:O3"/>
    <mergeCell ref="P2:S2"/>
    <mergeCell ref="T2:T3"/>
    <mergeCell ref="U2:U3"/>
    <mergeCell ref="W2:W3"/>
    <mergeCell ref="F2:F3"/>
    <mergeCell ref="H2:H3"/>
    <mergeCell ref="I2:I3"/>
    <mergeCell ref="J2:M2"/>
    <mergeCell ref="N2:N3"/>
    <mergeCell ref="A2:A3"/>
  </mergeCells>
  <phoneticPr fontId="2" type="noConversion"/>
  <conditionalFormatting sqref="AL5 AL6 AL7 AL8 AL9 AL10 AL11 AL12 AL13 AL14 AL15 AL16 AL17 AL18 AL19 AL20 AL21 AL22 AL23 AL24 AL25 AL26 AL27 AL28 AL29 AL30 AL31 AL32 AL33 AL34 AL35 AL36 AL37 AL38 AL39 AL40 AL41 AL42 AL43 AL44 AL45 AL46 AL47 AL48 AL49 AL50 AL51 AL52 AL53 AL54 AL55 AL56 AL57 AL58 AL59 AL60 AL61 AL62 AL63 AL64 AL65">
    <cfRule type="cellIs" dxfId="39" priority="5" operator="greaterThanOrEqual">
      <formula>1.03</formula>
    </cfRule>
    <cfRule type="cellIs" dxfId="38" priority="6" operator="lessThanOrEqual">
      <formula>0.97</formula>
    </cfRule>
  </conditionalFormatting>
  <conditionalFormatting sqref="AM5 AM6 AM7 AM8 AM9 AM10 AM11 AM12 AM13 AM14 AM15 AM16 AM17 AM18 AM19 AM20 AM21 AM22 AM23 AM24 AM25 AM26 AM27 AM28 AM29 AM30 AM31 AM32 AM33 AM34 AM35 AM36 AM37 AM38 AM39 AM40 AM41 AM42 AM43 AM44 AM45 AM46 AM47 AM48 AM49 AM50 AM51 AM52 AM53 AM54 AM55 AM56 AM57 AM58 AM59 AM60 AM61 AM62 AM63 AM64 AM65">
    <cfRule type="cellIs" dxfId="37" priority="1" operator="greaterThanOrEqual">
      <formula>1.03</formula>
    </cfRule>
    <cfRule type="cellIs" dxfId="36" priority="2" operator="lessThanOrEqual">
      <formula>0.97</formula>
    </cfRule>
  </conditionalFormatting>
  <conditionalFormatting sqref="AN5 AN6 AN7 AN8 AN9 AN10 AN11 AN12 AN13 AN14 AN15 AN16 AN17 AN18 AN19 AN20 AN21 AN22 AN23 AN24 AN25 AN26 AN27 AN28 AN29 AN30 AN31 AN32 AN33 AN34 AN35 AN36 AN37 AN38 AN39 AN40 AN41 AN42 AN43 AN44 AN45 AN46 AN47 AN48 AN49 AN50 AN51 AN52 AN53 AN61 AN62 AN63 AN65">
    <cfRule type="cellIs" dxfId="35" priority="7" operator="greaterThanOrEqual">
      <formula>1.03</formula>
    </cfRule>
    <cfRule type="cellIs" dxfId="34" priority="8" operator="lessThanOrEqual">
      <formula>0.97</formula>
    </cfRule>
  </conditionalFormatting>
  <conditionalFormatting sqref="AO51 AO52 AO53 AO54 AO55 AO56 AO57 AO58 AO59 AO60 AO63 AO64 AO65">
    <cfRule type="cellIs" dxfId="33" priority="3" operator="greaterThanOrEqual">
      <formula>1.03</formula>
    </cfRule>
    <cfRule type="cellIs" dxfId="32" priority="4"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V293"/>
  <sheetViews>
    <sheetView tabSelected="1" zoomScale="70" zoomScaleNormal="70" workbookViewId="0">
      <pane xSplit="2" ySplit="4" topLeftCell="AS5" activePane="bottomRight" state="frozen"/>
      <selection pane="topRight" activeCell="C1" sqref="C1"/>
      <selection pane="bottomLeft" activeCell="A5" sqref="A5"/>
      <selection pane="bottomRight" activeCell="U284" sqref="U284"/>
    </sheetView>
  </sheetViews>
  <sheetFormatPr defaultRowHeight="13.5" outlineLevelRow="2" x14ac:dyDescent="0.15"/>
  <cols>
    <col min="1" max="1" width="9.125"/>
    <col min="2" max="2" width="24.625" customWidth="1"/>
    <col min="3" max="3" width="9.125"/>
    <col min="4" max="5" width="10.625" customWidth="1"/>
    <col min="6" max="7" width="9.125"/>
    <col min="8" max="8" width="1.625" customWidth="1"/>
    <col min="9" max="9" width="9.125"/>
    <col min="10" max="12" width="10.625" customWidth="1"/>
    <col min="13" max="13" width="11.625" customWidth="1"/>
    <col min="14" max="14" width="12.625" customWidth="1"/>
    <col min="15" max="15" width="10.625" customWidth="1"/>
    <col min="16" max="19" width="12.625" customWidth="1"/>
    <col min="20" max="27" width="11.625" customWidth="1"/>
    <col min="28" max="29" width="9.125"/>
    <col min="30" max="30" width="1.625" customWidth="1"/>
    <col min="31" max="31" width="9.125"/>
    <col min="32" max="34" width="10.625" customWidth="1"/>
    <col min="35" max="35" width="11.625" customWidth="1"/>
    <col min="36" max="36" width="12.625" customWidth="1"/>
    <col min="37" max="37" width="10.625" customWidth="1"/>
    <col min="38" max="41" width="12.625" customWidth="1"/>
    <col min="42" max="49" width="11.625" customWidth="1"/>
    <col min="50" max="51" width="9.125"/>
    <col min="52" max="52" width="1.625" customWidth="1"/>
    <col min="53" max="54" width="9.125"/>
    <col min="55" max="55" width="1.625" customWidth="1"/>
    <col min="56" max="59" width="11.625" customWidth="1"/>
    <col min="60" max="60" width="1.625" customWidth="1"/>
    <col min="61" max="64" width="11.625" customWidth="1"/>
    <col min="65" max="65" width="1.625" customWidth="1"/>
    <col min="66" max="69" width="11.625" customWidth="1"/>
    <col min="70" max="70" width="1.625" customWidth="1"/>
    <col min="71" max="74" width="11.625" customWidth="1"/>
    <col min="75" max="75" width="1.625" customWidth="1"/>
  </cols>
  <sheetData>
    <row r="1" spans="1:74" x14ac:dyDescent="0.15">
      <c r="A1" s="90" t="s">
        <v>992</v>
      </c>
      <c r="B1" s="90"/>
      <c r="C1" s="90"/>
      <c r="D1" s="90"/>
      <c r="E1" s="90"/>
      <c r="F1" s="90"/>
      <c r="G1" s="90"/>
      <c r="I1" s="86" t="s">
        <v>990</v>
      </c>
      <c r="J1" s="86"/>
      <c r="K1" s="86"/>
      <c r="L1" s="86"/>
      <c r="M1" s="86"/>
      <c r="N1" s="86"/>
      <c r="O1" s="86"/>
      <c r="P1" s="86"/>
      <c r="Q1" s="86"/>
      <c r="R1" s="86"/>
      <c r="S1" s="86"/>
      <c r="T1" s="86"/>
      <c r="U1" s="86"/>
      <c r="V1" s="86"/>
      <c r="W1" s="86"/>
      <c r="X1" s="86"/>
      <c r="Y1" s="86"/>
      <c r="Z1" s="86"/>
      <c r="AA1" s="86"/>
      <c r="AB1" s="86"/>
      <c r="AC1" s="86"/>
      <c r="AE1" s="87" t="s">
        <v>991</v>
      </c>
      <c r="AF1" s="87"/>
      <c r="AG1" s="87"/>
      <c r="AH1" s="87"/>
      <c r="AI1" s="87"/>
      <c r="AJ1" s="87"/>
      <c r="AK1" s="87"/>
      <c r="AL1" s="87"/>
      <c r="AM1" s="87"/>
      <c r="AN1" s="87"/>
      <c r="AO1" s="87"/>
      <c r="AP1" s="87"/>
      <c r="AQ1" s="87"/>
      <c r="AR1" s="87"/>
      <c r="AS1" s="87"/>
      <c r="AT1" s="87"/>
      <c r="AU1" s="87"/>
      <c r="AV1" s="87"/>
      <c r="AW1" s="87"/>
      <c r="AX1" s="87"/>
      <c r="AY1" s="87"/>
    </row>
    <row r="2" spans="1:74" ht="30" customHeight="1" x14ac:dyDescent="0.15">
      <c r="A2" s="92" t="s">
        <v>91</v>
      </c>
      <c r="B2" s="91" t="s">
        <v>94</v>
      </c>
      <c r="C2" s="92" t="s">
        <v>97</v>
      </c>
      <c r="D2" s="91" t="s">
        <v>100</v>
      </c>
      <c r="E2" s="92" t="s">
        <v>103</v>
      </c>
      <c r="F2" s="91" t="s">
        <v>106</v>
      </c>
      <c r="G2" s="92" t="s">
        <v>109</v>
      </c>
      <c r="I2" s="91" t="s">
        <v>112</v>
      </c>
      <c r="J2" s="89" t="s">
        <v>115</v>
      </c>
      <c r="K2" s="89"/>
      <c r="L2" s="89"/>
      <c r="M2" s="89"/>
      <c r="N2" s="91" t="s">
        <v>128</v>
      </c>
      <c r="O2" s="92" t="s">
        <v>22</v>
      </c>
      <c r="P2" s="88" t="s">
        <v>133</v>
      </c>
      <c r="Q2" s="88"/>
      <c r="R2" s="88"/>
      <c r="S2" s="88"/>
      <c r="T2" s="89" t="s">
        <v>143</v>
      </c>
      <c r="U2" s="89"/>
      <c r="V2" s="89"/>
      <c r="W2" s="89"/>
      <c r="X2" s="88" t="s">
        <v>805</v>
      </c>
      <c r="Y2" s="88"/>
      <c r="Z2" s="88"/>
      <c r="AA2" s="88"/>
      <c r="AB2" s="92" t="s">
        <v>155</v>
      </c>
      <c r="AC2" s="91" t="s">
        <v>158</v>
      </c>
      <c r="AE2" s="92" t="s">
        <v>112</v>
      </c>
      <c r="AF2" s="88" t="s">
        <v>115</v>
      </c>
      <c r="AG2" s="88"/>
      <c r="AH2" s="88"/>
      <c r="AI2" s="88"/>
      <c r="AJ2" s="92" t="s">
        <v>128</v>
      </c>
      <c r="AK2" s="91" t="s">
        <v>22</v>
      </c>
      <c r="AL2" s="89" t="s">
        <v>133</v>
      </c>
      <c r="AM2" s="89"/>
      <c r="AN2" s="89"/>
      <c r="AO2" s="89"/>
      <c r="AP2" s="88" t="s">
        <v>143</v>
      </c>
      <c r="AQ2" s="88"/>
      <c r="AR2" s="88"/>
      <c r="AS2" s="88"/>
      <c r="AT2" s="89" t="s">
        <v>805</v>
      </c>
      <c r="AU2" s="89"/>
      <c r="AV2" s="89"/>
      <c r="AW2" s="89"/>
      <c r="AX2" s="91" t="s">
        <v>155</v>
      </c>
      <c r="AY2" s="92" t="s">
        <v>158</v>
      </c>
      <c r="BA2" s="91" t="s">
        <v>195</v>
      </c>
      <c r="BB2" s="92" t="s">
        <v>195</v>
      </c>
      <c r="BD2" s="88" t="s">
        <v>200</v>
      </c>
      <c r="BE2" s="88"/>
      <c r="BF2" s="88"/>
      <c r="BG2" s="88"/>
      <c r="BI2" s="89" t="s">
        <v>847</v>
      </c>
      <c r="BJ2" s="89"/>
      <c r="BK2" s="89"/>
      <c r="BL2" s="89"/>
      <c r="BN2" s="88" t="s">
        <v>209</v>
      </c>
      <c r="BO2" s="88"/>
      <c r="BP2" s="88"/>
      <c r="BQ2" s="88"/>
      <c r="BS2" s="89" t="s">
        <v>860</v>
      </c>
      <c r="BT2" s="89"/>
      <c r="BU2" s="89"/>
      <c r="BV2" s="89"/>
    </row>
    <row r="3" spans="1:74" ht="27" x14ac:dyDescent="0.15">
      <c r="A3" s="92"/>
      <c r="B3" s="91"/>
      <c r="C3" s="92"/>
      <c r="D3" s="91"/>
      <c r="E3" s="92"/>
      <c r="F3" s="91"/>
      <c r="G3" s="92"/>
      <c r="I3" s="91"/>
      <c r="J3" s="12" t="s">
        <v>116</v>
      </c>
      <c r="K3" s="12" t="s">
        <v>119</v>
      </c>
      <c r="L3" s="12" t="s">
        <v>122</v>
      </c>
      <c r="M3" s="12" t="s">
        <v>125</v>
      </c>
      <c r="N3" s="91"/>
      <c r="O3" s="92"/>
      <c r="P3" s="13" t="s">
        <v>116</v>
      </c>
      <c r="Q3" s="13" t="s">
        <v>119</v>
      </c>
      <c r="R3" s="13" t="s">
        <v>138</v>
      </c>
      <c r="S3" s="13" t="s">
        <v>125</v>
      </c>
      <c r="T3" s="12" t="s">
        <v>144</v>
      </c>
      <c r="U3" s="12" t="s">
        <v>147</v>
      </c>
      <c r="V3" s="12" t="s">
        <v>150</v>
      </c>
      <c r="W3" s="12" t="s">
        <v>125</v>
      </c>
      <c r="X3" s="13" t="s">
        <v>144</v>
      </c>
      <c r="Y3" s="13" t="s">
        <v>147</v>
      </c>
      <c r="Z3" s="13" t="s">
        <v>150</v>
      </c>
      <c r="AA3" s="13" t="s">
        <v>125</v>
      </c>
      <c r="AB3" s="92"/>
      <c r="AC3" s="91"/>
      <c r="AE3" s="92"/>
      <c r="AF3" s="13" t="s">
        <v>116</v>
      </c>
      <c r="AG3" s="13" t="s">
        <v>119</v>
      </c>
      <c r="AH3" s="13" t="s">
        <v>122</v>
      </c>
      <c r="AI3" s="13" t="s">
        <v>125</v>
      </c>
      <c r="AJ3" s="92"/>
      <c r="AK3" s="91"/>
      <c r="AL3" s="12" t="s">
        <v>116</v>
      </c>
      <c r="AM3" s="12" t="s">
        <v>119</v>
      </c>
      <c r="AN3" s="12" t="s">
        <v>138</v>
      </c>
      <c r="AO3" s="12" t="s">
        <v>125</v>
      </c>
      <c r="AP3" s="13" t="s">
        <v>144</v>
      </c>
      <c r="AQ3" s="13" t="s">
        <v>147</v>
      </c>
      <c r="AR3" s="13" t="s">
        <v>150</v>
      </c>
      <c r="AS3" s="13" t="s">
        <v>125</v>
      </c>
      <c r="AT3" s="12" t="s">
        <v>144</v>
      </c>
      <c r="AU3" s="12" t="s">
        <v>147</v>
      </c>
      <c r="AV3" s="12" t="s">
        <v>150</v>
      </c>
      <c r="AW3" s="12" t="s">
        <v>125</v>
      </c>
      <c r="AX3" s="91"/>
      <c r="AY3" s="92"/>
      <c r="BA3" s="91"/>
      <c r="BB3" s="92"/>
      <c r="BD3" s="13" t="s">
        <v>144</v>
      </c>
      <c r="BE3" s="13" t="s">
        <v>147</v>
      </c>
      <c r="BF3" s="13" t="s">
        <v>150</v>
      </c>
      <c r="BG3" s="13" t="s">
        <v>125</v>
      </c>
      <c r="BI3" s="12" t="s">
        <v>144</v>
      </c>
      <c r="BJ3" s="12" t="s">
        <v>147</v>
      </c>
      <c r="BK3" s="12" t="s">
        <v>150</v>
      </c>
      <c r="BL3" s="12" t="s">
        <v>125</v>
      </c>
      <c r="BN3" s="13" t="s">
        <v>144</v>
      </c>
      <c r="BO3" s="13" t="s">
        <v>147</v>
      </c>
      <c r="BP3" s="13" t="s">
        <v>150</v>
      </c>
      <c r="BQ3" s="13" t="s">
        <v>125</v>
      </c>
      <c r="BS3" s="12" t="s">
        <v>144</v>
      </c>
      <c r="BT3" s="12" t="s">
        <v>147</v>
      </c>
      <c r="BU3" s="12" t="s">
        <v>150</v>
      </c>
      <c r="BV3" s="12" t="s">
        <v>125</v>
      </c>
    </row>
    <row r="4" spans="1:74" ht="91.5" hidden="1" x14ac:dyDescent="0.15">
      <c r="A4" s="14" t="s">
        <v>92</v>
      </c>
      <c r="B4" s="15" t="s">
        <v>95</v>
      </c>
      <c r="C4" s="14" t="s">
        <v>98</v>
      </c>
      <c r="D4" s="15" t="s">
        <v>101</v>
      </c>
      <c r="E4" s="14" t="s">
        <v>104</v>
      </c>
      <c r="F4" s="15" t="s">
        <v>107</v>
      </c>
      <c r="G4" s="14" t="s">
        <v>110</v>
      </c>
      <c r="I4" s="15" t="s">
        <v>113</v>
      </c>
      <c r="J4" s="14" t="s">
        <v>117</v>
      </c>
      <c r="K4" s="14" t="s">
        <v>120</v>
      </c>
      <c r="L4" s="14" t="s">
        <v>123</v>
      </c>
      <c r="M4" s="14" t="s">
        <v>126</v>
      </c>
      <c r="N4" s="15" t="s">
        <v>129</v>
      </c>
      <c r="O4" s="14" t="s">
        <v>131</v>
      </c>
      <c r="P4" s="15" t="s">
        <v>134</v>
      </c>
      <c r="Q4" s="15" t="s">
        <v>136</v>
      </c>
      <c r="R4" s="15" t="s">
        <v>139</v>
      </c>
      <c r="S4" s="15" t="s">
        <v>141</v>
      </c>
      <c r="T4" s="14" t="s">
        <v>145</v>
      </c>
      <c r="U4" s="14" t="s">
        <v>148</v>
      </c>
      <c r="V4" s="14" t="s">
        <v>151</v>
      </c>
      <c r="W4" s="14" t="s">
        <v>153</v>
      </c>
      <c r="X4" s="15" t="s">
        <v>806</v>
      </c>
      <c r="Y4" s="15" t="s">
        <v>808</v>
      </c>
      <c r="Z4" s="15" t="s">
        <v>810</v>
      </c>
      <c r="AA4" s="15" t="s">
        <v>812</v>
      </c>
      <c r="AB4" s="14" t="s">
        <v>156</v>
      </c>
      <c r="AC4" s="15" t="s">
        <v>159</v>
      </c>
      <c r="AE4" s="14" t="s">
        <v>161</v>
      </c>
      <c r="AF4" s="15" t="s">
        <v>163</v>
      </c>
      <c r="AG4" s="15" t="s">
        <v>165</v>
      </c>
      <c r="AH4" s="15" t="s">
        <v>167</v>
      </c>
      <c r="AI4" s="15" t="s">
        <v>169</v>
      </c>
      <c r="AJ4" s="14" t="s">
        <v>171</v>
      </c>
      <c r="AK4" s="15" t="s">
        <v>173</v>
      </c>
      <c r="AL4" s="14" t="s">
        <v>175</v>
      </c>
      <c r="AM4" s="14" t="s">
        <v>177</v>
      </c>
      <c r="AN4" s="14" t="s">
        <v>179</v>
      </c>
      <c r="AO4" s="14" t="s">
        <v>181</v>
      </c>
      <c r="AP4" s="15" t="s">
        <v>183</v>
      </c>
      <c r="AQ4" s="15" t="s">
        <v>185</v>
      </c>
      <c r="AR4" s="15" t="s">
        <v>187</v>
      </c>
      <c r="AS4" s="15" t="s">
        <v>189</v>
      </c>
      <c r="AT4" s="14" t="s">
        <v>831</v>
      </c>
      <c r="AU4" s="14" t="s">
        <v>833</v>
      </c>
      <c r="AV4" s="14" t="s">
        <v>835</v>
      </c>
      <c r="AW4" s="14" t="s">
        <v>837</v>
      </c>
      <c r="AX4" s="15" t="s">
        <v>191</v>
      </c>
      <c r="AY4" s="14" t="s">
        <v>193</v>
      </c>
      <c r="BA4" s="15" t="s">
        <v>196</v>
      </c>
      <c r="BB4" s="14" t="s">
        <v>198</v>
      </c>
      <c r="BD4" s="15" t="s">
        <v>201</v>
      </c>
      <c r="BE4" s="15" t="s">
        <v>203</v>
      </c>
      <c r="BF4" s="15" t="s">
        <v>205</v>
      </c>
      <c r="BG4" s="15" t="s">
        <v>207</v>
      </c>
      <c r="BI4" s="14" t="s">
        <v>848</v>
      </c>
      <c r="BJ4" s="14" t="s">
        <v>850</v>
      </c>
      <c r="BK4" s="14" t="s">
        <v>852</v>
      </c>
      <c r="BL4" s="14" t="s">
        <v>854</v>
      </c>
      <c r="BN4" s="15" t="s">
        <v>210</v>
      </c>
      <c r="BO4" s="15" t="s">
        <v>212</v>
      </c>
      <c r="BP4" s="15" t="s">
        <v>214</v>
      </c>
      <c r="BQ4" s="15" t="s">
        <v>216</v>
      </c>
      <c r="BS4" s="14" t="s">
        <v>861</v>
      </c>
      <c r="BT4" s="14" t="s">
        <v>863</v>
      </c>
      <c r="BU4" s="14" t="s">
        <v>865</v>
      </c>
      <c r="BV4" s="14" t="s">
        <v>867</v>
      </c>
    </row>
    <row r="5" spans="1:74" x14ac:dyDescent="0.15">
      <c r="A5" s="16" t="s">
        <v>224</v>
      </c>
      <c r="B5" s="16" t="s">
        <v>223</v>
      </c>
      <c r="C5" s="17" t="s">
        <v>225</v>
      </c>
      <c r="D5" s="16">
        <v>2925514</v>
      </c>
      <c r="E5" s="18">
        <v>11</v>
      </c>
      <c r="F5" s="17">
        <v>1</v>
      </c>
      <c r="G5" s="17"/>
      <c r="I5" s="19" t="str">
        <f t="shared" ref="I5:I68" si="0">IF(OR(ISBLANK(P5),ISBLANK(G5)),"·",P5*G5/F5/1000000)</f>
        <v>·</v>
      </c>
      <c r="J5" s="20">
        <f t="shared" ref="J5:J68" si="1">IF(ISBLANK(P5),"·",P5/D5)</f>
        <v>5.0693696902493031</v>
      </c>
      <c r="K5" s="20">
        <f t="shared" ref="K5:K68" si="2">IF(Q5="","·",Q5/D5)</f>
        <v>0.89312715645865992</v>
      </c>
      <c r="L5" s="20">
        <f t="shared" ref="L5:L68" si="3">IF(ISBLANK(R5),"·",R5/D5)</f>
        <v>4.1759198554510419</v>
      </c>
      <c r="M5" s="21"/>
      <c r="N5" s="20">
        <f t="shared" ref="N5:N68" si="4">IF(ISBLANK(P5),"·",P5/O5)</f>
        <v>5.0693696902493031</v>
      </c>
      <c r="O5" s="22">
        <v>2925514</v>
      </c>
      <c r="P5" s="23">
        <v>14830512</v>
      </c>
      <c r="Q5" s="23">
        <v>2612856</v>
      </c>
      <c r="R5" s="23">
        <v>12216712</v>
      </c>
      <c r="S5" s="24"/>
      <c r="T5" s="25">
        <v>52.663499999999999</v>
      </c>
      <c r="U5" s="25">
        <v>56.465400000000002</v>
      </c>
      <c r="V5" s="25">
        <v>56.251600000000003</v>
      </c>
      <c r="W5" s="26"/>
      <c r="X5" s="25">
        <v>48.130800000000001</v>
      </c>
      <c r="Y5" s="25">
        <v>48.130800000000001</v>
      </c>
      <c r="Z5" s="25">
        <v>48.130800000000001</v>
      </c>
      <c r="AA5" s="26"/>
      <c r="AB5" s="27"/>
      <c r="AC5" s="27"/>
      <c r="AE5" s="19" t="str">
        <f t="shared" ref="AE5:AE68" si="5">IF(OR(ISBLANK(AL5),ISBLANK(G5)),"·",AL5*G5/F5/1000000)</f>
        <v>·</v>
      </c>
      <c r="AF5" s="20">
        <f t="shared" ref="AF5:AF68" si="6">IF(ISBLANK(AL5),"·",AL5/D5)</f>
        <v>5.0772616367585321</v>
      </c>
      <c r="AG5" s="20">
        <f t="shared" ref="AG5:AG68" si="7">IF(AM5="","·",AM5/D5)</f>
        <v>0.89312715645865992</v>
      </c>
      <c r="AH5" s="20">
        <f t="shared" ref="AH5:AH68" si="8">IF(ISBLANK(AN5),"·",AN5/D5)</f>
        <v>4.183811801960271</v>
      </c>
      <c r="AI5" s="21"/>
      <c r="AJ5" s="20">
        <f t="shared" ref="AJ5:AJ68" si="9">IF(ISBLANK(AL5),"·",AL5/AK5)</f>
        <v>5.0772616367585321</v>
      </c>
      <c r="AK5" s="22">
        <v>2925514</v>
      </c>
      <c r="AL5" s="23">
        <v>14853600</v>
      </c>
      <c r="AM5" s="23">
        <v>2612856</v>
      </c>
      <c r="AN5" s="23">
        <v>12239800</v>
      </c>
      <c r="AO5" s="24"/>
      <c r="AP5" s="25">
        <v>52.661799999999999</v>
      </c>
      <c r="AQ5" s="25">
        <v>56.471600000000002</v>
      </c>
      <c r="AR5" s="25">
        <v>56.250500000000002</v>
      </c>
      <c r="AS5" s="26"/>
      <c r="AT5" s="25">
        <v>48.130800000000001</v>
      </c>
      <c r="AU5" s="25">
        <v>48.130800000000001</v>
      </c>
      <c r="AV5" s="25">
        <v>48.130800000000001</v>
      </c>
      <c r="AW5" s="26"/>
      <c r="AX5" s="27">
        <v>8.0340000000000007</v>
      </c>
      <c r="AY5" s="27">
        <v>6.1459999999999999</v>
      </c>
      <c r="BA5" s="28">
        <f t="shared" ref="BA5:BA68" si="10">(AM5/AL5) - (Q5/P5)</f>
        <v>-2.7385074089028572E-4</v>
      </c>
      <c r="BB5" s="28">
        <f t="array" ref="BB5">AVERAGE(AM5:AM9/AL5:AL9) - AVERAGE(Q5:Q9/P5:P9)</f>
        <v>2.9883028624391184E-3</v>
      </c>
      <c r="BD5" s="29">
        <f>IF( OR(ISBLANK(R5:R9),ISBLANK(AN5:AN9), ISBLANK(T5:T9),ISBLANK(AP5:AP9)), "·", bdRateExtend( R5:R9,T5:T9, AN5:AN9,AP5:AP9))</f>
        <v>-2.9095705371764313E-2</v>
      </c>
      <c r="BE5" s="29">
        <f>IF( OR(ISBLANK(R5:R9),ISBLANK(AN5:AN9), ISBLANK(U5:U9),ISBLANK(AQ5:AQ9)), "·", bdRateExtend( R5:R9,U5:U9, AN5:AN9,AQ5:AQ9))</f>
        <v>-1.4715029785120959E-2</v>
      </c>
      <c r="BF5" s="29">
        <f>IF( OR(ISBLANK(R5:R9),ISBLANK(AN5:AN9), ISBLANK(V5:V9),ISBLANK(AR5:AR9)), "·", bdRateExtend( R5:R9,V5:V9, AN5:AN9,AR5:AR9))</f>
        <v>-2.1128035757792429E-2</v>
      </c>
      <c r="BG5" s="30"/>
      <c r="BI5" s="29">
        <f>IF( OR(ISBLANK(R5:R9),ISBLANK(AN5:AN9), ISBLANK(X5:X9),ISBLANK(AT5:AT9)), "·", bdRateExtend( R5:R9,X5:X9, AN5:AN9,AT5:AT9))</f>
        <v>-1.5601541638981753E-2</v>
      </c>
      <c r="BJ5" s="29">
        <f>IF( OR(ISBLANK(R5:R9),ISBLANK(AN5:AN9), ISBLANK(Y5:Y9),ISBLANK(AU5:AU9)), "·", bdRateExtend( R5:R9,Y5:Y9, AN5:AN9,AU5:AU9))</f>
        <v>-1.5601541638981753E-2</v>
      </c>
      <c r="BK5" s="29">
        <f>IF( OR(ISBLANK(R5:R9),ISBLANK(AN5:AN9), ISBLANK(Z5:Z9),ISBLANK(AV5:AV9)), "·", bdRateExtend( R5:R9,Z5:Z9, AN5:AN9,AV5:AV9))</f>
        <v>-1.5601541638981753E-2</v>
      </c>
      <c r="BL5" s="30"/>
      <c r="BN5" s="29">
        <f>IF( OR(ISBLANK(P5:P9),ISBLANK(AL5:AL9), ISBLANK(T5:T9),ISBLANK(AP5:AP9)), "·", bdRateExtend( P5:P9,T5:T9, AL5:AL9,AP5:AP9))</f>
        <v>-7.8684919796879749E-3</v>
      </c>
      <c r="BO5" s="29">
        <f>IF( OR(ISBLANK(P5:P9),ISBLANK(AL5:AL9), ISBLANK(U5:U9),ISBLANK(AQ5:AQ9)), "·", bdRateExtend( P5:P9,U5:U9, AL5:AL9,AQ5:AQ9))</f>
        <v>-2.0312894980035745E-3</v>
      </c>
      <c r="BP5" s="29">
        <f>IF( OR(ISBLANK(P5:P9),ISBLANK(AL5:AL9), ISBLANK(V5:V9),ISBLANK(AR5:AR9)), "·", bdRateExtend( P5:P9,V5:V9, AL5:AL9,AR5:AR9))</f>
        <v>-3.0028288307981654E-3</v>
      </c>
      <c r="BQ5" s="30"/>
      <c r="BS5" s="29">
        <f>IF( OR(ISBLANK(P5:P9),ISBLANK(AL5:AL9), ISBLANK(X5:X9),ISBLANK(AT5:AT9)), "·", bdRateExtend( P5:P9,X5:X9, AL5:AL9,AT5:AT9))</f>
        <v>-4.1730738026513059E-3</v>
      </c>
      <c r="BT5" s="29">
        <f>IF( OR(ISBLANK(P5:P9),ISBLANK(AL5:AL9), ISBLANK(Y5:Y9),ISBLANK(AU5:AU9)), "·", bdRateExtend( P5:P9,Y5:Y9, AL5:AL9,AU5:AU9))</f>
        <v>-4.1730738026513059E-3</v>
      </c>
      <c r="BU5" s="29">
        <f>IF( OR(ISBLANK(P5:P9),ISBLANK(AL5:AL9), ISBLANK(Z5:Z9),ISBLANK(AV5:AV9)), "·", bdRateExtend( P5:P9,Z5:Z9, AL5:AL9,AV5:AV9))</f>
        <v>-4.1730738026513059E-3</v>
      </c>
      <c r="BV5" s="30"/>
    </row>
    <row r="6" spans="1:74" outlineLevel="1" x14ac:dyDescent="0.15">
      <c r="A6" s="31"/>
      <c r="B6" s="31" t="s">
        <v>223</v>
      </c>
      <c r="C6" s="32" t="s">
        <v>226</v>
      </c>
      <c r="D6" s="31">
        <v>2925514</v>
      </c>
      <c r="E6" s="33">
        <v>11</v>
      </c>
      <c r="F6" s="32">
        <v>1</v>
      </c>
      <c r="G6" s="32"/>
      <c r="I6" s="34" t="str">
        <f t="shared" si="0"/>
        <v>·</v>
      </c>
      <c r="J6" s="35">
        <f t="shared" si="1"/>
        <v>3.5273473311014749</v>
      </c>
      <c r="K6" s="35">
        <f t="shared" si="2"/>
        <v>0.89312715645865992</v>
      </c>
      <c r="L6" s="35">
        <f t="shared" si="3"/>
        <v>2.6338974963032138</v>
      </c>
      <c r="M6" s="36"/>
      <c r="N6" s="35">
        <f t="shared" si="4"/>
        <v>3.5273473311014749</v>
      </c>
      <c r="O6" s="37">
        <v>2925514</v>
      </c>
      <c r="P6" s="38">
        <v>10319304</v>
      </c>
      <c r="Q6" s="38">
        <v>2612856</v>
      </c>
      <c r="R6" s="38">
        <v>7705504</v>
      </c>
      <c r="S6" s="39"/>
      <c r="T6" s="40">
        <v>48.121099999999998</v>
      </c>
      <c r="U6" s="40">
        <v>51.726999999999997</v>
      </c>
      <c r="V6" s="40">
        <v>52.2605</v>
      </c>
      <c r="W6" s="41"/>
      <c r="X6" s="40">
        <v>42.110199999999999</v>
      </c>
      <c r="Y6" s="40">
        <v>42.110199999999999</v>
      </c>
      <c r="Z6" s="40">
        <v>42.110199999999999</v>
      </c>
      <c r="AA6" s="41"/>
      <c r="AB6" s="42"/>
      <c r="AC6" s="42"/>
      <c r="AE6" s="34" t="str">
        <f t="shared" si="5"/>
        <v>·</v>
      </c>
      <c r="AF6" s="35">
        <f t="shared" si="6"/>
        <v>3.5281020702686776</v>
      </c>
      <c r="AG6" s="35">
        <f t="shared" si="7"/>
        <v>0.89312715645865992</v>
      </c>
      <c r="AH6" s="35">
        <f t="shared" si="8"/>
        <v>2.6346522354704165</v>
      </c>
      <c r="AI6" s="36"/>
      <c r="AJ6" s="35">
        <f t="shared" si="9"/>
        <v>3.5281020702686776</v>
      </c>
      <c r="AK6" s="37">
        <v>2925514</v>
      </c>
      <c r="AL6" s="38">
        <v>10321512</v>
      </c>
      <c r="AM6" s="38">
        <v>2612856</v>
      </c>
      <c r="AN6" s="38">
        <v>7707712</v>
      </c>
      <c r="AO6" s="39"/>
      <c r="AP6" s="40">
        <v>48.1355</v>
      </c>
      <c r="AQ6" s="40">
        <v>51.713000000000001</v>
      </c>
      <c r="AR6" s="40">
        <v>52.2346</v>
      </c>
      <c r="AS6" s="41"/>
      <c r="AT6" s="40">
        <v>42.110199999999999</v>
      </c>
      <c r="AU6" s="40">
        <v>42.110199999999999</v>
      </c>
      <c r="AV6" s="40">
        <v>42.110199999999999</v>
      </c>
      <c r="AW6" s="41"/>
      <c r="AX6" s="42">
        <v>8.0489999999999995</v>
      </c>
      <c r="AY6" s="42">
        <v>6.1769999999999996</v>
      </c>
      <c r="BA6" s="43">
        <f t="shared" si="10"/>
        <v>-5.4165257992899729E-5</v>
      </c>
      <c r="BB6" s="43"/>
      <c r="BD6" s="44"/>
      <c r="BE6" s="44"/>
      <c r="BF6" s="44"/>
      <c r="BG6" s="45"/>
      <c r="BI6" s="44"/>
      <c r="BJ6" s="44"/>
      <c r="BK6" s="44"/>
      <c r="BL6" s="45"/>
      <c r="BN6" s="44"/>
      <c r="BO6" s="44"/>
      <c r="BP6" s="44"/>
      <c r="BQ6" s="45"/>
      <c r="BS6" s="44"/>
      <c r="BT6" s="44"/>
      <c r="BU6" s="44"/>
      <c r="BV6" s="45"/>
    </row>
    <row r="7" spans="1:74" outlineLevel="1" x14ac:dyDescent="0.15">
      <c r="A7" s="16"/>
      <c r="B7" s="16" t="s">
        <v>223</v>
      </c>
      <c r="C7" s="17" t="s">
        <v>227</v>
      </c>
      <c r="D7" s="16">
        <v>2925514</v>
      </c>
      <c r="E7" s="18">
        <v>11</v>
      </c>
      <c r="F7" s="17">
        <v>1</v>
      </c>
      <c r="G7" s="17"/>
      <c r="I7" s="19" t="str">
        <f t="shared" si="0"/>
        <v>·</v>
      </c>
      <c r="J7" s="20">
        <f t="shared" si="1"/>
        <v>1.9524746762449265</v>
      </c>
      <c r="K7" s="20">
        <f t="shared" si="2"/>
        <v>0.89312715645865992</v>
      </c>
      <c r="L7" s="20">
        <f t="shared" si="3"/>
        <v>1.0590248414466654</v>
      </c>
      <c r="M7" s="21"/>
      <c r="N7" s="20">
        <f t="shared" si="4"/>
        <v>1.9524746762449265</v>
      </c>
      <c r="O7" s="22">
        <v>2925514</v>
      </c>
      <c r="P7" s="23">
        <v>5711992</v>
      </c>
      <c r="Q7" s="23">
        <v>2612856</v>
      </c>
      <c r="R7" s="23">
        <v>3098192</v>
      </c>
      <c r="S7" s="24"/>
      <c r="T7" s="25">
        <v>41.509900000000002</v>
      </c>
      <c r="U7" s="25">
        <v>46.295299999999997</v>
      </c>
      <c r="V7" s="25">
        <v>47.761899999999997</v>
      </c>
      <c r="W7" s="26"/>
      <c r="X7" s="25">
        <v>34.151400000000002</v>
      </c>
      <c r="Y7" s="25">
        <v>34.151400000000002</v>
      </c>
      <c r="Z7" s="25">
        <v>34.151400000000002</v>
      </c>
      <c r="AA7" s="26"/>
      <c r="AB7" s="27"/>
      <c r="AC7" s="27"/>
      <c r="AE7" s="19" t="str">
        <f t="shared" si="5"/>
        <v>·</v>
      </c>
      <c r="AF7" s="20">
        <f t="shared" si="6"/>
        <v>1.9404152569428825</v>
      </c>
      <c r="AG7" s="20">
        <f t="shared" si="7"/>
        <v>0.89312715645865992</v>
      </c>
      <c r="AH7" s="20">
        <f t="shared" si="8"/>
        <v>1.0469654221446214</v>
      </c>
      <c r="AI7" s="21"/>
      <c r="AJ7" s="20">
        <f t="shared" si="9"/>
        <v>1.9404152569428825</v>
      </c>
      <c r="AK7" s="22">
        <v>2925514</v>
      </c>
      <c r="AL7" s="23">
        <v>5676712</v>
      </c>
      <c r="AM7" s="23">
        <v>2612856</v>
      </c>
      <c r="AN7" s="23">
        <v>3062912</v>
      </c>
      <c r="AO7" s="24"/>
      <c r="AP7" s="25">
        <v>41.527799999999999</v>
      </c>
      <c r="AQ7" s="25">
        <v>46.286099999999998</v>
      </c>
      <c r="AR7" s="25">
        <v>47.758600000000001</v>
      </c>
      <c r="AS7" s="26"/>
      <c r="AT7" s="25">
        <v>34.151400000000002</v>
      </c>
      <c r="AU7" s="25">
        <v>34.151400000000002</v>
      </c>
      <c r="AV7" s="25">
        <v>34.151400000000002</v>
      </c>
      <c r="AW7" s="26"/>
      <c r="AX7" s="27">
        <v>7.9089999999999998</v>
      </c>
      <c r="AY7" s="27">
        <v>6.7080000000000002</v>
      </c>
      <c r="BA7" s="28">
        <f t="shared" si="10"/>
        <v>2.8428870159145636E-3</v>
      </c>
      <c r="BB7" s="28"/>
      <c r="BD7" s="29"/>
      <c r="BE7" s="29"/>
      <c r="BF7" s="29"/>
      <c r="BG7" s="30"/>
      <c r="BI7" s="29"/>
      <c r="BJ7" s="29"/>
      <c r="BK7" s="29"/>
      <c r="BL7" s="30"/>
      <c r="BN7" s="29"/>
      <c r="BO7" s="29"/>
      <c r="BP7" s="29"/>
      <c r="BQ7" s="30"/>
      <c r="BS7" s="29"/>
      <c r="BT7" s="29"/>
      <c r="BU7" s="29"/>
      <c r="BV7" s="30"/>
    </row>
    <row r="8" spans="1:74" outlineLevel="1" x14ac:dyDescent="0.15">
      <c r="A8" s="31"/>
      <c r="B8" s="31" t="s">
        <v>223</v>
      </c>
      <c r="C8" s="32" t="s">
        <v>228</v>
      </c>
      <c r="D8" s="31">
        <v>2925514</v>
      </c>
      <c r="E8" s="33">
        <v>11</v>
      </c>
      <c r="F8" s="32">
        <v>1</v>
      </c>
      <c r="G8" s="32"/>
      <c r="I8" s="34" t="str">
        <f t="shared" si="0"/>
        <v>·</v>
      </c>
      <c r="J8" s="35">
        <f t="shared" si="1"/>
        <v>1.2972216164407349</v>
      </c>
      <c r="K8" s="35">
        <f t="shared" si="2"/>
        <v>0.89312715645865992</v>
      </c>
      <c r="L8" s="35">
        <f t="shared" si="3"/>
        <v>0.40377178164247379</v>
      </c>
      <c r="M8" s="36"/>
      <c r="N8" s="35">
        <f t="shared" si="4"/>
        <v>1.2972216164407349</v>
      </c>
      <c r="O8" s="37">
        <v>2925514</v>
      </c>
      <c r="P8" s="38">
        <v>3795040</v>
      </c>
      <c r="Q8" s="38">
        <v>2612856</v>
      </c>
      <c r="R8" s="38">
        <v>1181240</v>
      </c>
      <c r="S8" s="39"/>
      <c r="T8" s="40">
        <v>36.183700000000002</v>
      </c>
      <c r="U8" s="40">
        <v>41.981900000000003</v>
      </c>
      <c r="V8" s="40">
        <v>43.149900000000002</v>
      </c>
      <c r="W8" s="41"/>
      <c r="X8" s="40">
        <v>28.130800000000001</v>
      </c>
      <c r="Y8" s="40">
        <v>28.130800000000001</v>
      </c>
      <c r="Z8" s="40">
        <v>28.130800000000001</v>
      </c>
      <c r="AA8" s="41"/>
      <c r="AB8" s="42"/>
      <c r="AC8" s="42"/>
      <c r="AE8" s="34" t="str">
        <f t="shared" si="5"/>
        <v>·</v>
      </c>
      <c r="AF8" s="35">
        <f t="shared" si="6"/>
        <v>1.287393599893899</v>
      </c>
      <c r="AG8" s="35">
        <f t="shared" si="7"/>
        <v>0.89312715645865992</v>
      </c>
      <c r="AH8" s="35">
        <f t="shared" si="8"/>
        <v>0.39394376509563789</v>
      </c>
      <c r="AI8" s="36"/>
      <c r="AJ8" s="35">
        <f t="shared" si="9"/>
        <v>1.287393599893899</v>
      </c>
      <c r="AK8" s="37">
        <v>2925514</v>
      </c>
      <c r="AL8" s="38">
        <v>3766288</v>
      </c>
      <c r="AM8" s="38">
        <v>2612856</v>
      </c>
      <c r="AN8" s="38">
        <v>1152488</v>
      </c>
      <c r="AO8" s="39"/>
      <c r="AP8" s="40">
        <v>36.313400000000001</v>
      </c>
      <c r="AQ8" s="40">
        <v>41.865299999999998</v>
      </c>
      <c r="AR8" s="40">
        <v>43.042900000000003</v>
      </c>
      <c r="AS8" s="41"/>
      <c r="AT8" s="40">
        <v>28.130800000000001</v>
      </c>
      <c r="AU8" s="40">
        <v>28.130800000000001</v>
      </c>
      <c r="AV8" s="40">
        <v>28.130800000000001</v>
      </c>
      <c r="AW8" s="41"/>
      <c r="AX8" s="42">
        <v>8.08</v>
      </c>
      <c r="AY8" s="42">
        <v>6.0679999999999996</v>
      </c>
      <c r="BA8" s="43">
        <f t="shared" si="10"/>
        <v>5.2559793587252379E-3</v>
      </c>
      <c r="BB8" s="43"/>
      <c r="BD8" s="44"/>
      <c r="BE8" s="44"/>
      <c r="BF8" s="44"/>
      <c r="BG8" s="45"/>
      <c r="BI8" s="44"/>
      <c r="BJ8" s="44"/>
      <c r="BK8" s="44"/>
      <c r="BL8" s="45"/>
      <c r="BN8" s="44"/>
      <c r="BO8" s="44"/>
      <c r="BP8" s="44"/>
      <c r="BQ8" s="45"/>
      <c r="BS8" s="44"/>
      <c r="BT8" s="44"/>
      <c r="BU8" s="44"/>
      <c r="BV8" s="45"/>
    </row>
    <row r="9" spans="1:74" outlineLevel="1" x14ac:dyDescent="0.15">
      <c r="A9" s="16"/>
      <c r="B9" s="65" t="s">
        <v>223</v>
      </c>
      <c r="C9" s="67" t="s">
        <v>229</v>
      </c>
      <c r="D9" s="65">
        <v>2925514</v>
      </c>
      <c r="E9" s="66">
        <v>11</v>
      </c>
      <c r="F9" s="67">
        <v>1</v>
      </c>
      <c r="G9" s="67"/>
      <c r="I9" s="69" t="str">
        <f t="shared" si="0"/>
        <v>·</v>
      </c>
      <c r="J9" s="70">
        <f t="shared" si="1"/>
        <v>1.0157968821889076</v>
      </c>
      <c r="K9" s="70">
        <f t="shared" si="2"/>
        <v>0.89312715645865992</v>
      </c>
      <c r="L9" s="70">
        <f t="shared" si="3"/>
        <v>0.12234704739064657</v>
      </c>
      <c r="M9" s="75"/>
      <c r="N9" s="70">
        <f t="shared" si="4"/>
        <v>1.0157968821889076</v>
      </c>
      <c r="O9" s="71">
        <v>2925514</v>
      </c>
      <c r="P9" s="72">
        <v>2971728</v>
      </c>
      <c r="Q9" s="72">
        <v>2612856</v>
      </c>
      <c r="R9" s="72">
        <v>357928</v>
      </c>
      <c r="S9" s="76"/>
      <c r="T9" s="77">
        <v>29.854500000000002</v>
      </c>
      <c r="U9" s="77">
        <v>36.003100000000003</v>
      </c>
      <c r="V9" s="77">
        <v>38.9574</v>
      </c>
      <c r="W9" s="78"/>
      <c r="X9" s="77">
        <v>21.686399999999999</v>
      </c>
      <c r="Y9" s="77">
        <v>21.686399999999999</v>
      </c>
      <c r="Z9" s="77">
        <v>21.686399999999999</v>
      </c>
      <c r="AA9" s="78"/>
      <c r="AB9" s="73"/>
      <c r="AC9" s="73"/>
      <c r="AE9" s="69" t="str">
        <f t="shared" si="5"/>
        <v>·</v>
      </c>
      <c r="AF9" s="70">
        <f t="shared" si="6"/>
        <v>1.0075795227778777</v>
      </c>
      <c r="AG9" s="70">
        <f t="shared" si="7"/>
        <v>0.89312715645865992</v>
      </c>
      <c r="AH9" s="70">
        <f t="shared" si="8"/>
        <v>0.11412968797961658</v>
      </c>
      <c r="AI9" s="75"/>
      <c r="AJ9" s="70">
        <f t="shared" si="9"/>
        <v>1.0075795227778777</v>
      </c>
      <c r="AK9" s="71">
        <v>2925514</v>
      </c>
      <c r="AL9" s="72">
        <v>2947688</v>
      </c>
      <c r="AM9" s="72">
        <v>2612856</v>
      </c>
      <c r="AN9" s="72">
        <v>333888</v>
      </c>
      <c r="AO9" s="76"/>
      <c r="AP9" s="77">
        <v>30.033799999999999</v>
      </c>
      <c r="AQ9" s="77">
        <v>36.320799999999998</v>
      </c>
      <c r="AR9" s="77">
        <v>39.594099999999997</v>
      </c>
      <c r="AS9" s="78"/>
      <c r="AT9" s="77">
        <v>21.686399999999999</v>
      </c>
      <c r="AU9" s="77">
        <v>21.686399999999999</v>
      </c>
      <c r="AV9" s="77">
        <v>21.686399999999999</v>
      </c>
      <c r="AW9" s="78"/>
      <c r="AX9" s="73">
        <v>7.7370000000000001</v>
      </c>
      <c r="AY9" s="73">
        <v>6.1619999999999999</v>
      </c>
      <c r="BA9" s="68">
        <f t="shared" si="10"/>
        <v>7.1706639364387259E-3</v>
      </c>
      <c r="BB9" s="68"/>
      <c r="BD9" s="74"/>
      <c r="BE9" s="74"/>
      <c r="BF9" s="74"/>
      <c r="BG9" s="79"/>
      <c r="BI9" s="74"/>
      <c r="BJ9" s="74"/>
      <c r="BK9" s="74"/>
      <c r="BL9" s="79"/>
      <c r="BN9" s="74"/>
      <c r="BO9" s="74"/>
      <c r="BP9" s="74"/>
      <c r="BQ9" s="79"/>
      <c r="BS9" s="74"/>
      <c r="BT9" s="74"/>
      <c r="BU9" s="74"/>
      <c r="BV9" s="79"/>
    </row>
    <row r="10" spans="1:74" x14ac:dyDescent="0.15">
      <c r="A10" s="31"/>
      <c r="B10" s="31" t="s">
        <v>233</v>
      </c>
      <c r="C10" s="32" t="s">
        <v>225</v>
      </c>
      <c r="D10" s="31">
        <v>3493085</v>
      </c>
      <c r="E10" s="33">
        <v>12</v>
      </c>
      <c r="F10" s="32">
        <v>1</v>
      </c>
      <c r="G10" s="32"/>
      <c r="I10" s="34" t="str">
        <f t="shared" si="0"/>
        <v>·</v>
      </c>
      <c r="J10" s="35">
        <f t="shared" si="1"/>
        <v>6.5095764918403072</v>
      </c>
      <c r="K10" s="35">
        <f t="shared" si="2"/>
        <v>3.5692277743026581</v>
      </c>
      <c r="L10" s="35">
        <f t="shared" si="3"/>
        <v>2.9401082424275389</v>
      </c>
      <c r="M10" s="36"/>
      <c r="N10" s="35">
        <f t="shared" si="4"/>
        <v>6.5095764918403072</v>
      </c>
      <c r="O10" s="37">
        <v>3493085</v>
      </c>
      <c r="P10" s="38">
        <v>22738504</v>
      </c>
      <c r="Q10" s="38">
        <v>12467616</v>
      </c>
      <c r="R10" s="38">
        <v>10270048</v>
      </c>
      <c r="S10" s="39"/>
      <c r="T10" s="40">
        <v>52.548099999999998</v>
      </c>
      <c r="U10" s="40">
        <v>56.719700000000003</v>
      </c>
      <c r="V10" s="40">
        <v>56.473799999999997</v>
      </c>
      <c r="W10" s="41"/>
      <c r="X10" s="40">
        <v>48.130800000000001</v>
      </c>
      <c r="Y10" s="40">
        <v>48.130800000000001</v>
      </c>
      <c r="Z10" s="40">
        <v>48.130800000000001</v>
      </c>
      <c r="AA10" s="41"/>
      <c r="AB10" s="42"/>
      <c r="AC10" s="42"/>
      <c r="AE10" s="34" t="str">
        <f t="shared" si="5"/>
        <v>·</v>
      </c>
      <c r="AF10" s="35">
        <f t="shared" si="6"/>
        <v>6.4110664355433666</v>
      </c>
      <c r="AG10" s="35">
        <f t="shared" si="7"/>
        <v>3.5692277743026581</v>
      </c>
      <c r="AH10" s="35">
        <f t="shared" si="8"/>
        <v>2.8415981861305979</v>
      </c>
      <c r="AI10" s="36"/>
      <c r="AJ10" s="35">
        <f t="shared" si="9"/>
        <v>6.4110664355433666</v>
      </c>
      <c r="AK10" s="37">
        <v>3493085</v>
      </c>
      <c r="AL10" s="38">
        <v>22394400</v>
      </c>
      <c r="AM10" s="38">
        <v>12467616</v>
      </c>
      <c r="AN10" s="38">
        <v>9925944</v>
      </c>
      <c r="AO10" s="39"/>
      <c r="AP10" s="40">
        <v>52.538899999999998</v>
      </c>
      <c r="AQ10" s="40">
        <v>56.757100000000001</v>
      </c>
      <c r="AR10" s="40">
        <v>56.5197</v>
      </c>
      <c r="AS10" s="41"/>
      <c r="AT10" s="40">
        <v>48.130800000000001</v>
      </c>
      <c r="AU10" s="40">
        <v>48.130800000000001</v>
      </c>
      <c r="AV10" s="40">
        <v>48.130800000000001</v>
      </c>
      <c r="AW10" s="41"/>
      <c r="AX10" s="42">
        <v>12.651</v>
      </c>
      <c r="AY10" s="42">
        <v>11.169</v>
      </c>
      <c r="BA10" s="43">
        <f t="shared" si="10"/>
        <v>8.4250370448573086E-3</v>
      </c>
      <c r="BB10" s="43">
        <f t="array" ref="BB10">AVERAGE(AM10:AM14/AL10:AL14) - AVERAGE(Q10:Q14/P10:P14)</f>
        <v>7.1337869390591946E-3</v>
      </c>
      <c r="BD10" s="44">
        <f>IF( OR(ISBLANK(R10:R14),ISBLANK(AN10:AN14), ISBLANK(T10:T14),ISBLANK(AP10:AP14)), "·", bdRateExtend( R10:R14,T10:T14, AN10:AN14,AP10:AP14))</f>
        <v>-9.3818442327766371E-2</v>
      </c>
      <c r="BE10" s="44">
        <f>IF( OR(ISBLANK(R10:R14),ISBLANK(AN10:AN14), ISBLANK(U10:U14),ISBLANK(AQ10:AQ14)), "·", bdRateExtend( R10:R14,U10:U14, AN10:AN14,AQ10:AQ14))</f>
        <v>-6.7259316666626656E-2</v>
      </c>
      <c r="BF10" s="44">
        <f>IF( OR(ISBLANK(R10:R14),ISBLANK(AN10:AN14), ISBLANK(V10:V14),ISBLANK(AR10:AR14)), "·", bdRateExtend( R10:R14,V10:V14, AN10:AN14,AR10:AR14))</f>
        <v>-8.4423798096221025E-2</v>
      </c>
      <c r="BG10" s="45"/>
      <c r="BI10" s="44">
        <f>IF( OR(ISBLANK(R10:R14),ISBLANK(AN10:AN14), ISBLANK(X10:X14),ISBLANK(AT10:AT14)), "·", bdRateExtend( R10:R14,X10:X14, AN10:AN14,AT10:AT14))</f>
        <v>-6.8428211864941191E-2</v>
      </c>
      <c r="BJ10" s="44">
        <f>IF( OR(ISBLANK(R10:R14),ISBLANK(AN10:AN14), ISBLANK(Y10:Y14),ISBLANK(AU10:AU14)), "·", bdRateExtend( R10:R14,Y10:Y14, AN10:AN14,AU10:AU14))</f>
        <v>-6.8428211864941191E-2</v>
      </c>
      <c r="BK10" s="44">
        <f>IF( OR(ISBLANK(R10:R14),ISBLANK(AN10:AN14), ISBLANK(Z10:Z14),ISBLANK(AV10:AV14)), "·", bdRateExtend( R10:R14,Z10:Z14, AN10:AN14,AV10:AV14))</f>
        <v>-6.8428211864941191E-2</v>
      </c>
      <c r="BL10" s="45"/>
      <c r="BN10" s="44">
        <f>IF( OR(ISBLANK(P10:P14),ISBLANK(AL10:AL14), ISBLANK(T10:T14),ISBLANK(AP10:AP14)), "·", bdRateExtend( P10:P14,T10:T14, AL10:AL14,AP10:AP14))</f>
        <v>-1.2235233646432087E-2</v>
      </c>
      <c r="BO10" s="44">
        <f>IF( OR(ISBLANK(P10:P14),ISBLANK(AL10:AL14), ISBLANK(U10:U14),ISBLANK(AQ10:AQ14)), "·", bdRateExtend( P10:P14,U10:U14, AL10:AL14,AQ10:AQ14))</f>
        <v>-1.1476466342430491E-2</v>
      </c>
      <c r="BP10" s="44">
        <f>IF( OR(ISBLANK(P10:P14),ISBLANK(AL10:AL14), ISBLANK(V10:V14),ISBLANK(AR10:AR14)), "·", bdRateExtend( P10:P14,V10:V14, AL10:AL14,AR10:AR14))</f>
        <v>-1.2793278603223546E-2</v>
      </c>
      <c r="BQ10" s="45"/>
      <c r="BS10" s="44">
        <f>IF( OR(ISBLANK(P10:P14),ISBLANK(AL10:AL14), ISBLANK(X10:X14),ISBLANK(AT10:AT14)), "·", bdRateExtend( P10:P14,X10:X14, AL10:AL14,AT10:AT14))</f>
        <v>-1.0658787778118461E-2</v>
      </c>
      <c r="BT10" s="44">
        <f>IF( OR(ISBLANK(P10:P14),ISBLANK(AL10:AL14), ISBLANK(Y10:Y14),ISBLANK(AU10:AU14)), "·", bdRateExtend( P10:P14,Y10:Y14, AL10:AL14,AU10:AU14))</f>
        <v>-1.0658787778118461E-2</v>
      </c>
      <c r="BU10" s="44">
        <f>IF( OR(ISBLANK(P10:P14),ISBLANK(AL10:AL14), ISBLANK(Z10:Z14),ISBLANK(AV10:AV14)), "·", bdRateExtend( P10:P14,Z10:Z14, AL10:AL14,AV10:AV14))</f>
        <v>-1.0658787778118461E-2</v>
      </c>
      <c r="BV10" s="45"/>
    </row>
    <row r="11" spans="1:74" outlineLevel="1" x14ac:dyDescent="0.15">
      <c r="A11" s="16"/>
      <c r="B11" s="16" t="s">
        <v>233</v>
      </c>
      <c r="C11" s="17" t="s">
        <v>226</v>
      </c>
      <c r="D11" s="16">
        <v>3493085</v>
      </c>
      <c r="E11" s="18">
        <v>12</v>
      </c>
      <c r="F11" s="17">
        <v>1</v>
      </c>
      <c r="G11" s="17"/>
      <c r="I11" s="19" t="str">
        <f t="shared" si="0"/>
        <v>·</v>
      </c>
      <c r="J11" s="20">
        <f t="shared" si="1"/>
        <v>5.3844827709603402</v>
      </c>
      <c r="K11" s="20">
        <f t="shared" si="2"/>
        <v>3.5692277743026581</v>
      </c>
      <c r="L11" s="20">
        <f t="shared" si="3"/>
        <v>1.8150145215475719</v>
      </c>
      <c r="M11" s="21"/>
      <c r="N11" s="20">
        <f t="shared" si="4"/>
        <v>5.3844827709603402</v>
      </c>
      <c r="O11" s="22">
        <v>3493085</v>
      </c>
      <c r="P11" s="23">
        <v>18808456</v>
      </c>
      <c r="Q11" s="23">
        <v>12467616</v>
      </c>
      <c r="R11" s="23">
        <v>6340000</v>
      </c>
      <c r="S11" s="24"/>
      <c r="T11" s="25">
        <v>47.896599999999999</v>
      </c>
      <c r="U11" s="25">
        <v>52.764400000000002</v>
      </c>
      <c r="V11" s="25">
        <v>52.598999999999997</v>
      </c>
      <c r="W11" s="26"/>
      <c r="X11" s="25">
        <v>42.110199999999999</v>
      </c>
      <c r="Y11" s="25">
        <v>42.110199999999999</v>
      </c>
      <c r="Z11" s="25">
        <v>42.110199999999999</v>
      </c>
      <c r="AA11" s="26"/>
      <c r="AB11" s="27"/>
      <c r="AC11" s="27"/>
      <c r="AE11" s="19" t="str">
        <f t="shared" si="5"/>
        <v>·</v>
      </c>
      <c r="AF11" s="20">
        <f t="shared" si="6"/>
        <v>5.2936931108175154</v>
      </c>
      <c r="AG11" s="20">
        <f t="shared" si="7"/>
        <v>3.5692277743026581</v>
      </c>
      <c r="AH11" s="20">
        <f t="shared" si="8"/>
        <v>1.7242248614047468</v>
      </c>
      <c r="AI11" s="21"/>
      <c r="AJ11" s="20">
        <f t="shared" si="9"/>
        <v>5.2936931108175154</v>
      </c>
      <c r="AK11" s="22">
        <v>3493085</v>
      </c>
      <c r="AL11" s="23">
        <v>18491320</v>
      </c>
      <c r="AM11" s="23">
        <v>12467616</v>
      </c>
      <c r="AN11" s="23">
        <v>6022864</v>
      </c>
      <c r="AO11" s="24"/>
      <c r="AP11" s="25">
        <v>47.946399999999997</v>
      </c>
      <c r="AQ11" s="25">
        <v>52.868400000000001</v>
      </c>
      <c r="AR11" s="25">
        <v>52.7087</v>
      </c>
      <c r="AS11" s="26"/>
      <c r="AT11" s="25">
        <v>42.110199999999999</v>
      </c>
      <c r="AU11" s="25">
        <v>42.110199999999999</v>
      </c>
      <c r="AV11" s="25">
        <v>42.110199999999999</v>
      </c>
      <c r="AW11" s="26"/>
      <c r="AX11" s="27">
        <v>11.7</v>
      </c>
      <c r="AY11" s="27">
        <v>9.7810000000000006</v>
      </c>
      <c r="BA11" s="28">
        <f t="shared" si="10"/>
        <v>1.1368623972644487E-2</v>
      </c>
      <c r="BB11" s="28"/>
      <c r="BD11" s="29"/>
      <c r="BE11" s="29"/>
      <c r="BF11" s="29"/>
      <c r="BG11" s="30"/>
      <c r="BI11" s="29"/>
      <c r="BJ11" s="29"/>
      <c r="BK11" s="29"/>
      <c r="BL11" s="30"/>
      <c r="BN11" s="29"/>
      <c r="BO11" s="29"/>
      <c r="BP11" s="29"/>
      <c r="BQ11" s="30"/>
      <c r="BS11" s="29"/>
      <c r="BT11" s="29"/>
      <c r="BU11" s="29"/>
      <c r="BV11" s="30"/>
    </row>
    <row r="12" spans="1:74" outlineLevel="1" x14ac:dyDescent="0.15">
      <c r="A12" s="31"/>
      <c r="B12" s="31" t="s">
        <v>233</v>
      </c>
      <c r="C12" s="32" t="s">
        <v>227</v>
      </c>
      <c r="D12" s="31">
        <v>3493085</v>
      </c>
      <c r="E12" s="33">
        <v>12</v>
      </c>
      <c r="F12" s="32">
        <v>1</v>
      </c>
      <c r="G12" s="32"/>
      <c r="I12" s="34" t="str">
        <f t="shared" si="0"/>
        <v>·</v>
      </c>
      <c r="J12" s="35">
        <f t="shared" si="1"/>
        <v>4.2257843711218017</v>
      </c>
      <c r="K12" s="35">
        <f t="shared" si="2"/>
        <v>3.5692277743026581</v>
      </c>
      <c r="L12" s="35">
        <f t="shared" si="3"/>
        <v>0.65631612170903375</v>
      </c>
      <c r="M12" s="36"/>
      <c r="N12" s="35">
        <f t="shared" si="4"/>
        <v>4.2257843711218017</v>
      </c>
      <c r="O12" s="37">
        <v>3493085</v>
      </c>
      <c r="P12" s="38">
        <v>14761024</v>
      </c>
      <c r="Q12" s="38">
        <v>12467616</v>
      </c>
      <c r="R12" s="38">
        <v>2292568</v>
      </c>
      <c r="S12" s="39"/>
      <c r="T12" s="40">
        <v>41.229199999999999</v>
      </c>
      <c r="U12" s="40">
        <v>48.2926</v>
      </c>
      <c r="V12" s="40">
        <v>48.255000000000003</v>
      </c>
      <c r="W12" s="41"/>
      <c r="X12" s="40">
        <v>34.151400000000002</v>
      </c>
      <c r="Y12" s="40">
        <v>34.151400000000002</v>
      </c>
      <c r="Z12" s="40">
        <v>34.151400000000002</v>
      </c>
      <c r="AA12" s="41"/>
      <c r="AB12" s="42"/>
      <c r="AC12" s="42"/>
      <c r="AE12" s="34" t="str">
        <f t="shared" si="5"/>
        <v>·</v>
      </c>
      <c r="AF12" s="35">
        <f t="shared" si="6"/>
        <v>4.1794848965885461</v>
      </c>
      <c r="AG12" s="35">
        <f t="shared" si="7"/>
        <v>3.5692277743026581</v>
      </c>
      <c r="AH12" s="35">
        <f t="shared" si="8"/>
        <v>0.6100166471757773</v>
      </c>
      <c r="AI12" s="36"/>
      <c r="AJ12" s="35">
        <f t="shared" si="9"/>
        <v>4.1794848965885461</v>
      </c>
      <c r="AK12" s="37">
        <v>3493085</v>
      </c>
      <c r="AL12" s="38">
        <v>14599296</v>
      </c>
      <c r="AM12" s="38">
        <v>12467616</v>
      </c>
      <c r="AN12" s="38">
        <v>2130840</v>
      </c>
      <c r="AO12" s="39"/>
      <c r="AP12" s="40">
        <v>41.314300000000003</v>
      </c>
      <c r="AQ12" s="40">
        <v>48.356900000000003</v>
      </c>
      <c r="AR12" s="40">
        <v>48.383800000000001</v>
      </c>
      <c r="AS12" s="41"/>
      <c r="AT12" s="40">
        <v>34.151400000000002</v>
      </c>
      <c r="AU12" s="40">
        <v>34.151400000000002</v>
      </c>
      <c r="AV12" s="40">
        <v>34.151400000000002</v>
      </c>
      <c r="AW12" s="41"/>
      <c r="AX12" s="42">
        <v>12.667</v>
      </c>
      <c r="AY12" s="42">
        <v>10.888</v>
      </c>
      <c r="BA12" s="43">
        <f t="shared" si="10"/>
        <v>9.3566467445904689E-3</v>
      </c>
      <c r="BB12" s="43"/>
      <c r="BD12" s="44"/>
      <c r="BE12" s="44"/>
      <c r="BF12" s="44"/>
      <c r="BG12" s="45"/>
      <c r="BI12" s="44"/>
      <c r="BJ12" s="44"/>
      <c r="BK12" s="44"/>
      <c r="BL12" s="45"/>
      <c r="BN12" s="44"/>
      <c r="BO12" s="44"/>
      <c r="BP12" s="44"/>
      <c r="BQ12" s="45"/>
      <c r="BS12" s="44"/>
      <c r="BT12" s="44"/>
      <c r="BU12" s="44"/>
      <c r="BV12" s="45"/>
    </row>
    <row r="13" spans="1:74" outlineLevel="1" x14ac:dyDescent="0.15">
      <c r="A13" s="16"/>
      <c r="B13" s="16" t="s">
        <v>233</v>
      </c>
      <c r="C13" s="17" t="s">
        <v>228</v>
      </c>
      <c r="D13" s="16">
        <v>3493085</v>
      </c>
      <c r="E13" s="18">
        <v>12</v>
      </c>
      <c r="F13" s="17">
        <v>1</v>
      </c>
      <c r="G13" s="17"/>
      <c r="I13" s="19" t="str">
        <f t="shared" si="0"/>
        <v>·</v>
      </c>
      <c r="J13" s="20">
        <f t="shared" si="1"/>
        <v>3.7966027165099048</v>
      </c>
      <c r="K13" s="20">
        <f t="shared" si="2"/>
        <v>3.5692277743026581</v>
      </c>
      <c r="L13" s="20">
        <f t="shared" si="3"/>
        <v>0.22713446709713619</v>
      </c>
      <c r="M13" s="21"/>
      <c r="N13" s="20">
        <f t="shared" si="4"/>
        <v>3.7966027165099048</v>
      </c>
      <c r="O13" s="22">
        <v>3493085</v>
      </c>
      <c r="P13" s="23">
        <v>13261856</v>
      </c>
      <c r="Q13" s="23">
        <v>12467616</v>
      </c>
      <c r="R13" s="23">
        <v>793400</v>
      </c>
      <c r="S13" s="24"/>
      <c r="T13" s="25">
        <v>35.9497</v>
      </c>
      <c r="U13" s="25">
        <v>43.976900000000001</v>
      </c>
      <c r="V13" s="25">
        <v>43.933799999999998</v>
      </c>
      <c r="W13" s="26"/>
      <c r="X13" s="25">
        <v>28.130800000000001</v>
      </c>
      <c r="Y13" s="25">
        <v>28.130800000000001</v>
      </c>
      <c r="Z13" s="25">
        <v>28.130800000000001</v>
      </c>
      <c r="AA13" s="26"/>
      <c r="AB13" s="27"/>
      <c r="AC13" s="27"/>
      <c r="AE13" s="19" t="str">
        <f t="shared" si="5"/>
        <v>·</v>
      </c>
      <c r="AF13" s="20">
        <f t="shared" si="6"/>
        <v>3.7776303754417655</v>
      </c>
      <c r="AG13" s="20">
        <f t="shared" si="7"/>
        <v>3.5692277743026581</v>
      </c>
      <c r="AH13" s="20">
        <f t="shared" si="8"/>
        <v>0.20816212602899728</v>
      </c>
      <c r="AI13" s="21"/>
      <c r="AJ13" s="20">
        <f t="shared" si="9"/>
        <v>3.7776303754417655</v>
      </c>
      <c r="AK13" s="22">
        <v>3493085</v>
      </c>
      <c r="AL13" s="23">
        <v>13195584</v>
      </c>
      <c r="AM13" s="23">
        <v>12467616</v>
      </c>
      <c r="AN13" s="23">
        <v>727128</v>
      </c>
      <c r="AO13" s="24"/>
      <c r="AP13" s="25">
        <v>36.170299999999997</v>
      </c>
      <c r="AQ13" s="25">
        <v>43.914200000000001</v>
      </c>
      <c r="AR13" s="25">
        <v>43.9223</v>
      </c>
      <c r="AS13" s="26"/>
      <c r="AT13" s="25">
        <v>28.130800000000001</v>
      </c>
      <c r="AU13" s="25">
        <v>28.130800000000001</v>
      </c>
      <c r="AV13" s="25">
        <v>28.130800000000001</v>
      </c>
      <c r="AW13" s="26"/>
      <c r="AX13" s="27">
        <v>11.792999999999999</v>
      </c>
      <c r="AY13" s="27">
        <v>11.278</v>
      </c>
      <c r="BA13" s="28">
        <f t="shared" si="10"/>
        <v>4.7215062754254467E-3</v>
      </c>
      <c r="BB13" s="28"/>
      <c r="BD13" s="29"/>
      <c r="BE13" s="29"/>
      <c r="BF13" s="29"/>
      <c r="BG13" s="30"/>
      <c r="BI13" s="29"/>
      <c r="BJ13" s="29"/>
      <c r="BK13" s="29"/>
      <c r="BL13" s="30"/>
      <c r="BN13" s="29"/>
      <c r="BO13" s="29"/>
      <c r="BP13" s="29"/>
      <c r="BQ13" s="30"/>
      <c r="BS13" s="29"/>
      <c r="BT13" s="29"/>
      <c r="BU13" s="29"/>
      <c r="BV13" s="30"/>
    </row>
    <row r="14" spans="1:74" outlineLevel="1" x14ac:dyDescent="0.15">
      <c r="A14" s="31"/>
      <c r="B14" s="46" t="s">
        <v>233</v>
      </c>
      <c r="C14" s="47" t="s">
        <v>229</v>
      </c>
      <c r="D14" s="46">
        <v>3493085</v>
      </c>
      <c r="E14" s="48">
        <v>12</v>
      </c>
      <c r="F14" s="47">
        <v>1</v>
      </c>
      <c r="G14" s="47"/>
      <c r="I14" s="49" t="str">
        <f t="shared" si="0"/>
        <v>·</v>
      </c>
      <c r="J14" s="50">
        <f t="shared" si="1"/>
        <v>3.6314902156689572</v>
      </c>
      <c r="K14" s="50">
        <f t="shared" si="2"/>
        <v>3.5692277743026581</v>
      </c>
      <c r="L14" s="50">
        <f t="shared" si="3"/>
        <v>6.2021966256189012E-2</v>
      </c>
      <c r="M14" s="51"/>
      <c r="N14" s="50">
        <f t="shared" si="4"/>
        <v>3.6314902156689572</v>
      </c>
      <c r="O14" s="52">
        <v>3493085</v>
      </c>
      <c r="P14" s="53">
        <v>12685104</v>
      </c>
      <c r="Q14" s="53">
        <v>12467616</v>
      </c>
      <c r="R14" s="53">
        <v>216648</v>
      </c>
      <c r="S14" s="54"/>
      <c r="T14" s="55">
        <v>29.672000000000001</v>
      </c>
      <c r="U14" s="55">
        <v>38.167000000000002</v>
      </c>
      <c r="V14" s="55">
        <v>38.459400000000002</v>
      </c>
      <c r="W14" s="56"/>
      <c r="X14" s="55">
        <v>21.686399999999999</v>
      </c>
      <c r="Y14" s="55">
        <v>21.686399999999999</v>
      </c>
      <c r="Z14" s="55">
        <v>21.686399999999999</v>
      </c>
      <c r="AA14" s="56"/>
      <c r="AB14" s="57"/>
      <c r="AC14" s="57"/>
      <c r="AE14" s="49" t="str">
        <f t="shared" si="5"/>
        <v>·</v>
      </c>
      <c r="AF14" s="50">
        <f t="shared" si="6"/>
        <v>3.6248622635864858</v>
      </c>
      <c r="AG14" s="50">
        <f t="shared" si="7"/>
        <v>3.5692277743026581</v>
      </c>
      <c r="AH14" s="50">
        <f t="shared" si="8"/>
        <v>5.5394014173717504E-2</v>
      </c>
      <c r="AI14" s="51"/>
      <c r="AJ14" s="50">
        <f t="shared" si="9"/>
        <v>3.6248622635864858</v>
      </c>
      <c r="AK14" s="52">
        <v>3493085</v>
      </c>
      <c r="AL14" s="53">
        <v>12661952</v>
      </c>
      <c r="AM14" s="53">
        <v>12467616</v>
      </c>
      <c r="AN14" s="53">
        <v>193496</v>
      </c>
      <c r="AO14" s="54"/>
      <c r="AP14" s="55">
        <v>29.985900000000001</v>
      </c>
      <c r="AQ14" s="55">
        <v>37.852600000000002</v>
      </c>
      <c r="AR14" s="55">
        <v>38.567</v>
      </c>
      <c r="AS14" s="56"/>
      <c r="AT14" s="55">
        <v>21.686399999999999</v>
      </c>
      <c r="AU14" s="55">
        <v>21.686399999999999</v>
      </c>
      <c r="AV14" s="55">
        <v>21.686399999999999</v>
      </c>
      <c r="AW14" s="56"/>
      <c r="AX14" s="57">
        <v>11.263</v>
      </c>
      <c r="AY14" s="57">
        <v>9.3130000000000006</v>
      </c>
      <c r="BA14" s="58">
        <f t="shared" si="10"/>
        <v>1.7971206577781507E-3</v>
      </c>
      <c r="BB14" s="58"/>
      <c r="BD14" s="59"/>
      <c r="BE14" s="59"/>
      <c r="BF14" s="59"/>
      <c r="BG14" s="60"/>
      <c r="BI14" s="59"/>
      <c r="BJ14" s="59"/>
      <c r="BK14" s="59"/>
      <c r="BL14" s="60"/>
      <c r="BN14" s="59"/>
      <c r="BO14" s="59"/>
      <c r="BP14" s="59"/>
      <c r="BQ14" s="60"/>
      <c r="BS14" s="59"/>
      <c r="BT14" s="59"/>
      <c r="BU14" s="59"/>
      <c r="BV14" s="60"/>
    </row>
    <row r="15" spans="1:74" x14ac:dyDescent="0.15">
      <c r="A15" s="16"/>
      <c r="B15" s="16" t="s">
        <v>236</v>
      </c>
      <c r="C15" s="17" t="s">
        <v>225</v>
      </c>
      <c r="D15" s="16">
        <v>2592758</v>
      </c>
      <c r="E15" s="18">
        <v>11</v>
      </c>
      <c r="F15" s="17">
        <v>1</v>
      </c>
      <c r="G15" s="17"/>
      <c r="I15" s="19" t="str">
        <f t="shared" si="0"/>
        <v>·</v>
      </c>
      <c r="J15" s="20">
        <f t="shared" si="1"/>
        <v>5.1899328822821102</v>
      </c>
      <c r="K15" s="20">
        <f t="shared" si="2"/>
        <v>0.87847149637567412</v>
      </c>
      <c r="L15" s="20">
        <f t="shared" si="3"/>
        <v>4.3111590051983253</v>
      </c>
      <c r="M15" s="21"/>
      <c r="N15" s="20">
        <f t="shared" si="4"/>
        <v>5.1899328822821102</v>
      </c>
      <c r="O15" s="22">
        <v>2592758</v>
      </c>
      <c r="P15" s="23">
        <v>13456240</v>
      </c>
      <c r="Q15" s="23">
        <v>2277664</v>
      </c>
      <c r="R15" s="23">
        <v>11177792</v>
      </c>
      <c r="S15" s="24"/>
      <c r="T15" s="25">
        <v>52.615900000000003</v>
      </c>
      <c r="U15" s="25">
        <v>56.826999999999998</v>
      </c>
      <c r="V15" s="25">
        <v>56.240600000000001</v>
      </c>
      <c r="W15" s="26"/>
      <c r="X15" s="25">
        <v>48.130800000000001</v>
      </c>
      <c r="Y15" s="25">
        <v>48.130800000000001</v>
      </c>
      <c r="Z15" s="25">
        <v>48.130800000000001</v>
      </c>
      <c r="AA15" s="26"/>
      <c r="AB15" s="27"/>
      <c r="AC15" s="27"/>
      <c r="AE15" s="19" t="str">
        <f t="shared" si="5"/>
        <v>·</v>
      </c>
      <c r="AF15" s="20">
        <f t="shared" si="6"/>
        <v>5.1965389750991031</v>
      </c>
      <c r="AG15" s="20">
        <f t="shared" si="7"/>
        <v>0.87847149637567412</v>
      </c>
      <c r="AH15" s="20">
        <f t="shared" si="8"/>
        <v>4.3177650980153182</v>
      </c>
      <c r="AI15" s="21"/>
      <c r="AJ15" s="20">
        <f t="shared" si="9"/>
        <v>5.1965389750991031</v>
      </c>
      <c r="AK15" s="22">
        <v>2592758</v>
      </c>
      <c r="AL15" s="23">
        <v>13473368</v>
      </c>
      <c r="AM15" s="23">
        <v>2277664</v>
      </c>
      <c r="AN15" s="23">
        <v>11194920</v>
      </c>
      <c r="AO15" s="24"/>
      <c r="AP15" s="25">
        <v>52.618699999999997</v>
      </c>
      <c r="AQ15" s="25">
        <v>56.809699999999999</v>
      </c>
      <c r="AR15" s="25">
        <v>56.241500000000002</v>
      </c>
      <c r="AS15" s="26"/>
      <c r="AT15" s="25">
        <v>48.130800000000001</v>
      </c>
      <c r="AU15" s="25">
        <v>48.130800000000001</v>
      </c>
      <c r="AV15" s="25">
        <v>48.130800000000001</v>
      </c>
      <c r="AW15" s="26"/>
      <c r="AX15" s="27">
        <v>7.1130000000000004</v>
      </c>
      <c r="AY15" s="27">
        <v>4.9290000000000003</v>
      </c>
      <c r="BA15" s="28">
        <f t="shared" si="10"/>
        <v>-2.1517728104056277E-4</v>
      </c>
      <c r="BB15" s="28">
        <f t="array" ref="BB15">AVERAGE(AM15:AM19/AL15:AL19) - AVERAGE(Q15:Q19/P15:P19)</f>
        <v>2.219952798590108E-3</v>
      </c>
      <c r="BD15" s="29">
        <f>IF( OR(ISBLANK(R15:R19),ISBLANK(AN15:AN19), ISBLANK(T15:T19),ISBLANK(AP15:AP19)), "·", bdRateExtend( R15:R19,T15:T19, AN15:AN19,AP15:AP19))</f>
        <v>-2.7042494215013591E-2</v>
      </c>
      <c r="BE15" s="29">
        <f>IF( OR(ISBLANK(R15:R19),ISBLANK(AN15:AN19), ISBLANK(U15:U19),ISBLANK(AQ15:AQ19)), "·", bdRateExtend( R15:R19,U15:U19, AN15:AN19,AQ15:AQ19))</f>
        <v>-1.1818061747458697E-2</v>
      </c>
      <c r="BF15" s="29">
        <f>IF( OR(ISBLANK(R15:R19),ISBLANK(AN15:AN19), ISBLANK(V15:V19),ISBLANK(AR15:AR19)), "·", bdRateExtend( R15:R19,V15:V19, AN15:AN19,AR15:AR19))</f>
        <v>2.2008317243180864E-2</v>
      </c>
      <c r="BG15" s="30"/>
      <c r="BI15" s="29">
        <f>IF( OR(ISBLANK(R15:R19),ISBLANK(AN15:AN19), ISBLANK(X15:X19),ISBLANK(AT15:AT19)), "·", bdRateExtend( R15:R19,X15:X19, AN15:AN19,AT15:AT19))</f>
        <v>-1.1070016358257662E-2</v>
      </c>
      <c r="BJ15" s="29">
        <f>IF( OR(ISBLANK(R15:R19),ISBLANK(AN15:AN19), ISBLANK(Y15:Y19),ISBLANK(AU15:AU19)), "·", bdRateExtend( R15:R19,Y15:Y19, AN15:AN19,AU15:AU19))</f>
        <v>-1.1070016358257662E-2</v>
      </c>
      <c r="BK15" s="29">
        <f>IF( OR(ISBLANK(R15:R19),ISBLANK(AN15:AN19), ISBLANK(Z15:Z19),ISBLANK(AV15:AV19)), "·", bdRateExtend( R15:R19,Z15:Z19, AN15:AN19,AV15:AV19))</f>
        <v>-1.1070016358257662E-2</v>
      </c>
      <c r="BL15" s="30"/>
      <c r="BN15" s="29">
        <f>IF( OR(ISBLANK(P15:P19),ISBLANK(AL15:AL19), ISBLANK(T15:T19),ISBLANK(AP15:AP19)), "·", bdRateExtend( P15:P19,T15:T19, AL15:AL19,AP15:AP19))</f>
        <v>-8.6377941476694087E-3</v>
      </c>
      <c r="BO15" s="29">
        <f>IF( OR(ISBLANK(P15:P19),ISBLANK(AL15:AL19), ISBLANK(U15:U19),ISBLANK(AQ15:AQ19)), "·", bdRateExtend( P15:P19,U15:U19, AL15:AL19,AQ15:AQ19))</f>
        <v>-1.6182488228658753E-3</v>
      </c>
      <c r="BP15" s="29">
        <f>IF( OR(ISBLANK(P15:P19),ISBLANK(AL15:AL19), ISBLANK(V15:V19),ISBLANK(AR15:AR19)), "·", bdRateExtend( P15:P19,V15:V19, AL15:AL19,AR15:AR19))</f>
        <v>6.8790403285146073E-3</v>
      </c>
      <c r="BQ15" s="30"/>
      <c r="BS15" s="29">
        <f>IF( OR(ISBLANK(P15:P19),ISBLANK(AL15:AL19), ISBLANK(X15:X19),ISBLANK(AT15:AT19)), "·", bdRateExtend( P15:P19,X15:X19, AL15:AL19,AT15:AT19))</f>
        <v>-3.261925458880266E-3</v>
      </c>
      <c r="BT15" s="29">
        <f>IF( OR(ISBLANK(P15:P19),ISBLANK(AL15:AL19), ISBLANK(Y15:Y19),ISBLANK(AU15:AU19)), "·", bdRateExtend( P15:P19,Y15:Y19, AL15:AL19,AU15:AU19))</f>
        <v>-3.261925458880266E-3</v>
      </c>
      <c r="BU15" s="29">
        <f>IF( OR(ISBLANK(P15:P19),ISBLANK(AL15:AL19), ISBLANK(Z15:Z19),ISBLANK(AV15:AV19)), "·", bdRateExtend( P15:P19,Z15:Z19, AL15:AL19,AV15:AV19))</f>
        <v>-3.261925458880266E-3</v>
      </c>
      <c r="BV15" s="30"/>
    </row>
    <row r="16" spans="1:74" outlineLevel="1" x14ac:dyDescent="0.15">
      <c r="A16" s="31"/>
      <c r="B16" s="31" t="s">
        <v>236</v>
      </c>
      <c r="C16" s="32" t="s">
        <v>226</v>
      </c>
      <c r="D16" s="31">
        <v>2592758</v>
      </c>
      <c r="E16" s="33">
        <v>11</v>
      </c>
      <c r="F16" s="32">
        <v>1</v>
      </c>
      <c r="G16" s="32"/>
      <c r="I16" s="34" t="str">
        <f t="shared" si="0"/>
        <v>·</v>
      </c>
      <c r="J16" s="35">
        <f t="shared" si="1"/>
        <v>3.6548077375520585</v>
      </c>
      <c r="K16" s="35">
        <f t="shared" si="2"/>
        <v>0.87847149637567412</v>
      </c>
      <c r="L16" s="35">
        <f t="shared" si="3"/>
        <v>2.7760338604682735</v>
      </c>
      <c r="M16" s="36"/>
      <c r="N16" s="35">
        <f t="shared" si="4"/>
        <v>3.6548077375520585</v>
      </c>
      <c r="O16" s="37">
        <v>2592758</v>
      </c>
      <c r="P16" s="38">
        <v>9476032</v>
      </c>
      <c r="Q16" s="38">
        <v>2277664</v>
      </c>
      <c r="R16" s="38">
        <v>7197584</v>
      </c>
      <c r="S16" s="39"/>
      <c r="T16" s="40">
        <v>47.924500000000002</v>
      </c>
      <c r="U16" s="40">
        <v>52.084800000000001</v>
      </c>
      <c r="V16" s="40">
        <v>52.266500000000001</v>
      </c>
      <c r="W16" s="41"/>
      <c r="X16" s="40">
        <v>42.110199999999999</v>
      </c>
      <c r="Y16" s="40">
        <v>42.110199999999999</v>
      </c>
      <c r="Z16" s="40">
        <v>42.110199999999999</v>
      </c>
      <c r="AA16" s="41"/>
      <c r="AB16" s="42"/>
      <c r="AC16" s="42"/>
      <c r="AE16" s="34" t="str">
        <f t="shared" si="5"/>
        <v>·</v>
      </c>
      <c r="AF16" s="35">
        <f t="shared" si="6"/>
        <v>3.6585288715722792</v>
      </c>
      <c r="AG16" s="35">
        <f t="shared" si="7"/>
        <v>0.87847149637567412</v>
      </c>
      <c r="AH16" s="35">
        <f t="shared" si="8"/>
        <v>2.7797549944884943</v>
      </c>
      <c r="AI16" s="36"/>
      <c r="AJ16" s="35">
        <f t="shared" si="9"/>
        <v>3.6585288715722792</v>
      </c>
      <c r="AK16" s="37">
        <v>2592758</v>
      </c>
      <c r="AL16" s="38">
        <v>9485680</v>
      </c>
      <c r="AM16" s="38">
        <v>2277664</v>
      </c>
      <c r="AN16" s="38">
        <v>7207232</v>
      </c>
      <c r="AO16" s="39"/>
      <c r="AP16" s="40">
        <v>47.934399999999997</v>
      </c>
      <c r="AQ16" s="40">
        <v>52.056600000000003</v>
      </c>
      <c r="AR16" s="40">
        <v>52.244599999999998</v>
      </c>
      <c r="AS16" s="41"/>
      <c r="AT16" s="40">
        <v>42.110199999999999</v>
      </c>
      <c r="AU16" s="40">
        <v>42.110199999999999</v>
      </c>
      <c r="AV16" s="40">
        <v>42.110199999999999</v>
      </c>
      <c r="AW16" s="41"/>
      <c r="AX16" s="42">
        <v>6.8479999999999999</v>
      </c>
      <c r="AY16" s="42">
        <v>4.758</v>
      </c>
      <c r="BA16" s="43">
        <f t="shared" si="10"/>
        <v>-2.4447359791637813E-4</v>
      </c>
      <c r="BB16" s="43"/>
      <c r="BD16" s="44"/>
      <c r="BE16" s="44"/>
      <c r="BF16" s="44"/>
      <c r="BG16" s="45"/>
      <c r="BI16" s="44"/>
      <c r="BJ16" s="44"/>
      <c r="BK16" s="44"/>
      <c r="BL16" s="45"/>
      <c r="BN16" s="44"/>
      <c r="BO16" s="44"/>
      <c r="BP16" s="44"/>
      <c r="BQ16" s="45"/>
      <c r="BS16" s="44"/>
      <c r="BT16" s="44"/>
      <c r="BU16" s="44"/>
      <c r="BV16" s="45"/>
    </row>
    <row r="17" spans="1:74" outlineLevel="1" x14ac:dyDescent="0.15">
      <c r="A17" s="16"/>
      <c r="B17" s="16" t="s">
        <v>236</v>
      </c>
      <c r="C17" s="17" t="s">
        <v>227</v>
      </c>
      <c r="D17" s="16">
        <v>2592758</v>
      </c>
      <c r="E17" s="18">
        <v>11</v>
      </c>
      <c r="F17" s="17">
        <v>1</v>
      </c>
      <c r="G17" s="17"/>
      <c r="I17" s="19" t="str">
        <f t="shared" si="0"/>
        <v>·</v>
      </c>
      <c r="J17" s="20">
        <f t="shared" si="1"/>
        <v>2.0275737265105342</v>
      </c>
      <c r="K17" s="20">
        <f t="shared" si="2"/>
        <v>0.87847149637567412</v>
      </c>
      <c r="L17" s="20">
        <f t="shared" si="3"/>
        <v>1.1487998494267495</v>
      </c>
      <c r="M17" s="21"/>
      <c r="N17" s="20">
        <f t="shared" si="4"/>
        <v>2.0275737265105342</v>
      </c>
      <c r="O17" s="22">
        <v>2592758</v>
      </c>
      <c r="P17" s="23">
        <v>5257008</v>
      </c>
      <c r="Q17" s="23">
        <v>2277664</v>
      </c>
      <c r="R17" s="23">
        <v>2978560</v>
      </c>
      <c r="S17" s="24"/>
      <c r="T17" s="25">
        <v>41.264499999999998</v>
      </c>
      <c r="U17" s="25">
        <v>46.987900000000003</v>
      </c>
      <c r="V17" s="25">
        <v>48.142299999999999</v>
      </c>
      <c r="W17" s="26"/>
      <c r="X17" s="25">
        <v>34.151400000000002</v>
      </c>
      <c r="Y17" s="25">
        <v>34.151400000000002</v>
      </c>
      <c r="Z17" s="25">
        <v>34.151400000000002</v>
      </c>
      <c r="AA17" s="26"/>
      <c r="AB17" s="27"/>
      <c r="AC17" s="27"/>
      <c r="AE17" s="19" t="str">
        <f t="shared" si="5"/>
        <v>·</v>
      </c>
      <c r="AF17" s="20">
        <f t="shared" si="6"/>
        <v>2.0185516735460851</v>
      </c>
      <c r="AG17" s="20">
        <f t="shared" si="7"/>
        <v>0.87847149637567412</v>
      </c>
      <c r="AH17" s="20">
        <f t="shared" si="8"/>
        <v>1.1397777964622999</v>
      </c>
      <c r="AI17" s="21"/>
      <c r="AJ17" s="20">
        <f t="shared" si="9"/>
        <v>2.0185516735460851</v>
      </c>
      <c r="AK17" s="22">
        <v>2592758</v>
      </c>
      <c r="AL17" s="23">
        <v>5233616</v>
      </c>
      <c r="AM17" s="23">
        <v>2277664</v>
      </c>
      <c r="AN17" s="23">
        <v>2955168</v>
      </c>
      <c r="AO17" s="24"/>
      <c r="AP17" s="25">
        <v>41.335700000000003</v>
      </c>
      <c r="AQ17" s="25">
        <v>46.997999999999998</v>
      </c>
      <c r="AR17" s="25">
        <v>47.990200000000002</v>
      </c>
      <c r="AS17" s="26"/>
      <c r="AT17" s="25">
        <v>34.151400000000002</v>
      </c>
      <c r="AU17" s="25">
        <v>34.151400000000002</v>
      </c>
      <c r="AV17" s="25">
        <v>34.151400000000002</v>
      </c>
      <c r="AW17" s="26"/>
      <c r="AX17" s="27">
        <v>6.5519999999999996</v>
      </c>
      <c r="AY17" s="27">
        <v>4.758</v>
      </c>
      <c r="BA17" s="28">
        <f t="shared" si="10"/>
        <v>1.9364956261344601E-3</v>
      </c>
      <c r="BB17" s="28"/>
      <c r="BD17" s="29"/>
      <c r="BE17" s="29"/>
      <c r="BF17" s="29"/>
      <c r="BG17" s="30"/>
      <c r="BI17" s="29"/>
      <c r="BJ17" s="29"/>
      <c r="BK17" s="29"/>
      <c r="BL17" s="30"/>
      <c r="BN17" s="29"/>
      <c r="BO17" s="29"/>
      <c r="BP17" s="29"/>
      <c r="BQ17" s="30"/>
      <c r="BS17" s="29"/>
      <c r="BT17" s="29"/>
      <c r="BU17" s="29"/>
      <c r="BV17" s="30"/>
    </row>
    <row r="18" spans="1:74" outlineLevel="1" x14ac:dyDescent="0.15">
      <c r="A18" s="31"/>
      <c r="B18" s="31" t="s">
        <v>236</v>
      </c>
      <c r="C18" s="32" t="s">
        <v>228</v>
      </c>
      <c r="D18" s="31">
        <v>2592758</v>
      </c>
      <c r="E18" s="33">
        <v>11</v>
      </c>
      <c r="F18" s="32">
        <v>1</v>
      </c>
      <c r="G18" s="32"/>
      <c r="I18" s="34" t="str">
        <f t="shared" si="0"/>
        <v>·</v>
      </c>
      <c r="J18" s="35">
        <f t="shared" si="1"/>
        <v>1.3408146845945514</v>
      </c>
      <c r="K18" s="35">
        <f t="shared" si="2"/>
        <v>0.87847149637567412</v>
      </c>
      <c r="L18" s="35">
        <f t="shared" si="3"/>
        <v>0.46204080751076654</v>
      </c>
      <c r="M18" s="36"/>
      <c r="N18" s="35">
        <f t="shared" si="4"/>
        <v>1.3408146845945514</v>
      </c>
      <c r="O18" s="37">
        <v>2592758</v>
      </c>
      <c r="P18" s="38">
        <v>3476408</v>
      </c>
      <c r="Q18" s="38">
        <v>2277664</v>
      </c>
      <c r="R18" s="38">
        <v>1197960</v>
      </c>
      <c r="S18" s="39"/>
      <c r="T18" s="40">
        <v>35.802199999999999</v>
      </c>
      <c r="U18" s="40">
        <v>42.582099999999997</v>
      </c>
      <c r="V18" s="40">
        <v>44.304200000000002</v>
      </c>
      <c r="W18" s="41"/>
      <c r="X18" s="40">
        <v>28.130800000000001</v>
      </c>
      <c r="Y18" s="40">
        <v>28.130800000000001</v>
      </c>
      <c r="Z18" s="40">
        <v>28.130800000000001</v>
      </c>
      <c r="AA18" s="41"/>
      <c r="AB18" s="42"/>
      <c r="AC18" s="42"/>
      <c r="AE18" s="34" t="str">
        <f t="shared" si="5"/>
        <v>·</v>
      </c>
      <c r="AF18" s="35">
        <f t="shared" si="6"/>
        <v>1.3305923653499478</v>
      </c>
      <c r="AG18" s="35">
        <f t="shared" si="7"/>
        <v>0.87847149637567412</v>
      </c>
      <c r="AH18" s="35">
        <f t="shared" si="8"/>
        <v>0.45181848826616289</v>
      </c>
      <c r="AI18" s="36"/>
      <c r="AJ18" s="35">
        <f t="shared" si="9"/>
        <v>1.3305923653499478</v>
      </c>
      <c r="AK18" s="37">
        <v>2592758</v>
      </c>
      <c r="AL18" s="38">
        <v>3449904</v>
      </c>
      <c r="AM18" s="38">
        <v>2277664</v>
      </c>
      <c r="AN18" s="38">
        <v>1171456</v>
      </c>
      <c r="AO18" s="39"/>
      <c r="AP18" s="40">
        <v>35.957999999999998</v>
      </c>
      <c r="AQ18" s="40">
        <v>42.474400000000003</v>
      </c>
      <c r="AR18" s="40">
        <v>44.252699999999997</v>
      </c>
      <c r="AS18" s="41"/>
      <c r="AT18" s="40">
        <v>28.130800000000001</v>
      </c>
      <c r="AU18" s="40">
        <v>28.130800000000001</v>
      </c>
      <c r="AV18" s="40">
        <v>28.130800000000001</v>
      </c>
      <c r="AW18" s="41"/>
      <c r="AX18" s="42">
        <v>6.5049999999999999</v>
      </c>
      <c r="AY18" s="42">
        <v>4.6639999999999997</v>
      </c>
      <c r="BA18" s="43">
        <f t="shared" si="10"/>
        <v>5.0334218443068846E-3</v>
      </c>
      <c r="BB18" s="43"/>
      <c r="BD18" s="44"/>
      <c r="BE18" s="44"/>
      <c r="BF18" s="44"/>
      <c r="BG18" s="45"/>
      <c r="BI18" s="44"/>
      <c r="BJ18" s="44"/>
      <c r="BK18" s="44"/>
      <c r="BL18" s="45"/>
      <c r="BN18" s="44"/>
      <c r="BO18" s="44"/>
      <c r="BP18" s="44"/>
      <c r="BQ18" s="45"/>
      <c r="BS18" s="44"/>
      <c r="BT18" s="44"/>
      <c r="BU18" s="44"/>
      <c r="BV18" s="45"/>
    </row>
    <row r="19" spans="1:74" outlineLevel="1" x14ac:dyDescent="0.15">
      <c r="A19" s="16"/>
      <c r="B19" s="65" t="s">
        <v>236</v>
      </c>
      <c r="C19" s="67" t="s">
        <v>229</v>
      </c>
      <c r="D19" s="65">
        <v>2592758</v>
      </c>
      <c r="E19" s="66">
        <v>11</v>
      </c>
      <c r="F19" s="67">
        <v>1</v>
      </c>
      <c r="G19" s="67"/>
      <c r="I19" s="69" t="str">
        <f t="shared" si="0"/>
        <v>·</v>
      </c>
      <c r="J19" s="70">
        <f t="shared" si="1"/>
        <v>1.0190445849554799</v>
      </c>
      <c r="K19" s="70">
        <f t="shared" si="2"/>
        <v>0.87847149637567412</v>
      </c>
      <c r="L19" s="70">
        <f t="shared" si="3"/>
        <v>0.14027070787169493</v>
      </c>
      <c r="M19" s="75"/>
      <c r="N19" s="70">
        <f t="shared" si="4"/>
        <v>1.0190445849554799</v>
      </c>
      <c r="O19" s="71">
        <v>2592758</v>
      </c>
      <c r="P19" s="72">
        <v>2642136</v>
      </c>
      <c r="Q19" s="72">
        <v>2277664</v>
      </c>
      <c r="R19" s="72">
        <v>363688</v>
      </c>
      <c r="S19" s="76"/>
      <c r="T19" s="77">
        <v>29.4605</v>
      </c>
      <c r="U19" s="77">
        <v>38.638800000000003</v>
      </c>
      <c r="V19" s="77">
        <v>41.063499999999998</v>
      </c>
      <c r="W19" s="78"/>
      <c r="X19" s="77">
        <v>21.686399999999999</v>
      </c>
      <c r="Y19" s="77">
        <v>21.686399999999999</v>
      </c>
      <c r="Z19" s="77">
        <v>21.686399999999999</v>
      </c>
      <c r="AA19" s="78"/>
      <c r="AB19" s="73"/>
      <c r="AC19" s="73"/>
      <c r="AE19" s="69" t="str">
        <f t="shared" si="5"/>
        <v>·</v>
      </c>
      <c r="AF19" s="70">
        <f t="shared" si="6"/>
        <v>1.0136480149709306</v>
      </c>
      <c r="AG19" s="70">
        <f t="shared" si="7"/>
        <v>0.87847149637567412</v>
      </c>
      <c r="AH19" s="70">
        <f t="shared" si="8"/>
        <v>0.13487413788714567</v>
      </c>
      <c r="AI19" s="75"/>
      <c r="AJ19" s="70">
        <f t="shared" si="9"/>
        <v>1.0136480149709306</v>
      </c>
      <c r="AK19" s="71">
        <v>2592758</v>
      </c>
      <c r="AL19" s="72">
        <v>2628144</v>
      </c>
      <c r="AM19" s="72">
        <v>2277664</v>
      </c>
      <c r="AN19" s="72">
        <v>349696</v>
      </c>
      <c r="AO19" s="76"/>
      <c r="AP19" s="77">
        <v>29.647300000000001</v>
      </c>
      <c r="AQ19" s="77">
        <v>39.030500000000004</v>
      </c>
      <c r="AR19" s="77">
        <v>40.370699999999999</v>
      </c>
      <c r="AS19" s="78"/>
      <c r="AT19" s="77">
        <v>21.686399999999999</v>
      </c>
      <c r="AU19" s="77">
        <v>21.686399999999999</v>
      </c>
      <c r="AV19" s="77">
        <v>21.686399999999999</v>
      </c>
      <c r="AW19" s="78"/>
      <c r="AX19" s="73">
        <v>6.1769999999999996</v>
      </c>
      <c r="AY19" s="73">
        <v>4.742</v>
      </c>
      <c r="BA19" s="68">
        <f t="shared" si="10"/>
        <v>4.5894974014665246E-3</v>
      </c>
      <c r="BB19" s="68"/>
      <c r="BD19" s="74"/>
      <c r="BE19" s="74"/>
      <c r="BF19" s="74"/>
      <c r="BG19" s="79"/>
      <c r="BI19" s="74"/>
      <c r="BJ19" s="74"/>
      <c r="BK19" s="74"/>
      <c r="BL19" s="79"/>
      <c r="BN19" s="74"/>
      <c r="BO19" s="74"/>
      <c r="BP19" s="74"/>
      <c r="BQ19" s="79"/>
      <c r="BS19" s="74"/>
      <c r="BT19" s="74"/>
      <c r="BU19" s="74"/>
      <c r="BV19" s="79"/>
    </row>
    <row r="20" spans="1:74" x14ac:dyDescent="0.15">
      <c r="A20" s="31"/>
      <c r="B20" s="31" t="s">
        <v>239</v>
      </c>
      <c r="C20" s="32" t="s">
        <v>225</v>
      </c>
      <c r="D20" s="31">
        <v>272684</v>
      </c>
      <c r="E20" s="33">
        <v>12</v>
      </c>
      <c r="F20" s="32">
        <v>1</v>
      </c>
      <c r="G20" s="32"/>
      <c r="I20" s="34" t="str">
        <f t="shared" si="0"/>
        <v>·</v>
      </c>
      <c r="J20" s="35">
        <f t="shared" si="1"/>
        <v>17.446597526807587</v>
      </c>
      <c r="K20" s="35">
        <f t="shared" si="2"/>
        <v>11.739009256135306</v>
      </c>
      <c r="L20" s="35">
        <f t="shared" si="3"/>
        <v>5.7056813014331604</v>
      </c>
      <c r="M20" s="36"/>
      <c r="N20" s="35">
        <f t="shared" si="4"/>
        <v>17.446597526807587</v>
      </c>
      <c r="O20" s="37">
        <v>272684</v>
      </c>
      <c r="P20" s="38">
        <v>4757408</v>
      </c>
      <c r="Q20" s="38">
        <v>3201040</v>
      </c>
      <c r="R20" s="38">
        <v>1555848</v>
      </c>
      <c r="S20" s="39"/>
      <c r="T20" s="40">
        <v>52.904800000000002</v>
      </c>
      <c r="U20" s="40">
        <v>54.732900000000001</v>
      </c>
      <c r="V20" s="40">
        <v>56.292499999999997</v>
      </c>
      <c r="W20" s="41"/>
      <c r="X20" s="40">
        <v>48.130800000000001</v>
      </c>
      <c r="Y20" s="40">
        <v>48.130800000000001</v>
      </c>
      <c r="Z20" s="40">
        <v>48.130800000000001</v>
      </c>
      <c r="AA20" s="41"/>
      <c r="AB20" s="42"/>
      <c r="AC20" s="42"/>
      <c r="AE20" s="34" t="str">
        <f t="shared" si="5"/>
        <v>·</v>
      </c>
      <c r="AF20" s="35">
        <f t="shared" si="6"/>
        <v>17.412506784409793</v>
      </c>
      <c r="AG20" s="35">
        <f t="shared" si="7"/>
        <v>11.739009256135306</v>
      </c>
      <c r="AH20" s="35">
        <f t="shared" si="8"/>
        <v>5.6715905590353666</v>
      </c>
      <c r="AI20" s="36"/>
      <c r="AJ20" s="35">
        <f t="shared" si="9"/>
        <v>17.412506784409793</v>
      </c>
      <c r="AK20" s="37">
        <v>272684</v>
      </c>
      <c r="AL20" s="38">
        <v>4748112</v>
      </c>
      <c r="AM20" s="38">
        <v>3201040</v>
      </c>
      <c r="AN20" s="38">
        <v>1546552</v>
      </c>
      <c r="AO20" s="39"/>
      <c r="AP20" s="40">
        <v>52.890900000000002</v>
      </c>
      <c r="AQ20" s="40">
        <v>54.740900000000003</v>
      </c>
      <c r="AR20" s="40">
        <v>56.311100000000003</v>
      </c>
      <c r="AS20" s="41"/>
      <c r="AT20" s="40">
        <v>48.130800000000001</v>
      </c>
      <c r="AU20" s="40">
        <v>48.130800000000001</v>
      </c>
      <c r="AV20" s="40">
        <v>48.130800000000001</v>
      </c>
      <c r="AW20" s="41"/>
      <c r="AX20" s="42">
        <v>1.45</v>
      </c>
      <c r="AY20" s="42">
        <v>1.0289999999999999</v>
      </c>
      <c r="BA20" s="43">
        <f t="shared" si="10"/>
        <v>1.3173338845509086E-3</v>
      </c>
      <c r="BB20" s="43">
        <f t="array" ref="BB20">AVERAGE(AM20:AM24/AL20:AL24) - AVERAGE(Q20:Q24/P20:P24)</f>
        <v>1.4472722670803018E-3</v>
      </c>
      <c r="BD20" s="44">
        <f>IF( OR(ISBLANK(R20:R24),ISBLANK(AN20:AN24), ISBLANK(T20:T24),ISBLANK(AP20:AP24)), "·", bdRateExtend( R20:R24,T20:T24, AN20:AN24,AP20:AP24))</f>
        <v>-1.7223332844789718E-2</v>
      </c>
      <c r="BE20" s="44">
        <f>IF( OR(ISBLANK(R20:R24),ISBLANK(AN20:AN24), ISBLANK(U20:U24),ISBLANK(AQ20:AQ24)), "·", bdRateExtend( R20:R24,U20:U24, AN20:AN24,AQ20:AQ24))</f>
        <v>-2.8477232519372842E-2</v>
      </c>
      <c r="BF20" s="44">
        <f>IF( OR(ISBLANK(R20:R24),ISBLANK(AN20:AN24), ISBLANK(V20:V24),ISBLANK(AR20:AR24)), "·", bdRateExtend( R20:R24,V20:V24, AN20:AN24,AR20:AR24))</f>
        <v>-2.3393200769207145E-2</v>
      </c>
      <c r="BG20" s="45"/>
      <c r="BI20" s="44">
        <f>IF( OR(ISBLANK(R20:R24),ISBLANK(AN20:AN24), ISBLANK(X20:X24),ISBLANK(AT20:AT24)), "·", bdRateExtend( R20:R24,X20:X24, AN20:AN24,AT20:AT24))</f>
        <v>-1.691684899764756E-2</v>
      </c>
      <c r="BJ20" s="44">
        <f>IF( OR(ISBLANK(R20:R24),ISBLANK(AN20:AN24), ISBLANK(Y20:Y24),ISBLANK(AU20:AU24)), "·", bdRateExtend( R20:R24,Y20:Y24, AN20:AN24,AU20:AU24))</f>
        <v>-1.691684899764756E-2</v>
      </c>
      <c r="BK20" s="44">
        <f>IF( OR(ISBLANK(R20:R24),ISBLANK(AN20:AN24), ISBLANK(Z20:Z24),ISBLANK(AV20:AV24)), "·", bdRateExtend( R20:R24,Z20:Z24, AN20:AN24,AV20:AV24))</f>
        <v>-1.691684899764756E-2</v>
      </c>
      <c r="BL20" s="45"/>
      <c r="BN20" s="44">
        <f>IF( OR(ISBLANK(P20:P24),ISBLANK(AL20:AL24), ISBLANK(T20:T24),ISBLANK(AP20:AP24)), "·", bdRateExtend( P20:P24,T20:T24, AL20:AL24,AP20:AP24))</f>
        <v>-2.2574714630501092E-3</v>
      </c>
      <c r="BO20" s="44">
        <f>IF( OR(ISBLANK(P20:P24),ISBLANK(AL20:AL24), ISBLANK(U20:U24),ISBLANK(AQ20:AQ24)), "·", bdRateExtend( P20:P24,U20:U24, AL20:AL24,AQ20:AQ24))</f>
        <v>-2.8286512695971933E-3</v>
      </c>
      <c r="BP20" s="44">
        <f>IF( OR(ISBLANK(P20:P24),ISBLANK(AL20:AL24), ISBLANK(V20:V24),ISBLANK(AR20:AR24)), "·", bdRateExtend( P20:P24,V20:V24, AL20:AL24,AR20:AR24))</f>
        <v>-2.3763753967755985E-3</v>
      </c>
      <c r="BQ20" s="45"/>
      <c r="BS20" s="44">
        <f>IF( OR(ISBLANK(P20:P24),ISBLANK(AL20:AL24), ISBLANK(X20:X24),ISBLANK(AT20:AT24)), "·", bdRateExtend( P20:P24,X20:X24, AL20:AL24,AT20:AT24))</f>
        <v>-2.0030236362525988E-3</v>
      </c>
      <c r="BT20" s="44">
        <f>IF( OR(ISBLANK(P20:P24),ISBLANK(AL20:AL24), ISBLANK(Y20:Y24),ISBLANK(AU20:AU24)), "·", bdRateExtend( P20:P24,Y20:Y24, AL20:AL24,AU20:AU24))</f>
        <v>-2.0030236362525988E-3</v>
      </c>
      <c r="BU20" s="44">
        <f>IF( OR(ISBLANK(P20:P24),ISBLANK(AL20:AL24), ISBLANK(Z20:Z24),ISBLANK(AV20:AV24)), "·", bdRateExtend( P20:P24,Z20:Z24, AL20:AL24,AV20:AV24))</f>
        <v>-2.0030236362525988E-3</v>
      </c>
      <c r="BV20" s="45"/>
    </row>
    <row r="21" spans="1:74" outlineLevel="1" x14ac:dyDescent="0.15">
      <c r="A21" s="16"/>
      <c r="B21" s="16" t="s">
        <v>239</v>
      </c>
      <c r="C21" s="17" t="s">
        <v>226</v>
      </c>
      <c r="D21" s="16">
        <v>272684</v>
      </c>
      <c r="E21" s="18">
        <v>12</v>
      </c>
      <c r="F21" s="17">
        <v>1</v>
      </c>
      <c r="G21" s="17"/>
      <c r="I21" s="19" t="str">
        <f t="shared" si="0"/>
        <v>·</v>
      </c>
      <c r="J21" s="20">
        <f t="shared" si="1"/>
        <v>15.49817371022869</v>
      </c>
      <c r="K21" s="20">
        <f t="shared" si="2"/>
        <v>11.739009256135306</v>
      </c>
      <c r="L21" s="20">
        <f t="shared" si="3"/>
        <v>3.7572574848542635</v>
      </c>
      <c r="M21" s="21"/>
      <c r="N21" s="20">
        <f t="shared" si="4"/>
        <v>15.49817371022869</v>
      </c>
      <c r="O21" s="22">
        <v>272684</v>
      </c>
      <c r="P21" s="23">
        <v>4226104</v>
      </c>
      <c r="Q21" s="23">
        <v>3201040</v>
      </c>
      <c r="R21" s="23">
        <v>1024544</v>
      </c>
      <c r="S21" s="24"/>
      <c r="T21" s="25">
        <v>48.250100000000003</v>
      </c>
      <c r="U21" s="25">
        <v>51.239199999999997</v>
      </c>
      <c r="V21" s="25">
        <v>51.0214</v>
      </c>
      <c r="W21" s="26"/>
      <c r="X21" s="25">
        <v>42.110199999999999</v>
      </c>
      <c r="Y21" s="25">
        <v>42.110199999999999</v>
      </c>
      <c r="Z21" s="25">
        <v>42.110199999999999</v>
      </c>
      <c r="AA21" s="26"/>
      <c r="AB21" s="27"/>
      <c r="AC21" s="27"/>
      <c r="AE21" s="19" t="str">
        <f t="shared" si="5"/>
        <v>·</v>
      </c>
      <c r="AF21" s="20">
        <f t="shared" si="6"/>
        <v>15.460181015387775</v>
      </c>
      <c r="AG21" s="20">
        <f t="shared" si="7"/>
        <v>11.739009256135306</v>
      </c>
      <c r="AH21" s="20">
        <f t="shared" si="8"/>
        <v>3.7192647900133489</v>
      </c>
      <c r="AI21" s="21"/>
      <c r="AJ21" s="20">
        <f t="shared" si="9"/>
        <v>15.460181015387775</v>
      </c>
      <c r="AK21" s="22">
        <v>272684</v>
      </c>
      <c r="AL21" s="23">
        <v>4215744</v>
      </c>
      <c r="AM21" s="23">
        <v>3201040</v>
      </c>
      <c r="AN21" s="23">
        <v>1014184</v>
      </c>
      <c r="AO21" s="24"/>
      <c r="AP21" s="25">
        <v>48.249200000000002</v>
      </c>
      <c r="AQ21" s="25">
        <v>51.271099999999997</v>
      </c>
      <c r="AR21" s="25">
        <v>51.035800000000002</v>
      </c>
      <c r="AS21" s="26"/>
      <c r="AT21" s="25">
        <v>42.110199999999999</v>
      </c>
      <c r="AU21" s="25">
        <v>42.110199999999999</v>
      </c>
      <c r="AV21" s="25">
        <v>42.110199999999999</v>
      </c>
      <c r="AW21" s="26"/>
      <c r="AX21" s="27">
        <v>1.1850000000000001</v>
      </c>
      <c r="AY21" s="27">
        <v>1.107</v>
      </c>
      <c r="BA21" s="28">
        <f t="shared" si="10"/>
        <v>1.8613860102963953E-3</v>
      </c>
      <c r="BB21" s="28"/>
      <c r="BD21" s="29"/>
      <c r="BE21" s="29"/>
      <c r="BF21" s="29"/>
      <c r="BG21" s="30"/>
      <c r="BI21" s="29"/>
      <c r="BJ21" s="29"/>
      <c r="BK21" s="29"/>
      <c r="BL21" s="30"/>
      <c r="BN21" s="29"/>
      <c r="BO21" s="29"/>
      <c r="BP21" s="29"/>
      <c r="BQ21" s="30"/>
      <c r="BS21" s="29"/>
      <c r="BT21" s="29"/>
      <c r="BU21" s="29"/>
      <c r="BV21" s="30"/>
    </row>
    <row r="22" spans="1:74" outlineLevel="1" x14ac:dyDescent="0.15">
      <c r="A22" s="31"/>
      <c r="B22" s="31" t="s">
        <v>239</v>
      </c>
      <c r="C22" s="32" t="s">
        <v>227</v>
      </c>
      <c r="D22" s="31">
        <v>272684</v>
      </c>
      <c r="E22" s="33">
        <v>12</v>
      </c>
      <c r="F22" s="32">
        <v>1</v>
      </c>
      <c r="G22" s="32"/>
      <c r="I22" s="34" t="str">
        <f t="shared" si="0"/>
        <v>·</v>
      </c>
      <c r="J22" s="35">
        <f t="shared" si="1"/>
        <v>13.528743894031185</v>
      </c>
      <c r="K22" s="35">
        <f t="shared" si="2"/>
        <v>11.739009256135306</v>
      </c>
      <c r="L22" s="35">
        <f t="shared" si="3"/>
        <v>1.7878276686567602</v>
      </c>
      <c r="M22" s="36"/>
      <c r="N22" s="35">
        <f t="shared" si="4"/>
        <v>13.528743894031185</v>
      </c>
      <c r="O22" s="37">
        <v>272684</v>
      </c>
      <c r="P22" s="38">
        <v>3689072</v>
      </c>
      <c r="Q22" s="38">
        <v>3201040</v>
      </c>
      <c r="R22" s="38">
        <v>487512</v>
      </c>
      <c r="S22" s="39"/>
      <c r="T22" s="40">
        <v>41.391100000000002</v>
      </c>
      <c r="U22" s="40">
        <v>46.374899999999997</v>
      </c>
      <c r="V22" s="40">
        <v>46.107700000000001</v>
      </c>
      <c r="W22" s="41"/>
      <c r="X22" s="40">
        <v>34.151400000000002</v>
      </c>
      <c r="Y22" s="40">
        <v>34.151400000000002</v>
      </c>
      <c r="Z22" s="40">
        <v>34.151400000000002</v>
      </c>
      <c r="AA22" s="41"/>
      <c r="AB22" s="42"/>
      <c r="AC22" s="42"/>
      <c r="AE22" s="34" t="str">
        <f t="shared" si="5"/>
        <v>·</v>
      </c>
      <c r="AF22" s="35">
        <f t="shared" si="6"/>
        <v>13.498848483959454</v>
      </c>
      <c r="AG22" s="35">
        <f t="shared" si="7"/>
        <v>11.739009256135306</v>
      </c>
      <c r="AH22" s="35">
        <f t="shared" si="8"/>
        <v>1.7579322585850288</v>
      </c>
      <c r="AI22" s="36"/>
      <c r="AJ22" s="35">
        <f t="shared" si="9"/>
        <v>13.498848483959454</v>
      </c>
      <c r="AK22" s="37">
        <v>272684</v>
      </c>
      <c r="AL22" s="38">
        <v>3680920</v>
      </c>
      <c r="AM22" s="38">
        <v>3201040</v>
      </c>
      <c r="AN22" s="38">
        <v>479360</v>
      </c>
      <c r="AO22" s="39"/>
      <c r="AP22" s="40">
        <v>41.417700000000004</v>
      </c>
      <c r="AQ22" s="40">
        <v>46.423200000000001</v>
      </c>
      <c r="AR22" s="40">
        <v>46.1173</v>
      </c>
      <c r="AS22" s="41"/>
      <c r="AT22" s="40">
        <v>34.151400000000002</v>
      </c>
      <c r="AU22" s="40">
        <v>34.151400000000002</v>
      </c>
      <c r="AV22" s="40">
        <v>34.151400000000002</v>
      </c>
      <c r="AW22" s="41"/>
      <c r="AX22" s="42">
        <v>1.1539999999999999</v>
      </c>
      <c r="AY22" s="42">
        <v>1.1539999999999999</v>
      </c>
      <c r="BA22" s="43">
        <f t="shared" si="10"/>
        <v>1.9216830605279789E-3</v>
      </c>
      <c r="BB22" s="43"/>
      <c r="BD22" s="44"/>
      <c r="BE22" s="44"/>
      <c r="BF22" s="44"/>
      <c r="BG22" s="45"/>
      <c r="BI22" s="44"/>
      <c r="BJ22" s="44"/>
      <c r="BK22" s="44"/>
      <c r="BL22" s="45"/>
      <c r="BN22" s="44"/>
      <c r="BO22" s="44"/>
      <c r="BP22" s="44"/>
      <c r="BQ22" s="45"/>
      <c r="BS22" s="44"/>
      <c r="BT22" s="44"/>
      <c r="BU22" s="44"/>
      <c r="BV22" s="45"/>
    </row>
    <row r="23" spans="1:74" outlineLevel="1" x14ac:dyDescent="0.15">
      <c r="A23" s="16"/>
      <c r="B23" s="16" t="s">
        <v>239</v>
      </c>
      <c r="C23" s="17" t="s">
        <v>228</v>
      </c>
      <c r="D23" s="16">
        <v>272684</v>
      </c>
      <c r="E23" s="18">
        <v>12</v>
      </c>
      <c r="F23" s="17">
        <v>1</v>
      </c>
      <c r="G23" s="17"/>
      <c r="I23" s="19" t="str">
        <f t="shared" si="0"/>
        <v>·</v>
      </c>
      <c r="J23" s="20">
        <f t="shared" si="1"/>
        <v>12.582007011779202</v>
      </c>
      <c r="K23" s="20">
        <f t="shared" si="2"/>
        <v>11.739009256135306</v>
      </c>
      <c r="L23" s="20">
        <f t="shared" si="3"/>
        <v>0.84109078640477619</v>
      </c>
      <c r="M23" s="21"/>
      <c r="N23" s="20">
        <f t="shared" si="4"/>
        <v>12.582007011779202</v>
      </c>
      <c r="O23" s="22">
        <v>272684</v>
      </c>
      <c r="P23" s="23">
        <v>3430912</v>
      </c>
      <c r="Q23" s="23">
        <v>3201040</v>
      </c>
      <c r="R23" s="23">
        <v>229352</v>
      </c>
      <c r="S23" s="24"/>
      <c r="T23" s="25">
        <v>35.9512</v>
      </c>
      <c r="U23" s="25">
        <v>42.450499999999998</v>
      </c>
      <c r="V23" s="25">
        <v>41.591000000000001</v>
      </c>
      <c r="W23" s="26"/>
      <c r="X23" s="25">
        <v>28.130800000000001</v>
      </c>
      <c r="Y23" s="25">
        <v>28.130800000000001</v>
      </c>
      <c r="Z23" s="25">
        <v>28.130800000000001</v>
      </c>
      <c r="AA23" s="26"/>
      <c r="AB23" s="27"/>
      <c r="AC23" s="27"/>
      <c r="AE23" s="19" t="str">
        <f t="shared" si="5"/>
        <v>·</v>
      </c>
      <c r="AF23" s="20">
        <f t="shared" si="6"/>
        <v>12.558477945167301</v>
      </c>
      <c r="AG23" s="20">
        <f t="shared" si="7"/>
        <v>11.739009256135306</v>
      </c>
      <c r="AH23" s="20">
        <f t="shared" si="8"/>
        <v>0.81756171979287384</v>
      </c>
      <c r="AI23" s="21"/>
      <c r="AJ23" s="20">
        <f t="shared" si="9"/>
        <v>12.558477945167301</v>
      </c>
      <c r="AK23" s="22">
        <v>272684</v>
      </c>
      <c r="AL23" s="23">
        <v>3424496</v>
      </c>
      <c r="AM23" s="23">
        <v>3201040</v>
      </c>
      <c r="AN23" s="23">
        <v>222936</v>
      </c>
      <c r="AO23" s="24"/>
      <c r="AP23" s="25">
        <v>36.065600000000003</v>
      </c>
      <c r="AQ23" s="25">
        <v>42.473700000000001</v>
      </c>
      <c r="AR23" s="25">
        <v>41.593400000000003</v>
      </c>
      <c r="AS23" s="26"/>
      <c r="AT23" s="25">
        <v>28.130800000000001</v>
      </c>
      <c r="AU23" s="25">
        <v>28.130800000000001</v>
      </c>
      <c r="AV23" s="25">
        <v>28.130800000000001</v>
      </c>
      <c r="AW23" s="26"/>
      <c r="AX23" s="27">
        <v>1.107</v>
      </c>
      <c r="AY23" s="27">
        <v>1.123</v>
      </c>
      <c r="BA23" s="28">
        <f t="shared" si="10"/>
        <v>1.7480313378754886E-3</v>
      </c>
      <c r="BB23" s="28"/>
      <c r="BD23" s="29"/>
      <c r="BE23" s="29"/>
      <c r="BF23" s="29"/>
      <c r="BG23" s="30"/>
      <c r="BI23" s="29"/>
      <c r="BJ23" s="29"/>
      <c r="BK23" s="29"/>
      <c r="BL23" s="30"/>
      <c r="BN23" s="29"/>
      <c r="BO23" s="29"/>
      <c r="BP23" s="29"/>
      <c r="BQ23" s="30"/>
      <c r="BS23" s="29"/>
      <c r="BT23" s="29"/>
      <c r="BU23" s="29"/>
      <c r="BV23" s="30"/>
    </row>
    <row r="24" spans="1:74" outlineLevel="1" x14ac:dyDescent="0.15">
      <c r="A24" s="31"/>
      <c r="B24" s="46" t="s">
        <v>239</v>
      </c>
      <c r="C24" s="47" t="s">
        <v>229</v>
      </c>
      <c r="D24" s="46">
        <v>272684</v>
      </c>
      <c r="E24" s="48">
        <v>12</v>
      </c>
      <c r="F24" s="47">
        <v>1</v>
      </c>
      <c r="G24" s="47"/>
      <c r="I24" s="49" t="str">
        <f t="shared" si="0"/>
        <v>·</v>
      </c>
      <c r="J24" s="50">
        <f t="shared" si="1"/>
        <v>12.031949069252322</v>
      </c>
      <c r="K24" s="50">
        <f t="shared" si="2"/>
        <v>11.739009256135306</v>
      </c>
      <c r="L24" s="50">
        <f t="shared" si="3"/>
        <v>0.2910328438778953</v>
      </c>
      <c r="M24" s="51"/>
      <c r="N24" s="50">
        <f t="shared" si="4"/>
        <v>12.031949069252322</v>
      </c>
      <c r="O24" s="52">
        <v>272684</v>
      </c>
      <c r="P24" s="53">
        <v>3280920</v>
      </c>
      <c r="Q24" s="53">
        <v>3201040</v>
      </c>
      <c r="R24" s="53">
        <v>79360</v>
      </c>
      <c r="S24" s="54"/>
      <c r="T24" s="55">
        <v>30.1858</v>
      </c>
      <c r="U24" s="55">
        <v>37.835999999999999</v>
      </c>
      <c r="V24" s="55">
        <v>36.869900000000001</v>
      </c>
      <c r="W24" s="56"/>
      <c r="X24" s="55">
        <v>21.686399999999999</v>
      </c>
      <c r="Y24" s="55">
        <v>21.686399999999999</v>
      </c>
      <c r="Z24" s="55">
        <v>21.686399999999999</v>
      </c>
      <c r="AA24" s="56"/>
      <c r="AB24" s="57"/>
      <c r="AC24" s="57"/>
      <c r="AE24" s="49" t="str">
        <f t="shared" si="5"/>
        <v>·</v>
      </c>
      <c r="AF24" s="50">
        <f t="shared" si="6"/>
        <v>12.027166977160377</v>
      </c>
      <c r="AG24" s="50">
        <f t="shared" si="7"/>
        <v>11.739009256135306</v>
      </c>
      <c r="AH24" s="50">
        <f t="shared" si="8"/>
        <v>0.28625075178595005</v>
      </c>
      <c r="AI24" s="51"/>
      <c r="AJ24" s="50">
        <f t="shared" si="9"/>
        <v>12.027166977160377</v>
      </c>
      <c r="AK24" s="52">
        <v>272684</v>
      </c>
      <c r="AL24" s="53">
        <v>3279616</v>
      </c>
      <c r="AM24" s="53">
        <v>3201040</v>
      </c>
      <c r="AN24" s="53">
        <v>78056</v>
      </c>
      <c r="AO24" s="54"/>
      <c r="AP24" s="55">
        <v>29.845199999999998</v>
      </c>
      <c r="AQ24" s="55">
        <v>38.101199999999999</v>
      </c>
      <c r="AR24" s="55">
        <v>37.133899999999997</v>
      </c>
      <c r="AS24" s="56"/>
      <c r="AT24" s="55">
        <v>21.686399999999999</v>
      </c>
      <c r="AU24" s="55">
        <v>21.686399999999999</v>
      </c>
      <c r="AV24" s="55">
        <v>21.686399999999999</v>
      </c>
      <c r="AW24" s="56"/>
      <c r="AX24" s="57">
        <v>1.2789999999999999</v>
      </c>
      <c r="AY24" s="57">
        <v>1.0920000000000001</v>
      </c>
      <c r="BA24" s="58">
        <f t="shared" si="10"/>
        <v>3.8792704215051543E-4</v>
      </c>
      <c r="BB24" s="58"/>
      <c r="BD24" s="59"/>
      <c r="BE24" s="59"/>
      <c r="BF24" s="59"/>
      <c r="BG24" s="60"/>
      <c r="BI24" s="59"/>
      <c r="BJ24" s="59"/>
      <c r="BK24" s="59"/>
      <c r="BL24" s="60"/>
      <c r="BN24" s="59"/>
      <c r="BO24" s="59"/>
      <c r="BP24" s="59"/>
      <c r="BQ24" s="60"/>
      <c r="BS24" s="59"/>
      <c r="BT24" s="59"/>
      <c r="BU24" s="59"/>
      <c r="BV24" s="60"/>
    </row>
    <row r="25" spans="1:74" x14ac:dyDescent="0.15">
      <c r="A25" s="16"/>
      <c r="B25" s="16" t="s">
        <v>242</v>
      </c>
      <c r="C25" s="17" t="s">
        <v>225</v>
      </c>
      <c r="D25" s="16">
        <v>1596085</v>
      </c>
      <c r="E25" s="18">
        <v>12</v>
      </c>
      <c r="F25" s="17">
        <v>1</v>
      </c>
      <c r="G25" s="17"/>
      <c r="I25" s="19" t="str">
        <f t="shared" si="0"/>
        <v>·</v>
      </c>
      <c r="J25" s="20">
        <f t="shared" si="1"/>
        <v>14.978746119410934</v>
      </c>
      <c r="K25" s="20">
        <f t="shared" si="2"/>
        <v>6.9863096263670164</v>
      </c>
      <c r="L25" s="20">
        <f t="shared" si="3"/>
        <v>7.9920605732150856</v>
      </c>
      <c r="M25" s="21"/>
      <c r="N25" s="20">
        <f t="shared" si="4"/>
        <v>14.978746119410934</v>
      </c>
      <c r="O25" s="22">
        <v>1596085</v>
      </c>
      <c r="P25" s="23">
        <v>23907352</v>
      </c>
      <c r="Q25" s="23">
        <v>11150744</v>
      </c>
      <c r="R25" s="23">
        <v>12756008</v>
      </c>
      <c r="S25" s="24"/>
      <c r="T25" s="25">
        <v>53.425899999999999</v>
      </c>
      <c r="U25" s="25">
        <v>55.3842</v>
      </c>
      <c r="V25" s="25">
        <v>54.771299999999997</v>
      </c>
      <c r="W25" s="26"/>
      <c r="X25" s="25">
        <v>48.130800000000001</v>
      </c>
      <c r="Y25" s="25">
        <v>48.130800000000001</v>
      </c>
      <c r="Z25" s="25">
        <v>48.130800000000001</v>
      </c>
      <c r="AA25" s="26"/>
      <c r="AB25" s="27"/>
      <c r="AC25" s="27"/>
      <c r="AE25" s="19" t="str">
        <f t="shared" si="5"/>
        <v>·</v>
      </c>
      <c r="AF25" s="20">
        <f t="shared" si="6"/>
        <v>14.901998327156761</v>
      </c>
      <c r="AG25" s="20">
        <f t="shared" si="7"/>
        <v>6.9863096263670164</v>
      </c>
      <c r="AH25" s="20">
        <f t="shared" si="8"/>
        <v>7.9153127809609138</v>
      </c>
      <c r="AI25" s="21"/>
      <c r="AJ25" s="20">
        <f t="shared" si="9"/>
        <v>14.901998327156761</v>
      </c>
      <c r="AK25" s="22">
        <v>1596085</v>
      </c>
      <c r="AL25" s="23">
        <v>23784856</v>
      </c>
      <c r="AM25" s="23">
        <v>11150744</v>
      </c>
      <c r="AN25" s="23">
        <v>12633512</v>
      </c>
      <c r="AO25" s="24"/>
      <c r="AP25" s="25">
        <v>53.432600000000001</v>
      </c>
      <c r="AQ25" s="25">
        <v>55.398400000000002</v>
      </c>
      <c r="AR25" s="25">
        <v>54.768599999999999</v>
      </c>
      <c r="AS25" s="26"/>
      <c r="AT25" s="25">
        <v>48.130800000000001</v>
      </c>
      <c r="AU25" s="25">
        <v>48.130800000000001</v>
      </c>
      <c r="AV25" s="25">
        <v>48.130800000000001</v>
      </c>
      <c r="AW25" s="26"/>
      <c r="AX25" s="27">
        <v>7.1440000000000001</v>
      </c>
      <c r="AY25" s="27">
        <v>6.2859999999999996</v>
      </c>
      <c r="BA25" s="28">
        <f t="shared" si="10"/>
        <v>2.402114752390716E-3</v>
      </c>
      <c r="BB25" s="28">
        <f t="array" ref="BB25">AVERAGE(AM25:AM29/AL25:AL29) - AVERAGE(Q25:Q29/P25:P29)</f>
        <v>4.1353788029064864E-3</v>
      </c>
      <c r="BD25" s="29">
        <f>IF( OR(ISBLANK(R25:R29),ISBLANK(AN25:AN29), ISBLANK(T25:T29),ISBLANK(AP25:AP29)), "·", bdRateExtend( R25:R29,T25:T29, AN25:AN29,AP25:AP29))</f>
        <v>-2.4781631044929031E-2</v>
      </c>
      <c r="BE25" s="29">
        <f>IF( OR(ISBLANK(R25:R29),ISBLANK(AN25:AN29), ISBLANK(U25:U29),ISBLANK(AQ25:AQ29)), "·", bdRateExtend( R25:R29,U25:U29, AN25:AN29,AQ25:AQ29))</f>
        <v>-3.3684293048837577E-2</v>
      </c>
      <c r="BF25" s="29">
        <f>IF( OR(ISBLANK(R25:R29),ISBLANK(AN25:AN29), ISBLANK(V25:V29),ISBLANK(AR25:AR29)), "·", bdRateExtend( R25:R29,V25:V29, AN25:AN29,AR25:AR29))</f>
        <v>-3.1387663356898354E-2</v>
      </c>
      <c r="BG25" s="30"/>
      <c r="BI25" s="29">
        <f>IF( OR(ISBLANK(R25:R29),ISBLANK(AN25:AN29), ISBLANK(X25:X29),ISBLANK(AT25:AT29)), "·", bdRateExtend( R25:R29,X25:X29, AN25:AN29,AT25:AT29))</f>
        <v>-2.283280957258238E-2</v>
      </c>
      <c r="BJ25" s="29">
        <f>IF( OR(ISBLANK(R25:R29),ISBLANK(AN25:AN29), ISBLANK(Y25:Y29),ISBLANK(AU25:AU29)), "·", bdRateExtend( R25:R29,Y25:Y29, AN25:AN29,AU25:AU29))</f>
        <v>-2.283280957258238E-2</v>
      </c>
      <c r="BK25" s="29">
        <f>IF( OR(ISBLANK(R25:R29),ISBLANK(AN25:AN29), ISBLANK(Z25:Z29),ISBLANK(AV25:AV29)), "·", bdRateExtend( R25:R29,Z25:Z29, AN25:AN29,AV25:AV29))</f>
        <v>-2.283280957258238E-2</v>
      </c>
      <c r="BL25" s="30"/>
      <c r="BN25" s="29">
        <f>IF( OR(ISBLANK(P25:P29),ISBLANK(AL25:AL29), ISBLANK(T25:T29),ISBLANK(AP25:AP29)), "·", bdRateExtend( P25:P29,T25:T29, AL25:AL29,AP25:AP29))</f>
        <v>-6.5886486040782621E-3</v>
      </c>
      <c r="BO25" s="29">
        <f>IF( OR(ISBLANK(P25:P29),ISBLANK(AL25:AL29), ISBLANK(U25:U29),ISBLANK(AQ25:AQ29)), "·", bdRateExtend( P25:P29,U25:U29, AL25:AL29,AQ25:AQ29))</f>
        <v>-9.0448011469603795E-3</v>
      </c>
      <c r="BP25" s="29">
        <f>IF( OR(ISBLANK(P25:P29),ISBLANK(AL25:AL29), ISBLANK(V25:V29),ISBLANK(AR25:AR29)), "·", bdRateExtend( P25:P29,V25:V29, AL25:AL29,AR25:AR29))</f>
        <v>-8.2013072787924246E-3</v>
      </c>
      <c r="BQ25" s="30"/>
      <c r="BS25" s="29">
        <f>IF( OR(ISBLANK(P25:P29),ISBLANK(AL25:AL29), ISBLANK(X25:X29),ISBLANK(AT25:AT29)), "·", bdRateExtend( P25:P29,X25:X29, AL25:AL29,AT25:AT29))</f>
        <v>-6.3200945057855229E-3</v>
      </c>
      <c r="BT25" s="29">
        <f>IF( OR(ISBLANK(P25:P29),ISBLANK(AL25:AL29), ISBLANK(Y25:Y29),ISBLANK(AU25:AU29)), "·", bdRateExtend( P25:P29,Y25:Y29, AL25:AL29,AU25:AU29))</f>
        <v>-6.3200945057855229E-3</v>
      </c>
      <c r="BU25" s="29">
        <f>IF( OR(ISBLANK(P25:P29),ISBLANK(AL25:AL29), ISBLANK(Z25:Z29),ISBLANK(AV25:AV29)), "·", bdRateExtend( P25:P29,Z25:Z29, AL25:AL29,AV25:AV29))</f>
        <v>-6.3200945057855229E-3</v>
      </c>
      <c r="BV25" s="30"/>
    </row>
    <row r="26" spans="1:74" outlineLevel="1" x14ac:dyDescent="0.15">
      <c r="A26" s="31"/>
      <c r="B26" s="31" t="s">
        <v>242</v>
      </c>
      <c r="C26" s="32" t="s">
        <v>226</v>
      </c>
      <c r="D26" s="31">
        <v>1596085</v>
      </c>
      <c r="E26" s="33">
        <v>12</v>
      </c>
      <c r="F26" s="32">
        <v>1</v>
      </c>
      <c r="G26" s="32"/>
      <c r="I26" s="34" t="str">
        <f t="shared" si="0"/>
        <v>·</v>
      </c>
      <c r="J26" s="35">
        <f t="shared" si="1"/>
        <v>12.77212178549388</v>
      </c>
      <c r="K26" s="35">
        <f t="shared" si="2"/>
        <v>6.9863096263670164</v>
      </c>
      <c r="L26" s="35">
        <f t="shared" si="3"/>
        <v>5.7854362392980327</v>
      </c>
      <c r="M26" s="36"/>
      <c r="N26" s="35">
        <f t="shared" si="4"/>
        <v>12.77212178549388</v>
      </c>
      <c r="O26" s="37">
        <v>1596085</v>
      </c>
      <c r="P26" s="38">
        <v>20385392</v>
      </c>
      <c r="Q26" s="38">
        <v>11150744</v>
      </c>
      <c r="R26" s="38">
        <v>9234048</v>
      </c>
      <c r="S26" s="39"/>
      <c r="T26" s="40">
        <v>48.342199999999998</v>
      </c>
      <c r="U26" s="40">
        <v>51.128399999999999</v>
      </c>
      <c r="V26" s="40">
        <v>50.4651</v>
      </c>
      <c r="W26" s="41"/>
      <c r="X26" s="40">
        <v>42.110199999999999</v>
      </c>
      <c r="Y26" s="40">
        <v>42.110199999999999</v>
      </c>
      <c r="Z26" s="40">
        <v>42.110199999999999</v>
      </c>
      <c r="AA26" s="41"/>
      <c r="AB26" s="42"/>
      <c r="AC26" s="42"/>
      <c r="AE26" s="34" t="str">
        <f t="shared" si="5"/>
        <v>·</v>
      </c>
      <c r="AF26" s="35">
        <f t="shared" si="6"/>
        <v>12.698376339605973</v>
      </c>
      <c r="AG26" s="35">
        <f t="shared" si="7"/>
        <v>6.9863096263670164</v>
      </c>
      <c r="AH26" s="35">
        <f t="shared" si="8"/>
        <v>5.7116907934101251</v>
      </c>
      <c r="AI26" s="36"/>
      <c r="AJ26" s="35">
        <f t="shared" si="9"/>
        <v>12.698376339605973</v>
      </c>
      <c r="AK26" s="37">
        <v>1596085</v>
      </c>
      <c r="AL26" s="38">
        <v>20267688</v>
      </c>
      <c r="AM26" s="38">
        <v>11150744</v>
      </c>
      <c r="AN26" s="38">
        <v>9116344</v>
      </c>
      <c r="AO26" s="39"/>
      <c r="AP26" s="40">
        <v>48.331699999999998</v>
      </c>
      <c r="AQ26" s="40">
        <v>51.170400000000001</v>
      </c>
      <c r="AR26" s="40">
        <v>50.484699999999997</v>
      </c>
      <c r="AS26" s="41"/>
      <c r="AT26" s="40">
        <v>42.110199999999999</v>
      </c>
      <c r="AU26" s="40">
        <v>42.110199999999999</v>
      </c>
      <c r="AV26" s="40">
        <v>42.110199999999999</v>
      </c>
      <c r="AW26" s="41"/>
      <c r="AX26" s="42">
        <v>7.2069999999999999</v>
      </c>
      <c r="AY26" s="42">
        <v>6.1769999999999996</v>
      </c>
      <c r="BA26" s="43">
        <f t="shared" si="10"/>
        <v>3.1766677208493466E-3</v>
      </c>
      <c r="BB26" s="43"/>
      <c r="BD26" s="44"/>
      <c r="BE26" s="44"/>
      <c r="BF26" s="44"/>
      <c r="BG26" s="45"/>
      <c r="BI26" s="44"/>
      <c r="BJ26" s="44"/>
      <c r="BK26" s="44"/>
      <c r="BL26" s="45"/>
      <c r="BN26" s="44"/>
      <c r="BO26" s="44"/>
      <c r="BP26" s="44"/>
      <c r="BQ26" s="45"/>
      <c r="BS26" s="44"/>
      <c r="BT26" s="44"/>
      <c r="BU26" s="44"/>
      <c r="BV26" s="45"/>
    </row>
    <row r="27" spans="1:74" outlineLevel="1" x14ac:dyDescent="0.15">
      <c r="A27" s="16"/>
      <c r="B27" s="16" t="s">
        <v>242</v>
      </c>
      <c r="C27" s="17" t="s">
        <v>227</v>
      </c>
      <c r="D27" s="16">
        <v>1596085</v>
      </c>
      <c r="E27" s="18">
        <v>12</v>
      </c>
      <c r="F27" s="17">
        <v>1</v>
      </c>
      <c r="G27" s="17"/>
      <c r="I27" s="19" t="str">
        <f t="shared" si="0"/>
        <v>·</v>
      </c>
      <c r="J27" s="20">
        <f t="shared" si="1"/>
        <v>10.403967207260266</v>
      </c>
      <c r="K27" s="20">
        <f t="shared" si="2"/>
        <v>6.9863096263670164</v>
      </c>
      <c r="L27" s="20">
        <f t="shared" si="3"/>
        <v>3.417281661064417</v>
      </c>
      <c r="M27" s="21"/>
      <c r="N27" s="20">
        <f t="shared" si="4"/>
        <v>10.403967207260266</v>
      </c>
      <c r="O27" s="22">
        <v>1596085</v>
      </c>
      <c r="P27" s="23">
        <v>16605616</v>
      </c>
      <c r="Q27" s="23">
        <v>11150744</v>
      </c>
      <c r="R27" s="23">
        <v>5454272</v>
      </c>
      <c r="S27" s="24"/>
      <c r="T27" s="25">
        <v>41.147399999999998</v>
      </c>
      <c r="U27" s="25">
        <v>45.699100000000001</v>
      </c>
      <c r="V27" s="25">
        <v>44.8399</v>
      </c>
      <c r="W27" s="26"/>
      <c r="X27" s="25">
        <v>34.151400000000002</v>
      </c>
      <c r="Y27" s="25">
        <v>34.151400000000002</v>
      </c>
      <c r="Z27" s="25">
        <v>34.151400000000002</v>
      </c>
      <c r="AA27" s="26"/>
      <c r="AB27" s="27"/>
      <c r="AC27" s="27"/>
      <c r="AE27" s="19" t="str">
        <f t="shared" si="5"/>
        <v>·</v>
      </c>
      <c r="AF27" s="20">
        <f t="shared" si="6"/>
        <v>10.331950992584982</v>
      </c>
      <c r="AG27" s="20">
        <f t="shared" si="7"/>
        <v>6.9863096263670164</v>
      </c>
      <c r="AH27" s="20">
        <f t="shared" si="8"/>
        <v>3.3452654463891336</v>
      </c>
      <c r="AI27" s="21"/>
      <c r="AJ27" s="20">
        <f t="shared" si="9"/>
        <v>10.331950992584982</v>
      </c>
      <c r="AK27" s="22">
        <v>1596085</v>
      </c>
      <c r="AL27" s="23">
        <v>16490672</v>
      </c>
      <c r="AM27" s="23">
        <v>11150744</v>
      </c>
      <c r="AN27" s="23">
        <v>5339328</v>
      </c>
      <c r="AO27" s="24"/>
      <c r="AP27" s="25">
        <v>41.154000000000003</v>
      </c>
      <c r="AQ27" s="25">
        <v>45.778399999999998</v>
      </c>
      <c r="AR27" s="25">
        <v>44.905000000000001</v>
      </c>
      <c r="AS27" s="26"/>
      <c r="AT27" s="25">
        <v>34.151400000000002</v>
      </c>
      <c r="AU27" s="25">
        <v>34.151400000000002</v>
      </c>
      <c r="AV27" s="25">
        <v>34.151400000000002</v>
      </c>
      <c r="AW27" s="26"/>
      <c r="AX27" s="27">
        <v>6.8789999999999996</v>
      </c>
      <c r="AY27" s="27">
        <v>6.1769999999999996</v>
      </c>
      <c r="BA27" s="28">
        <f t="shared" si="10"/>
        <v>4.6805491194602533E-3</v>
      </c>
      <c r="BB27" s="28"/>
      <c r="BD27" s="29"/>
      <c r="BE27" s="29"/>
      <c r="BF27" s="29"/>
      <c r="BG27" s="30"/>
      <c r="BI27" s="29"/>
      <c r="BJ27" s="29"/>
      <c r="BK27" s="29"/>
      <c r="BL27" s="30"/>
      <c r="BN27" s="29"/>
      <c r="BO27" s="29"/>
      <c r="BP27" s="29"/>
      <c r="BQ27" s="30"/>
      <c r="BS27" s="29"/>
      <c r="BT27" s="29"/>
      <c r="BU27" s="29"/>
      <c r="BV27" s="30"/>
    </row>
    <row r="28" spans="1:74" outlineLevel="1" x14ac:dyDescent="0.15">
      <c r="A28" s="31"/>
      <c r="B28" s="31" t="s">
        <v>242</v>
      </c>
      <c r="C28" s="32" t="s">
        <v>228</v>
      </c>
      <c r="D28" s="31">
        <v>1596085</v>
      </c>
      <c r="E28" s="33">
        <v>12</v>
      </c>
      <c r="F28" s="32">
        <v>1</v>
      </c>
      <c r="G28" s="32"/>
      <c r="I28" s="34" t="str">
        <f t="shared" si="0"/>
        <v>·</v>
      </c>
      <c r="J28" s="35">
        <f t="shared" si="1"/>
        <v>8.9882882177327641</v>
      </c>
      <c r="K28" s="35">
        <f t="shared" si="2"/>
        <v>6.9863096263670164</v>
      </c>
      <c r="L28" s="35">
        <f t="shared" si="3"/>
        <v>2.0016026715369168</v>
      </c>
      <c r="M28" s="36"/>
      <c r="N28" s="35">
        <f t="shared" si="4"/>
        <v>8.9882882177327641</v>
      </c>
      <c r="O28" s="37">
        <v>1596085</v>
      </c>
      <c r="P28" s="38">
        <v>14346072</v>
      </c>
      <c r="Q28" s="38">
        <v>11150744</v>
      </c>
      <c r="R28" s="38">
        <v>3194728</v>
      </c>
      <c r="S28" s="39"/>
      <c r="T28" s="40">
        <v>35.488799999999998</v>
      </c>
      <c r="U28" s="40">
        <v>41.222799999999999</v>
      </c>
      <c r="V28" s="40">
        <v>40.3596</v>
      </c>
      <c r="W28" s="41"/>
      <c r="X28" s="40">
        <v>28.130800000000001</v>
      </c>
      <c r="Y28" s="40">
        <v>28.130800000000001</v>
      </c>
      <c r="Z28" s="40">
        <v>28.130800000000001</v>
      </c>
      <c r="AA28" s="41"/>
      <c r="AB28" s="42"/>
      <c r="AC28" s="42"/>
      <c r="AE28" s="34" t="str">
        <f t="shared" si="5"/>
        <v>·</v>
      </c>
      <c r="AF28" s="35">
        <f t="shared" si="6"/>
        <v>8.9256699987782611</v>
      </c>
      <c r="AG28" s="35">
        <f t="shared" si="7"/>
        <v>6.9863096263670164</v>
      </c>
      <c r="AH28" s="35">
        <f t="shared" si="8"/>
        <v>1.9389844525824127</v>
      </c>
      <c r="AI28" s="36"/>
      <c r="AJ28" s="35">
        <f t="shared" si="9"/>
        <v>8.9256699987782611</v>
      </c>
      <c r="AK28" s="37">
        <v>1596085</v>
      </c>
      <c r="AL28" s="38">
        <v>14246128</v>
      </c>
      <c r="AM28" s="38">
        <v>11150744</v>
      </c>
      <c r="AN28" s="38">
        <v>3094784</v>
      </c>
      <c r="AO28" s="39"/>
      <c r="AP28" s="40">
        <v>35.517699999999998</v>
      </c>
      <c r="AQ28" s="40">
        <v>41.368200000000002</v>
      </c>
      <c r="AR28" s="40">
        <v>40.443600000000004</v>
      </c>
      <c r="AS28" s="41"/>
      <c r="AT28" s="40">
        <v>28.130800000000001</v>
      </c>
      <c r="AU28" s="40">
        <v>28.130800000000001</v>
      </c>
      <c r="AV28" s="40">
        <v>28.130800000000001</v>
      </c>
      <c r="AW28" s="41"/>
      <c r="AX28" s="42">
        <v>6.6449999999999996</v>
      </c>
      <c r="AY28" s="42">
        <v>6.0209999999999999</v>
      </c>
      <c r="BA28" s="43">
        <f t="shared" si="10"/>
        <v>5.4529400626807112E-3</v>
      </c>
      <c r="BB28" s="43"/>
      <c r="BD28" s="44"/>
      <c r="BE28" s="44"/>
      <c r="BF28" s="44"/>
      <c r="BG28" s="45"/>
      <c r="BI28" s="44"/>
      <c r="BJ28" s="44"/>
      <c r="BK28" s="44"/>
      <c r="BL28" s="45"/>
      <c r="BN28" s="44"/>
      <c r="BO28" s="44"/>
      <c r="BP28" s="44"/>
      <c r="BQ28" s="45"/>
      <c r="BS28" s="44"/>
      <c r="BT28" s="44"/>
      <c r="BU28" s="44"/>
      <c r="BV28" s="45"/>
    </row>
    <row r="29" spans="1:74" outlineLevel="1" x14ac:dyDescent="0.15">
      <c r="A29" s="16"/>
      <c r="B29" s="65" t="s">
        <v>242</v>
      </c>
      <c r="C29" s="67" t="s">
        <v>229</v>
      </c>
      <c r="D29" s="65">
        <v>1596085</v>
      </c>
      <c r="E29" s="66">
        <v>12</v>
      </c>
      <c r="F29" s="67">
        <v>1</v>
      </c>
      <c r="G29" s="67"/>
      <c r="I29" s="69" t="str">
        <f t="shared" si="0"/>
        <v>·</v>
      </c>
      <c r="J29" s="70">
        <f t="shared" si="1"/>
        <v>7.9350911762218175</v>
      </c>
      <c r="K29" s="70">
        <f t="shared" si="2"/>
        <v>6.9863096263670164</v>
      </c>
      <c r="L29" s="70">
        <f t="shared" si="3"/>
        <v>0.94840563002596978</v>
      </c>
      <c r="M29" s="75"/>
      <c r="N29" s="70">
        <f t="shared" si="4"/>
        <v>7.9350911762218175</v>
      </c>
      <c r="O29" s="71">
        <v>1596085</v>
      </c>
      <c r="P29" s="72">
        <v>12665080</v>
      </c>
      <c r="Q29" s="72">
        <v>11150744</v>
      </c>
      <c r="R29" s="72">
        <v>1513736</v>
      </c>
      <c r="S29" s="76"/>
      <c r="T29" s="77">
        <v>29.283999999999999</v>
      </c>
      <c r="U29" s="77">
        <v>36.734499999999997</v>
      </c>
      <c r="V29" s="77">
        <v>35.464399999999998</v>
      </c>
      <c r="W29" s="78"/>
      <c r="X29" s="77">
        <v>21.686399999999999</v>
      </c>
      <c r="Y29" s="77">
        <v>21.686399999999999</v>
      </c>
      <c r="Z29" s="77">
        <v>21.686399999999999</v>
      </c>
      <c r="AA29" s="78"/>
      <c r="AB29" s="73"/>
      <c r="AC29" s="73"/>
      <c r="AE29" s="69" t="str">
        <f t="shared" si="5"/>
        <v>·</v>
      </c>
      <c r="AF29" s="70">
        <f t="shared" si="6"/>
        <v>7.8905973052813607</v>
      </c>
      <c r="AG29" s="70">
        <f t="shared" si="7"/>
        <v>6.9863096263670164</v>
      </c>
      <c r="AH29" s="70">
        <f t="shared" si="8"/>
        <v>0.90391175908551236</v>
      </c>
      <c r="AI29" s="75"/>
      <c r="AJ29" s="70">
        <f t="shared" si="9"/>
        <v>7.8905973052813607</v>
      </c>
      <c r="AK29" s="71">
        <v>1596085</v>
      </c>
      <c r="AL29" s="72">
        <v>12594064</v>
      </c>
      <c r="AM29" s="72">
        <v>11150744</v>
      </c>
      <c r="AN29" s="72">
        <v>1442720</v>
      </c>
      <c r="AO29" s="76"/>
      <c r="AP29" s="77">
        <v>29.336600000000001</v>
      </c>
      <c r="AQ29" s="77">
        <v>36.857399999999998</v>
      </c>
      <c r="AR29" s="77">
        <v>35.664999999999999</v>
      </c>
      <c r="AS29" s="78"/>
      <c r="AT29" s="77">
        <v>21.686399999999999</v>
      </c>
      <c r="AU29" s="77">
        <v>21.686399999999999</v>
      </c>
      <c r="AV29" s="77">
        <v>21.686399999999999</v>
      </c>
      <c r="AW29" s="78"/>
      <c r="AX29" s="73">
        <v>6.7539999999999996</v>
      </c>
      <c r="AY29" s="73">
        <v>5.9589999999999996</v>
      </c>
      <c r="BA29" s="68">
        <f t="shared" si="10"/>
        <v>4.9646223591514049E-3</v>
      </c>
      <c r="BB29" s="68"/>
      <c r="BD29" s="74"/>
      <c r="BE29" s="74"/>
      <c r="BF29" s="74"/>
      <c r="BG29" s="79"/>
      <c r="BI29" s="74"/>
      <c r="BJ29" s="74"/>
      <c r="BK29" s="74"/>
      <c r="BL29" s="79"/>
      <c r="BN29" s="74"/>
      <c r="BO29" s="74"/>
      <c r="BP29" s="74"/>
      <c r="BQ29" s="79"/>
      <c r="BS29" s="74"/>
      <c r="BT29" s="74"/>
      <c r="BU29" s="74"/>
      <c r="BV29" s="79"/>
    </row>
    <row r="30" spans="1:74" x14ac:dyDescent="0.15">
      <c r="A30" s="31"/>
      <c r="B30" s="31" t="s">
        <v>245</v>
      </c>
      <c r="C30" s="32" t="s">
        <v>225</v>
      </c>
      <c r="D30" s="31">
        <v>8907880</v>
      </c>
      <c r="E30" s="33">
        <v>14</v>
      </c>
      <c r="F30" s="32">
        <v>1</v>
      </c>
      <c r="G30" s="32"/>
      <c r="I30" s="34" t="str">
        <f t="shared" si="0"/>
        <v>·</v>
      </c>
      <c r="J30" s="35">
        <f t="shared" si="1"/>
        <v>15.926595329079422</v>
      </c>
      <c r="K30" s="35">
        <f t="shared" si="2"/>
        <v>8.6158762803270807</v>
      </c>
      <c r="L30" s="35">
        <f t="shared" si="3"/>
        <v>7.3105789480774321</v>
      </c>
      <c r="M30" s="36"/>
      <c r="N30" s="35">
        <f t="shared" si="4"/>
        <v>15.926595329079422</v>
      </c>
      <c r="O30" s="37">
        <v>8907880</v>
      </c>
      <c r="P30" s="38">
        <v>141872200</v>
      </c>
      <c r="Q30" s="38">
        <v>76749192</v>
      </c>
      <c r="R30" s="38">
        <v>65121760</v>
      </c>
      <c r="S30" s="39"/>
      <c r="T30" s="40">
        <v>53.143799999999999</v>
      </c>
      <c r="U30" s="40">
        <v>55.479799999999997</v>
      </c>
      <c r="V30" s="40">
        <v>55.264600000000002</v>
      </c>
      <c r="W30" s="41"/>
      <c r="X30" s="40">
        <v>48.130800000000001</v>
      </c>
      <c r="Y30" s="40">
        <v>48.130800000000001</v>
      </c>
      <c r="Z30" s="40">
        <v>48.130800000000001</v>
      </c>
      <c r="AA30" s="41"/>
      <c r="AB30" s="42"/>
      <c r="AC30" s="42"/>
      <c r="AE30" s="34" t="str">
        <f t="shared" si="5"/>
        <v>·</v>
      </c>
      <c r="AF30" s="35">
        <f t="shared" si="6"/>
        <v>15.890946891965315</v>
      </c>
      <c r="AG30" s="35">
        <f t="shared" si="7"/>
        <v>8.6158762803270807</v>
      </c>
      <c r="AH30" s="35">
        <f t="shared" si="8"/>
        <v>7.2749305109633271</v>
      </c>
      <c r="AI30" s="36"/>
      <c r="AJ30" s="35">
        <f t="shared" si="9"/>
        <v>15.890946891965315</v>
      </c>
      <c r="AK30" s="37">
        <v>8907880</v>
      </c>
      <c r="AL30" s="38">
        <v>141554648</v>
      </c>
      <c r="AM30" s="38">
        <v>76749192</v>
      </c>
      <c r="AN30" s="38">
        <v>64804208</v>
      </c>
      <c r="AO30" s="39"/>
      <c r="AP30" s="40">
        <v>53.146099999999997</v>
      </c>
      <c r="AQ30" s="40">
        <v>55.482199999999999</v>
      </c>
      <c r="AR30" s="40">
        <v>55.271999999999998</v>
      </c>
      <c r="AS30" s="41"/>
      <c r="AT30" s="40">
        <v>48.130800000000001</v>
      </c>
      <c r="AU30" s="40">
        <v>48.130800000000001</v>
      </c>
      <c r="AV30" s="40">
        <v>48.130800000000001</v>
      </c>
      <c r="AW30" s="41"/>
      <c r="AX30" s="42">
        <v>43.601999999999997</v>
      </c>
      <c r="AY30" s="42">
        <v>36.987000000000002</v>
      </c>
      <c r="BA30" s="43">
        <f t="shared" si="10"/>
        <v>1.2135766921763658E-3</v>
      </c>
      <c r="BB30" s="43">
        <f t="array" ref="BB30">AVERAGE(AM30:AM34/AL30:AL34) - AVERAGE(Q30:Q34/P30:P34)</f>
        <v>2.1467685716054508E-3</v>
      </c>
      <c r="BD30" s="44">
        <f>IF( OR(ISBLANK(R30:R34),ISBLANK(AN30:AN34), ISBLANK(T30:T34),ISBLANK(AP30:AP34)), "·", bdRateExtend( R30:R34,T30:T34, AN30:AN34,AP30:AP34))</f>
        <v>-1.3674069321591986E-2</v>
      </c>
      <c r="BE30" s="44">
        <f>IF( OR(ISBLANK(R30:R34),ISBLANK(AN30:AN34), ISBLANK(U30:U34),ISBLANK(AQ30:AQ34)), "·", bdRateExtend( R30:R34,U30:U34, AN30:AN34,AQ30:AQ34))</f>
        <v>-2.3201590035880182E-2</v>
      </c>
      <c r="BF30" s="44">
        <f>IF( OR(ISBLANK(R30:R34),ISBLANK(AN30:AN34), ISBLANK(V30:V34),ISBLANK(AR30:AR34)), "·", bdRateExtend( R30:R34,V30:V34, AN30:AN34,AR30:AR34))</f>
        <v>-2.5355321672038356E-2</v>
      </c>
      <c r="BG30" s="45"/>
      <c r="BI30" s="44">
        <f>IF( OR(ISBLANK(R30:R34),ISBLANK(AN30:AN34), ISBLANK(X30:X34),ISBLANK(AT30:AT34)), "·", bdRateExtend( R30:R34,X30:X34, AN30:AN34,AT30:AT34))</f>
        <v>-1.4202170477310871E-2</v>
      </c>
      <c r="BJ30" s="44">
        <f>IF( OR(ISBLANK(R30:R34),ISBLANK(AN30:AN34), ISBLANK(Y30:Y34),ISBLANK(AU30:AU34)), "·", bdRateExtend( R30:R34,Y30:Y34, AN30:AN34,AU30:AU34))</f>
        <v>-1.4202170477310871E-2</v>
      </c>
      <c r="BK30" s="44">
        <f>IF( OR(ISBLANK(R30:R34),ISBLANK(AN30:AN34), ISBLANK(Z30:Z34),ISBLANK(AV30:AV34)), "·", bdRateExtend( R30:R34,Z30:Z34, AN30:AN34,AV30:AV34))</f>
        <v>-1.4202170477310871E-2</v>
      </c>
      <c r="BL30" s="45"/>
      <c r="BN30" s="44">
        <f>IF( OR(ISBLANK(P30:P34),ISBLANK(AL30:AL34), ISBLANK(T30:T34),ISBLANK(AP30:AP34)), "·", bdRateExtend( P30:P34,T30:T34, AL30:AL34,AP30:AP34))</f>
        <v>-2.967055896658799E-3</v>
      </c>
      <c r="BO30" s="44">
        <f>IF( OR(ISBLANK(P30:P34),ISBLANK(AL30:AL34), ISBLANK(U30:U34),ISBLANK(AQ30:AQ34)), "·", bdRateExtend( P30:P34,U30:U34, AL30:AL34,AQ30:AQ34))</f>
        <v>-4.6840482204572043E-3</v>
      </c>
      <c r="BP30" s="44">
        <f>IF( OR(ISBLANK(P30:P34),ISBLANK(AL30:AL34), ISBLANK(V30:V34),ISBLANK(AR30:AR34)), "·", bdRateExtend( P30:P34,V30:V34, AL30:AL34,AR30:AR34))</f>
        <v>-5.1373552912472586E-3</v>
      </c>
      <c r="BQ30" s="45"/>
      <c r="BS30" s="44">
        <f>IF( OR(ISBLANK(P30:P34),ISBLANK(AL30:AL34), ISBLANK(X30:X34),ISBLANK(AT30:AT34)), "·", bdRateExtend( P30:P34,X30:X34, AL30:AL34,AT30:AT34))</f>
        <v>-3.1121045353108556E-3</v>
      </c>
      <c r="BT30" s="44">
        <f>IF( OR(ISBLANK(P30:P34),ISBLANK(AL30:AL34), ISBLANK(Y30:Y34),ISBLANK(AU30:AU34)), "·", bdRateExtend( P30:P34,Y30:Y34, AL30:AL34,AU30:AU34))</f>
        <v>-3.1121045353108556E-3</v>
      </c>
      <c r="BU30" s="44">
        <f>IF( OR(ISBLANK(P30:P34),ISBLANK(AL30:AL34), ISBLANK(Z30:Z34),ISBLANK(AV30:AV34)), "·", bdRateExtend( P30:P34,Z30:Z34, AL30:AL34,AV30:AV34))</f>
        <v>-3.1121045353108556E-3</v>
      </c>
      <c r="BV30" s="45"/>
    </row>
    <row r="31" spans="1:74" outlineLevel="1" x14ac:dyDescent="0.15">
      <c r="A31" s="16"/>
      <c r="B31" s="16" t="s">
        <v>245</v>
      </c>
      <c r="C31" s="17" t="s">
        <v>226</v>
      </c>
      <c r="D31" s="16">
        <v>8907880</v>
      </c>
      <c r="E31" s="18">
        <v>14</v>
      </c>
      <c r="F31" s="17">
        <v>1</v>
      </c>
      <c r="G31" s="17"/>
      <c r="I31" s="19" t="str">
        <f t="shared" si="0"/>
        <v>·</v>
      </c>
      <c r="J31" s="20">
        <f t="shared" si="1"/>
        <v>13.855246366138745</v>
      </c>
      <c r="K31" s="20">
        <f t="shared" si="2"/>
        <v>8.6158762803270807</v>
      </c>
      <c r="L31" s="20">
        <f t="shared" si="3"/>
        <v>5.2392299851367552</v>
      </c>
      <c r="M31" s="21"/>
      <c r="N31" s="20">
        <f t="shared" si="4"/>
        <v>13.855246366138745</v>
      </c>
      <c r="O31" s="22">
        <v>8907880</v>
      </c>
      <c r="P31" s="23">
        <v>123420872</v>
      </c>
      <c r="Q31" s="23">
        <v>76749192</v>
      </c>
      <c r="R31" s="23">
        <v>46670432</v>
      </c>
      <c r="S31" s="24"/>
      <c r="T31" s="25">
        <v>48.2836</v>
      </c>
      <c r="U31" s="25">
        <v>51.122</v>
      </c>
      <c r="V31" s="25">
        <v>50.880499999999998</v>
      </c>
      <c r="W31" s="26"/>
      <c r="X31" s="25">
        <v>42.110199999999999</v>
      </c>
      <c r="Y31" s="25">
        <v>42.110199999999999</v>
      </c>
      <c r="Z31" s="25">
        <v>42.110199999999999</v>
      </c>
      <c r="AA31" s="26"/>
      <c r="AB31" s="27"/>
      <c r="AC31" s="27"/>
      <c r="AE31" s="19" t="str">
        <f t="shared" si="5"/>
        <v>·</v>
      </c>
      <c r="AF31" s="20">
        <f t="shared" si="6"/>
        <v>13.814601903034168</v>
      </c>
      <c r="AG31" s="20">
        <f t="shared" si="7"/>
        <v>8.6158762803270807</v>
      </c>
      <c r="AH31" s="20">
        <f t="shared" si="8"/>
        <v>5.1985855220321779</v>
      </c>
      <c r="AI31" s="21"/>
      <c r="AJ31" s="20">
        <f t="shared" si="9"/>
        <v>13.814601903034168</v>
      </c>
      <c r="AK31" s="22">
        <v>8907880</v>
      </c>
      <c r="AL31" s="23">
        <v>123058816</v>
      </c>
      <c r="AM31" s="23">
        <v>76749192</v>
      </c>
      <c r="AN31" s="23">
        <v>46308376</v>
      </c>
      <c r="AO31" s="24"/>
      <c r="AP31" s="25">
        <v>48.2804</v>
      </c>
      <c r="AQ31" s="25">
        <v>51.140599999999999</v>
      </c>
      <c r="AR31" s="25">
        <v>50.901400000000002</v>
      </c>
      <c r="AS31" s="26"/>
      <c r="AT31" s="25">
        <v>42.110199999999999</v>
      </c>
      <c r="AU31" s="25">
        <v>42.110199999999999</v>
      </c>
      <c r="AV31" s="25">
        <v>42.110199999999999</v>
      </c>
      <c r="AW31" s="26"/>
      <c r="AX31" s="27">
        <v>42.042000000000002</v>
      </c>
      <c r="AY31" s="27">
        <v>36.582000000000001</v>
      </c>
      <c r="BA31" s="28">
        <f t="shared" si="10"/>
        <v>1.829566578774755E-3</v>
      </c>
      <c r="BB31" s="28"/>
      <c r="BD31" s="29"/>
      <c r="BE31" s="29"/>
      <c r="BF31" s="29"/>
      <c r="BG31" s="30"/>
      <c r="BI31" s="29"/>
      <c r="BJ31" s="29"/>
      <c r="BK31" s="29"/>
      <c r="BL31" s="30"/>
      <c r="BN31" s="29"/>
      <c r="BO31" s="29"/>
      <c r="BP31" s="29"/>
      <c r="BQ31" s="30"/>
      <c r="BS31" s="29"/>
      <c r="BT31" s="29"/>
      <c r="BU31" s="29"/>
      <c r="BV31" s="30"/>
    </row>
    <row r="32" spans="1:74" outlineLevel="1" x14ac:dyDescent="0.15">
      <c r="A32" s="31"/>
      <c r="B32" s="31" t="s">
        <v>245</v>
      </c>
      <c r="C32" s="32" t="s">
        <v>227</v>
      </c>
      <c r="D32" s="31">
        <v>8907880</v>
      </c>
      <c r="E32" s="33">
        <v>14</v>
      </c>
      <c r="F32" s="32">
        <v>1</v>
      </c>
      <c r="G32" s="32"/>
      <c r="I32" s="34" t="str">
        <f t="shared" si="0"/>
        <v>·</v>
      </c>
      <c r="J32" s="35">
        <f t="shared" si="1"/>
        <v>11.710100270771497</v>
      </c>
      <c r="K32" s="35">
        <f t="shared" si="2"/>
        <v>8.6158762803270807</v>
      </c>
      <c r="L32" s="35">
        <f t="shared" si="3"/>
        <v>3.0940838897695073</v>
      </c>
      <c r="M32" s="36"/>
      <c r="N32" s="35">
        <f t="shared" si="4"/>
        <v>11.710100270771497</v>
      </c>
      <c r="O32" s="37">
        <v>8907880</v>
      </c>
      <c r="P32" s="38">
        <v>104312168</v>
      </c>
      <c r="Q32" s="38">
        <v>76749192</v>
      </c>
      <c r="R32" s="38">
        <v>27561728</v>
      </c>
      <c r="S32" s="39"/>
      <c r="T32" s="40">
        <v>41.046900000000001</v>
      </c>
      <c r="U32" s="40">
        <v>45.664700000000003</v>
      </c>
      <c r="V32" s="40">
        <v>45.672600000000003</v>
      </c>
      <c r="W32" s="41"/>
      <c r="X32" s="40">
        <v>34.151400000000002</v>
      </c>
      <c r="Y32" s="40">
        <v>34.151400000000002</v>
      </c>
      <c r="Z32" s="40">
        <v>34.151400000000002</v>
      </c>
      <c r="AA32" s="41"/>
      <c r="AB32" s="42"/>
      <c r="AC32" s="42"/>
      <c r="AE32" s="34" t="str">
        <f t="shared" si="5"/>
        <v>·</v>
      </c>
      <c r="AF32" s="35">
        <f t="shared" si="6"/>
        <v>11.671235804703251</v>
      </c>
      <c r="AG32" s="35">
        <f t="shared" si="7"/>
        <v>8.6158762803270807</v>
      </c>
      <c r="AH32" s="35">
        <f t="shared" si="8"/>
        <v>3.0552194237012622</v>
      </c>
      <c r="AI32" s="36"/>
      <c r="AJ32" s="35">
        <f t="shared" si="9"/>
        <v>11.671235804703251</v>
      </c>
      <c r="AK32" s="37">
        <v>8907880</v>
      </c>
      <c r="AL32" s="38">
        <v>103965968</v>
      </c>
      <c r="AM32" s="38">
        <v>76749192</v>
      </c>
      <c r="AN32" s="38">
        <v>27215528</v>
      </c>
      <c r="AO32" s="39"/>
      <c r="AP32" s="40">
        <v>41.033299999999997</v>
      </c>
      <c r="AQ32" s="40">
        <v>45.719799999999999</v>
      </c>
      <c r="AR32" s="40">
        <v>45.7575</v>
      </c>
      <c r="AS32" s="41"/>
      <c r="AT32" s="40">
        <v>34.151400000000002</v>
      </c>
      <c r="AU32" s="40">
        <v>34.151400000000002</v>
      </c>
      <c r="AV32" s="40">
        <v>34.151400000000002</v>
      </c>
      <c r="AW32" s="41"/>
      <c r="AX32" s="42">
        <v>41.511000000000003</v>
      </c>
      <c r="AY32" s="42">
        <v>37.408999999999999</v>
      </c>
      <c r="BA32" s="43">
        <f t="shared" si="10"/>
        <v>2.4500486168533842E-3</v>
      </c>
      <c r="BB32" s="43"/>
      <c r="BD32" s="44"/>
      <c r="BE32" s="44"/>
      <c r="BF32" s="44"/>
      <c r="BG32" s="45"/>
      <c r="BI32" s="44"/>
      <c r="BJ32" s="44"/>
      <c r="BK32" s="44"/>
      <c r="BL32" s="45"/>
      <c r="BN32" s="44"/>
      <c r="BO32" s="44"/>
      <c r="BP32" s="44"/>
      <c r="BQ32" s="45"/>
      <c r="BS32" s="44"/>
      <c r="BT32" s="44"/>
      <c r="BU32" s="44"/>
      <c r="BV32" s="45"/>
    </row>
    <row r="33" spans="1:74" outlineLevel="1" x14ac:dyDescent="0.15">
      <c r="A33" s="16"/>
      <c r="B33" s="16" t="s">
        <v>245</v>
      </c>
      <c r="C33" s="17" t="s">
        <v>228</v>
      </c>
      <c r="D33" s="16">
        <v>8907880</v>
      </c>
      <c r="E33" s="18">
        <v>14</v>
      </c>
      <c r="F33" s="17">
        <v>1</v>
      </c>
      <c r="G33" s="17"/>
      <c r="I33" s="19" t="str">
        <f t="shared" si="0"/>
        <v>·</v>
      </c>
      <c r="J33" s="20">
        <f t="shared" si="1"/>
        <v>10.423553078847043</v>
      </c>
      <c r="K33" s="20">
        <f t="shared" si="2"/>
        <v>8.6158762803270807</v>
      </c>
      <c r="L33" s="20">
        <f t="shared" si="3"/>
        <v>1.807536697845054</v>
      </c>
      <c r="M33" s="21"/>
      <c r="N33" s="20">
        <f t="shared" si="4"/>
        <v>10.423553078847043</v>
      </c>
      <c r="O33" s="22">
        <v>8907880</v>
      </c>
      <c r="P33" s="23">
        <v>92851760</v>
      </c>
      <c r="Q33" s="23">
        <v>76749192</v>
      </c>
      <c r="R33" s="23">
        <v>16101320</v>
      </c>
      <c r="S33" s="24"/>
      <c r="T33" s="25">
        <v>35.370600000000003</v>
      </c>
      <c r="U33" s="25">
        <v>41.233400000000003</v>
      </c>
      <c r="V33" s="25">
        <v>41.254199999999997</v>
      </c>
      <c r="W33" s="26"/>
      <c r="X33" s="25">
        <v>28.130800000000001</v>
      </c>
      <c r="Y33" s="25">
        <v>28.130800000000001</v>
      </c>
      <c r="Z33" s="25">
        <v>28.130800000000001</v>
      </c>
      <c r="AA33" s="26"/>
      <c r="AB33" s="27"/>
      <c r="AC33" s="27"/>
      <c r="AE33" s="19" t="str">
        <f t="shared" si="5"/>
        <v>·</v>
      </c>
      <c r="AF33" s="20">
        <f t="shared" si="6"/>
        <v>10.386021365352924</v>
      </c>
      <c r="AG33" s="20">
        <f t="shared" si="7"/>
        <v>8.6158762803270807</v>
      </c>
      <c r="AH33" s="20">
        <f t="shared" si="8"/>
        <v>1.7700049843509342</v>
      </c>
      <c r="AI33" s="21"/>
      <c r="AJ33" s="20">
        <f t="shared" si="9"/>
        <v>10.386021365352924</v>
      </c>
      <c r="AK33" s="22">
        <v>8907880</v>
      </c>
      <c r="AL33" s="23">
        <v>92517432</v>
      </c>
      <c r="AM33" s="23">
        <v>76749192</v>
      </c>
      <c r="AN33" s="23">
        <v>15766992</v>
      </c>
      <c r="AO33" s="24"/>
      <c r="AP33" s="25">
        <v>35.3645</v>
      </c>
      <c r="AQ33" s="25">
        <v>41.3367</v>
      </c>
      <c r="AR33" s="25">
        <v>41.3889</v>
      </c>
      <c r="AS33" s="26"/>
      <c r="AT33" s="25">
        <v>28.130800000000001</v>
      </c>
      <c r="AU33" s="25">
        <v>28.130800000000001</v>
      </c>
      <c r="AV33" s="25">
        <v>28.130800000000001</v>
      </c>
      <c r="AW33" s="26"/>
      <c r="AX33" s="27">
        <v>42.478999999999999</v>
      </c>
      <c r="AY33" s="27">
        <v>35.755000000000003</v>
      </c>
      <c r="BA33" s="28">
        <f t="shared" si="10"/>
        <v>2.9869836993078325E-3</v>
      </c>
      <c r="BB33" s="28"/>
      <c r="BD33" s="29"/>
      <c r="BE33" s="29"/>
      <c r="BF33" s="29"/>
      <c r="BG33" s="30"/>
      <c r="BI33" s="29"/>
      <c r="BJ33" s="29"/>
      <c r="BK33" s="29"/>
      <c r="BL33" s="30"/>
      <c r="BN33" s="29"/>
      <c r="BO33" s="29"/>
      <c r="BP33" s="29"/>
      <c r="BQ33" s="30"/>
      <c r="BS33" s="29"/>
      <c r="BT33" s="29"/>
      <c r="BU33" s="29"/>
      <c r="BV33" s="30"/>
    </row>
    <row r="34" spans="1:74" outlineLevel="1" x14ac:dyDescent="0.15">
      <c r="A34" s="31"/>
      <c r="B34" s="46" t="s">
        <v>245</v>
      </c>
      <c r="C34" s="47" t="s">
        <v>229</v>
      </c>
      <c r="D34" s="46">
        <v>8907880</v>
      </c>
      <c r="E34" s="48">
        <v>14</v>
      </c>
      <c r="F34" s="47">
        <v>1</v>
      </c>
      <c r="G34" s="47"/>
      <c r="I34" s="49" t="str">
        <f t="shared" si="0"/>
        <v>·</v>
      </c>
      <c r="J34" s="50">
        <f t="shared" si="1"/>
        <v>9.4332568467469251</v>
      </c>
      <c r="K34" s="50">
        <f t="shared" si="2"/>
        <v>8.6158762803270807</v>
      </c>
      <c r="L34" s="50">
        <f t="shared" si="3"/>
        <v>0.81724046574493592</v>
      </c>
      <c r="M34" s="51"/>
      <c r="N34" s="50">
        <f t="shared" si="4"/>
        <v>9.4332568467469251</v>
      </c>
      <c r="O34" s="52">
        <v>8907880</v>
      </c>
      <c r="P34" s="53">
        <v>84030320</v>
      </c>
      <c r="Q34" s="53">
        <v>76749192</v>
      </c>
      <c r="R34" s="53">
        <v>7279880</v>
      </c>
      <c r="S34" s="54"/>
      <c r="T34" s="55">
        <v>29.221900000000002</v>
      </c>
      <c r="U34" s="55">
        <v>36.734999999999999</v>
      </c>
      <c r="V34" s="55">
        <v>36.6325</v>
      </c>
      <c r="W34" s="56"/>
      <c r="X34" s="55">
        <v>21.686399999999999</v>
      </c>
      <c r="Y34" s="55">
        <v>21.686399999999999</v>
      </c>
      <c r="Z34" s="55">
        <v>21.686399999999999</v>
      </c>
      <c r="AA34" s="56"/>
      <c r="AB34" s="57"/>
      <c r="AC34" s="57"/>
      <c r="AE34" s="49" t="str">
        <f t="shared" si="5"/>
        <v>·</v>
      </c>
      <c r="AF34" s="50">
        <f t="shared" si="6"/>
        <v>9.4100378541246634</v>
      </c>
      <c r="AG34" s="50">
        <f t="shared" si="7"/>
        <v>8.6158762803270807</v>
      </c>
      <c r="AH34" s="50">
        <f t="shared" si="8"/>
        <v>0.79402147312267346</v>
      </c>
      <c r="AI34" s="51"/>
      <c r="AJ34" s="50">
        <f t="shared" si="9"/>
        <v>9.4100378541246634</v>
      </c>
      <c r="AK34" s="52">
        <v>8907880</v>
      </c>
      <c r="AL34" s="53">
        <v>83823488</v>
      </c>
      <c r="AM34" s="53">
        <v>76749192</v>
      </c>
      <c r="AN34" s="53">
        <v>7073048</v>
      </c>
      <c r="AO34" s="54"/>
      <c r="AP34" s="55">
        <v>29.195900000000002</v>
      </c>
      <c r="AQ34" s="55">
        <v>36.907200000000003</v>
      </c>
      <c r="AR34" s="55">
        <v>36.7943</v>
      </c>
      <c r="AS34" s="56"/>
      <c r="AT34" s="55">
        <v>21.686399999999999</v>
      </c>
      <c r="AU34" s="55">
        <v>21.686399999999999</v>
      </c>
      <c r="AV34" s="55">
        <v>21.686399999999999</v>
      </c>
      <c r="AW34" s="56"/>
      <c r="AX34" s="57">
        <v>42.415999999999997</v>
      </c>
      <c r="AY34" s="57">
        <v>35.473999999999997</v>
      </c>
      <c r="BA34" s="58">
        <f t="shared" si="10"/>
        <v>2.2536672709149164E-3</v>
      </c>
      <c r="BB34" s="58"/>
      <c r="BD34" s="59"/>
      <c r="BE34" s="59"/>
      <c r="BF34" s="59"/>
      <c r="BG34" s="60"/>
      <c r="BI34" s="59"/>
      <c r="BJ34" s="59"/>
      <c r="BK34" s="59"/>
      <c r="BL34" s="60"/>
      <c r="BN34" s="59"/>
      <c r="BO34" s="59"/>
      <c r="BP34" s="59"/>
      <c r="BQ34" s="60"/>
      <c r="BS34" s="59"/>
      <c r="BT34" s="59"/>
      <c r="BU34" s="59"/>
      <c r="BV34" s="60"/>
    </row>
    <row r="35" spans="1:74" x14ac:dyDescent="0.15">
      <c r="A35" s="16"/>
      <c r="B35" s="16" t="s">
        <v>248</v>
      </c>
      <c r="C35" s="17" t="s">
        <v>225</v>
      </c>
      <c r="D35" s="16">
        <v>4061755</v>
      </c>
      <c r="E35" s="18">
        <v>11</v>
      </c>
      <c r="F35" s="17">
        <v>1</v>
      </c>
      <c r="G35" s="17"/>
      <c r="I35" s="19" t="str">
        <f t="shared" si="0"/>
        <v>·</v>
      </c>
      <c r="J35" s="20">
        <f t="shared" si="1"/>
        <v>7.7589239134315093</v>
      </c>
      <c r="K35" s="20">
        <f t="shared" si="2"/>
        <v>1.2030622231030674</v>
      </c>
      <c r="L35" s="20">
        <f t="shared" si="3"/>
        <v>6.5556351872528005</v>
      </c>
      <c r="M35" s="21"/>
      <c r="N35" s="20">
        <f t="shared" si="4"/>
        <v>7.7589239134315093</v>
      </c>
      <c r="O35" s="22">
        <v>4061755</v>
      </c>
      <c r="P35" s="23">
        <v>31514848</v>
      </c>
      <c r="Q35" s="23">
        <v>4886544</v>
      </c>
      <c r="R35" s="23">
        <v>26627384</v>
      </c>
      <c r="S35" s="24"/>
      <c r="T35" s="25">
        <v>53.099800000000002</v>
      </c>
      <c r="U35" s="25">
        <v>55.983800000000002</v>
      </c>
      <c r="V35" s="25">
        <v>55.197899999999997</v>
      </c>
      <c r="W35" s="26"/>
      <c r="X35" s="25">
        <v>48.130800000000001</v>
      </c>
      <c r="Y35" s="25">
        <v>48.130800000000001</v>
      </c>
      <c r="Z35" s="25">
        <v>48.130800000000001</v>
      </c>
      <c r="AA35" s="26"/>
      <c r="AB35" s="27"/>
      <c r="AC35" s="27"/>
      <c r="AE35" s="19" t="str">
        <f t="shared" si="5"/>
        <v>·</v>
      </c>
      <c r="AF35" s="20">
        <f t="shared" si="6"/>
        <v>7.7845305785307088</v>
      </c>
      <c r="AG35" s="20">
        <f t="shared" si="7"/>
        <v>1.2030622231030674</v>
      </c>
      <c r="AH35" s="20">
        <f t="shared" si="8"/>
        <v>6.5812418523520009</v>
      </c>
      <c r="AI35" s="21"/>
      <c r="AJ35" s="20">
        <f t="shared" si="9"/>
        <v>7.7845305785307088</v>
      </c>
      <c r="AK35" s="22">
        <v>4061755</v>
      </c>
      <c r="AL35" s="23">
        <v>31618856</v>
      </c>
      <c r="AM35" s="23">
        <v>4886544</v>
      </c>
      <c r="AN35" s="23">
        <v>26731392</v>
      </c>
      <c r="AO35" s="24"/>
      <c r="AP35" s="25">
        <v>53.101700000000001</v>
      </c>
      <c r="AQ35" s="25">
        <v>55.977400000000003</v>
      </c>
      <c r="AR35" s="25">
        <v>55.188800000000001</v>
      </c>
      <c r="AS35" s="26"/>
      <c r="AT35" s="25">
        <v>48.130800000000001</v>
      </c>
      <c r="AU35" s="25">
        <v>48.130800000000001</v>
      </c>
      <c r="AV35" s="25">
        <v>48.130800000000001</v>
      </c>
      <c r="AW35" s="26"/>
      <c r="AX35" s="27">
        <v>9.843</v>
      </c>
      <c r="AY35" s="27">
        <v>10.170999999999999</v>
      </c>
      <c r="BA35" s="28">
        <f t="shared" si="10"/>
        <v>-5.1004346728195094E-4</v>
      </c>
      <c r="BB35" s="28">
        <f t="array" ref="BB35">AVERAGE(AM35:AM39/AL35:AL39) - AVERAGE(Q35:Q39/P35:P39)</f>
        <v>-1.372360240197823E-3</v>
      </c>
      <c r="BD35" s="29">
        <f>IF( OR(ISBLANK(R35:R39),ISBLANK(AN35:AN39), ISBLANK(T35:T39),ISBLANK(AP35:AP39)), "·", bdRateExtend( R35:R39,T35:T39, AN35:AN39,AP35:AP39))</f>
        <v>6.0424879807552401E-3</v>
      </c>
      <c r="BE35" s="29">
        <f>IF( OR(ISBLANK(R35:R39),ISBLANK(AN35:AN39), ISBLANK(U35:U39),ISBLANK(AQ35:AQ39)), "·", bdRateExtend( R35:R39,U35:U39, AN35:AN39,AQ35:AQ39))</f>
        <v>1.8381317007529097E-2</v>
      </c>
      <c r="BF35" s="29">
        <f>IF( OR(ISBLANK(R35:R39),ISBLANK(AN35:AN39), ISBLANK(V35:V39),ISBLANK(AR35:AR39)), "·", bdRateExtend( R35:R39,V35:V39, AN35:AN39,AR35:AR39))</f>
        <v>1.4691031539439958E-2</v>
      </c>
      <c r="BG35" s="30"/>
      <c r="BI35" s="29">
        <f>IF( OR(ISBLANK(R35:R39),ISBLANK(AN35:AN39), ISBLANK(X35:X39),ISBLANK(AT35:AT39)), "·", bdRateExtend( R35:R39,X35:X39, AN35:AN39,AT35:AT39))</f>
        <v>6.8193067299258114E-3</v>
      </c>
      <c r="BJ35" s="29">
        <f>IF( OR(ISBLANK(R35:R39),ISBLANK(AN35:AN39), ISBLANK(Y35:Y39),ISBLANK(AU35:AU39)), "·", bdRateExtend( R35:R39,Y35:Y39, AN35:AN39,AU35:AU39))</f>
        <v>6.8193067299258114E-3</v>
      </c>
      <c r="BK35" s="29">
        <f>IF( OR(ISBLANK(R35:R39),ISBLANK(AN35:AN39), ISBLANK(Z35:Z39),ISBLANK(AV35:AV39)), "·", bdRateExtend( R35:R39,Z35:Z39, AN35:AN39,AV35:AV39))</f>
        <v>6.8193067299258114E-3</v>
      </c>
      <c r="BL35" s="30"/>
      <c r="BN35" s="29">
        <f>IF( OR(ISBLANK(P35:P39),ISBLANK(AL35:AL39), ISBLANK(T35:T39),ISBLANK(AP35:AP39)), "·", bdRateExtend( P35:P39,T35:T39, AL35:AL39,AP35:AP39))</f>
        <v>3.5411293651774756E-3</v>
      </c>
      <c r="BO35" s="29">
        <f>IF( OR(ISBLANK(P35:P39),ISBLANK(AL35:AL39), ISBLANK(U35:U39),ISBLANK(AQ35:AQ39)), "·", bdRateExtend( P35:P39,U35:U39, AL35:AL39,AQ35:AQ39))</f>
        <v>8.2199978329515755E-3</v>
      </c>
      <c r="BP35" s="29">
        <f>IF( OR(ISBLANK(P35:P39),ISBLANK(AL35:AL39), ISBLANK(V35:V39),ISBLANK(AR35:AR39)), "·", bdRateExtend( P35:P39,V35:V39, AL35:AL39,AR35:AR39))</f>
        <v>8.5543404356247521E-3</v>
      </c>
      <c r="BQ35" s="30"/>
      <c r="BS35" s="29">
        <f>IF( OR(ISBLANK(P35:P39),ISBLANK(AL35:AL39), ISBLANK(X35:X39),ISBLANK(AT35:AT39)), "·", bdRateExtend( P35:P39,X35:X39, AL35:AL39,AT35:AT39))</f>
        <v>3.9917982768915561E-3</v>
      </c>
      <c r="BT35" s="29">
        <f>IF( OR(ISBLANK(P35:P39),ISBLANK(AL35:AL39), ISBLANK(Y35:Y39),ISBLANK(AU35:AU39)), "·", bdRateExtend( P35:P39,Y35:Y39, AL35:AL39,AU35:AU39))</f>
        <v>3.9917982768915561E-3</v>
      </c>
      <c r="BU35" s="29">
        <f>IF( OR(ISBLANK(P35:P39),ISBLANK(AL35:AL39), ISBLANK(Z35:Z39),ISBLANK(AV35:AV39)), "·", bdRateExtend( P35:P39,Z35:Z39, AL35:AL39,AV35:AV39))</f>
        <v>3.9917982768915561E-3</v>
      </c>
      <c r="BV35" s="30"/>
    </row>
    <row r="36" spans="1:74" outlineLevel="1" x14ac:dyDescent="0.15">
      <c r="A36" s="31"/>
      <c r="B36" s="31" t="s">
        <v>248</v>
      </c>
      <c r="C36" s="32" t="s">
        <v>226</v>
      </c>
      <c r="D36" s="31">
        <v>4061755</v>
      </c>
      <c r="E36" s="33">
        <v>11</v>
      </c>
      <c r="F36" s="32">
        <v>1</v>
      </c>
      <c r="G36" s="32"/>
      <c r="I36" s="34" t="str">
        <f t="shared" si="0"/>
        <v>·</v>
      </c>
      <c r="J36" s="35">
        <f t="shared" si="1"/>
        <v>5.8140739655641465</v>
      </c>
      <c r="K36" s="35">
        <f t="shared" si="2"/>
        <v>1.2030622231030674</v>
      </c>
      <c r="L36" s="35">
        <f t="shared" si="3"/>
        <v>4.6107852393854385</v>
      </c>
      <c r="M36" s="36"/>
      <c r="N36" s="35">
        <f t="shared" si="4"/>
        <v>5.8140739655641465</v>
      </c>
      <c r="O36" s="37">
        <v>4061755</v>
      </c>
      <c r="P36" s="38">
        <v>23615344</v>
      </c>
      <c r="Q36" s="38">
        <v>4886544</v>
      </c>
      <c r="R36" s="38">
        <v>18727880</v>
      </c>
      <c r="S36" s="39"/>
      <c r="T36" s="40">
        <v>48.068899999999999</v>
      </c>
      <c r="U36" s="40">
        <v>51.109099999999998</v>
      </c>
      <c r="V36" s="40">
        <v>51.152700000000003</v>
      </c>
      <c r="W36" s="41"/>
      <c r="X36" s="40">
        <v>42.110199999999999</v>
      </c>
      <c r="Y36" s="40">
        <v>42.110199999999999</v>
      </c>
      <c r="Z36" s="40">
        <v>42.110199999999999</v>
      </c>
      <c r="AA36" s="41"/>
      <c r="AB36" s="42"/>
      <c r="AC36" s="42"/>
      <c r="AE36" s="34" t="str">
        <f t="shared" si="5"/>
        <v>·</v>
      </c>
      <c r="AF36" s="35">
        <f t="shared" si="6"/>
        <v>5.8355444875429461</v>
      </c>
      <c r="AG36" s="35">
        <f t="shared" si="7"/>
        <v>1.2030622231030674</v>
      </c>
      <c r="AH36" s="35">
        <f t="shared" si="8"/>
        <v>4.6322557613642381</v>
      </c>
      <c r="AI36" s="36"/>
      <c r="AJ36" s="35">
        <f t="shared" si="9"/>
        <v>5.8355444875429461</v>
      </c>
      <c r="AK36" s="37">
        <v>4061755</v>
      </c>
      <c r="AL36" s="38">
        <v>23702552</v>
      </c>
      <c r="AM36" s="38">
        <v>4886544</v>
      </c>
      <c r="AN36" s="38">
        <v>18815088</v>
      </c>
      <c r="AO36" s="39"/>
      <c r="AP36" s="40">
        <v>48.072200000000002</v>
      </c>
      <c r="AQ36" s="40">
        <v>51.1021</v>
      </c>
      <c r="AR36" s="40">
        <v>51.143300000000004</v>
      </c>
      <c r="AS36" s="41"/>
      <c r="AT36" s="40">
        <v>42.110199999999999</v>
      </c>
      <c r="AU36" s="40">
        <v>42.110199999999999</v>
      </c>
      <c r="AV36" s="40">
        <v>42.110199999999999</v>
      </c>
      <c r="AW36" s="41"/>
      <c r="AX36" s="42">
        <v>9.8279999999999994</v>
      </c>
      <c r="AY36" s="42">
        <v>8.8450000000000006</v>
      </c>
      <c r="BA36" s="43">
        <f t="shared" si="10"/>
        <v>-7.6132265946385336E-4</v>
      </c>
      <c r="BB36" s="43"/>
      <c r="BD36" s="44"/>
      <c r="BE36" s="44"/>
      <c r="BF36" s="44"/>
      <c r="BG36" s="45"/>
      <c r="BI36" s="44"/>
      <c r="BJ36" s="44"/>
      <c r="BK36" s="44"/>
      <c r="BL36" s="45"/>
      <c r="BN36" s="44"/>
      <c r="BO36" s="44"/>
      <c r="BP36" s="44"/>
      <c r="BQ36" s="45"/>
      <c r="BS36" s="44"/>
      <c r="BT36" s="44"/>
      <c r="BU36" s="44"/>
      <c r="BV36" s="45"/>
    </row>
    <row r="37" spans="1:74" outlineLevel="1" x14ac:dyDescent="0.15">
      <c r="A37" s="16"/>
      <c r="B37" s="16" t="s">
        <v>248</v>
      </c>
      <c r="C37" s="17" t="s">
        <v>227</v>
      </c>
      <c r="D37" s="16">
        <v>4061755</v>
      </c>
      <c r="E37" s="18">
        <v>11</v>
      </c>
      <c r="F37" s="17">
        <v>1</v>
      </c>
      <c r="G37" s="17"/>
      <c r="I37" s="19" t="str">
        <f t="shared" si="0"/>
        <v>·</v>
      </c>
      <c r="J37" s="20">
        <f t="shared" si="1"/>
        <v>3.692608736863745</v>
      </c>
      <c r="K37" s="20">
        <f t="shared" si="2"/>
        <v>1.2030622231030674</v>
      </c>
      <c r="L37" s="20">
        <f t="shared" si="3"/>
        <v>2.4893200106850366</v>
      </c>
      <c r="M37" s="21"/>
      <c r="N37" s="20">
        <f t="shared" si="4"/>
        <v>3.692608736863745</v>
      </c>
      <c r="O37" s="22">
        <v>4061755</v>
      </c>
      <c r="P37" s="23">
        <v>14998472</v>
      </c>
      <c r="Q37" s="23">
        <v>4886544</v>
      </c>
      <c r="R37" s="23">
        <v>10111008</v>
      </c>
      <c r="S37" s="24"/>
      <c r="T37" s="25">
        <v>40.736600000000003</v>
      </c>
      <c r="U37" s="25">
        <v>45.996299999999998</v>
      </c>
      <c r="V37" s="25">
        <v>46.670499999999997</v>
      </c>
      <c r="W37" s="26"/>
      <c r="X37" s="25">
        <v>34.151400000000002</v>
      </c>
      <c r="Y37" s="25">
        <v>34.151400000000002</v>
      </c>
      <c r="Z37" s="25">
        <v>34.151400000000002</v>
      </c>
      <c r="AA37" s="26"/>
      <c r="AB37" s="27"/>
      <c r="AC37" s="27"/>
      <c r="AE37" s="19" t="str">
        <f t="shared" si="5"/>
        <v>·</v>
      </c>
      <c r="AF37" s="20">
        <f t="shared" si="6"/>
        <v>3.7101479532862025</v>
      </c>
      <c r="AG37" s="20">
        <f t="shared" si="7"/>
        <v>1.2030622231030674</v>
      </c>
      <c r="AH37" s="20">
        <f t="shared" si="8"/>
        <v>2.5068592271074941</v>
      </c>
      <c r="AI37" s="21"/>
      <c r="AJ37" s="20">
        <f t="shared" si="9"/>
        <v>3.7101479532862025</v>
      </c>
      <c r="AK37" s="22">
        <v>4061755</v>
      </c>
      <c r="AL37" s="23">
        <v>15069712</v>
      </c>
      <c r="AM37" s="23">
        <v>4886544</v>
      </c>
      <c r="AN37" s="23">
        <v>10182248</v>
      </c>
      <c r="AO37" s="24"/>
      <c r="AP37" s="25">
        <v>40.7453</v>
      </c>
      <c r="AQ37" s="25">
        <v>45.977699999999999</v>
      </c>
      <c r="AR37" s="25">
        <v>46.617899999999999</v>
      </c>
      <c r="AS37" s="26"/>
      <c r="AT37" s="25">
        <v>34.151400000000002</v>
      </c>
      <c r="AU37" s="25">
        <v>34.151400000000002</v>
      </c>
      <c r="AV37" s="25">
        <v>34.151400000000002</v>
      </c>
      <c r="AW37" s="26"/>
      <c r="AX37" s="27">
        <v>9.625</v>
      </c>
      <c r="AY37" s="27">
        <v>8.1430000000000007</v>
      </c>
      <c r="BA37" s="28">
        <f t="shared" si="10"/>
        <v>-1.5401880705320226E-3</v>
      </c>
      <c r="BB37" s="28"/>
      <c r="BD37" s="29"/>
      <c r="BE37" s="29"/>
      <c r="BF37" s="29"/>
      <c r="BG37" s="30"/>
      <c r="BI37" s="29"/>
      <c r="BJ37" s="29"/>
      <c r="BK37" s="29"/>
      <c r="BL37" s="30"/>
      <c r="BN37" s="29"/>
      <c r="BO37" s="29"/>
      <c r="BP37" s="29"/>
      <c r="BQ37" s="30"/>
      <c r="BS37" s="29"/>
      <c r="BT37" s="29"/>
      <c r="BU37" s="29"/>
      <c r="BV37" s="30"/>
    </row>
    <row r="38" spans="1:74" outlineLevel="1" x14ac:dyDescent="0.15">
      <c r="A38" s="31"/>
      <c r="B38" s="31" t="s">
        <v>248</v>
      </c>
      <c r="C38" s="32" t="s">
        <v>228</v>
      </c>
      <c r="D38" s="31">
        <v>4061755</v>
      </c>
      <c r="E38" s="33">
        <v>11</v>
      </c>
      <c r="F38" s="32">
        <v>1</v>
      </c>
      <c r="G38" s="32"/>
      <c r="I38" s="34" t="str">
        <f t="shared" si="0"/>
        <v>·</v>
      </c>
      <c r="J38" s="35">
        <f t="shared" si="1"/>
        <v>2.4278766198355144</v>
      </c>
      <c r="K38" s="35">
        <f t="shared" si="2"/>
        <v>1.2030622231030674</v>
      </c>
      <c r="L38" s="35">
        <f t="shared" si="3"/>
        <v>1.224587893656806</v>
      </c>
      <c r="M38" s="36"/>
      <c r="N38" s="35">
        <f t="shared" si="4"/>
        <v>2.4278766198355144</v>
      </c>
      <c r="O38" s="37">
        <v>4061755</v>
      </c>
      <c r="P38" s="38">
        <v>9861440</v>
      </c>
      <c r="Q38" s="38">
        <v>4886544</v>
      </c>
      <c r="R38" s="38">
        <v>4973976</v>
      </c>
      <c r="S38" s="39"/>
      <c r="T38" s="40">
        <v>35.331099999999999</v>
      </c>
      <c r="U38" s="40">
        <v>41.818600000000004</v>
      </c>
      <c r="V38" s="40">
        <v>42.919499999999999</v>
      </c>
      <c r="W38" s="41"/>
      <c r="X38" s="40">
        <v>28.130800000000001</v>
      </c>
      <c r="Y38" s="40">
        <v>28.130800000000001</v>
      </c>
      <c r="Z38" s="40">
        <v>28.130800000000001</v>
      </c>
      <c r="AA38" s="41"/>
      <c r="AB38" s="42"/>
      <c r="AC38" s="42"/>
      <c r="AE38" s="34" t="str">
        <f t="shared" si="5"/>
        <v>·</v>
      </c>
      <c r="AF38" s="35">
        <f t="shared" si="6"/>
        <v>2.4384178760166479</v>
      </c>
      <c r="AG38" s="35">
        <f t="shared" si="7"/>
        <v>1.2030622231030674</v>
      </c>
      <c r="AH38" s="35">
        <f t="shared" si="8"/>
        <v>1.2351291498379395</v>
      </c>
      <c r="AI38" s="36"/>
      <c r="AJ38" s="35">
        <f t="shared" si="9"/>
        <v>2.4384178760166479</v>
      </c>
      <c r="AK38" s="37">
        <v>4061755</v>
      </c>
      <c r="AL38" s="38">
        <v>9904256</v>
      </c>
      <c r="AM38" s="38">
        <v>4886544</v>
      </c>
      <c r="AN38" s="38">
        <v>5016792</v>
      </c>
      <c r="AO38" s="39"/>
      <c r="AP38" s="40">
        <v>35.345199999999998</v>
      </c>
      <c r="AQ38" s="40">
        <v>41.782499999999999</v>
      </c>
      <c r="AR38" s="40">
        <v>42.800699999999999</v>
      </c>
      <c r="AS38" s="41"/>
      <c r="AT38" s="40">
        <v>28.130800000000001</v>
      </c>
      <c r="AU38" s="40">
        <v>28.130800000000001</v>
      </c>
      <c r="AV38" s="40">
        <v>28.130800000000001</v>
      </c>
      <c r="AW38" s="41"/>
      <c r="AX38" s="42">
        <v>9.4380000000000006</v>
      </c>
      <c r="AY38" s="42">
        <v>7.5190000000000001</v>
      </c>
      <c r="BA38" s="43">
        <f t="shared" si="10"/>
        <v>-2.1421294477776409E-3</v>
      </c>
      <c r="BB38" s="43"/>
      <c r="BD38" s="44"/>
      <c r="BE38" s="44"/>
      <c r="BF38" s="44"/>
      <c r="BG38" s="45"/>
      <c r="BI38" s="44"/>
      <c r="BJ38" s="44"/>
      <c r="BK38" s="44"/>
      <c r="BL38" s="45"/>
      <c r="BN38" s="44"/>
      <c r="BO38" s="44"/>
      <c r="BP38" s="44"/>
      <c r="BQ38" s="45"/>
      <c r="BS38" s="44"/>
      <c r="BT38" s="44"/>
      <c r="BU38" s="44"/>
      <c r="BV38" s="45"/>
    </row>
    <row r="39" spans="1:74" outlineLevel="1" x14ac:dyDescent="0.15">
      <c r="A39" s="16"/>
      <c r="B39" s="65" t="s">
        <v>248</v>
      </c>
      <c r="C39" s="67" t="s">
        <v>229</v>
      </c>
      <c r="D39" s="65">
        <v>4061755</v>
      </c>
      <c r="E39" s="66">
        <v>11</v>
      </c>
      <c r="F39" s="67">
        <v>1</v>
      </c>
      <c r="G39" s="67"/>
      <c r="I39" s="69" t="str">
        <f t="shared" si="0"/>
        <v>·</v>
      </c>
      <c r="J39" s="70">
        <f t="shared" si="1"/>
        <v>1.5712360789855617</v>
      </c>
      <c r="K39" s="70">
        <f t="shared" si="2"/>
        <v>1.2030622231030674</v>
      </c>
      <c r="L39" s="70">
        <f t="shared" si="3"/>
        <v>0.3679473528068532</v>
      </c>
      <c r="M39" s="75"/>
      <c r="N39" s="70">
        <f t="shared" si="4"/>
        <v>1.5712360789855617</v>
      </c>
      <c r="O39" s="71">
        <v>4061755</v>
      </c>
      <c r="P39" s="72">
        <v>6381976</v>
      </c>
      <c r="Q39" s="72">
        <v>4886544</v>
      </c>
      <c r="R39" s="72">
        <v>1494512</v>
      </c>
      <c r="S39" s="76"/>
      <c r="T39" s="77">
        <v>29.859200000000001</v>
      </c>
      <c r="U39" s="77">
        <v>37.907299999999999</v>
      </c>
      <c r="V39" s="77">
        <v>38.485199999999999</v>
      </c>
      <c r="W39" s="78"/>
      <c r="X39" s="77">
        <v>21.686399999999999</v>
      </c>
      <c r="Y39" s="77">
        <v>21.686399999999999</v>
      </c>
      <c r="Z39" s="77">
        <v>21.686399999999999</v>
      </c>
      <c r="AA39" s="78"/>
      <c r="AB39" s="73"/>
      <c r="AC39" s="73"/>
      <c r="AE39" s="69" t="str">
        <f t="shared" si="5"/>
        <v>·</v>
      </c>
      <c r="AF39" s="70">
        <f t="shared" si="6"/>
        <v>1.5751614757660175</v>
      </c>
      <c r="AG39" s="70">
        <f t="shared" si="7"/>
        <v>1.2030622231030674</v>
      </c>
      <c r="AH39" s="70">
        <f t="shared" si="8"/>
        <v>0.37187274958730893</v>
      </c>
      <c r="AI39" s="75"/>
      <c r="AJ39" s="70">
        <f t="shared" si="9"/>
        <v>1.5751614757660175</v>
      </c>
      <c r="AK39" s="71">
        <v>4061755</v>
      </c>
      <c r="AL39" s="72">
        <v>6397920</v>
      </c>
      <c r="AM39" s="72">
        <v>4886544</v>
      </c>
      <c r="AN39" s="72">
        <v>1510456</v>
      </c>
      <c r="AO39" s="76"/>
      <c r="AP39" s="77">
        <v>29.851099999999999</v>
      </c>
      <c r="AQ39" s="77">
        <v>37.598100000000002</v>
      </c>
      <c r="AR39" s="77">
        <v>38.558199999999999</v>
      </c>
      <c r="AS39" s="78"/>
      <c r="AT39" s="77">
        <v>21.686399999999999</v>
      </c>
      <c r="AU39" s="77">
        <v>21.686399999999999</v>
      </c>
      <c r="AV39" s="77">
        <v>21.686399999999999</v>
      </c>
      <c r="AW39" s="78"/>
      <c r="AX39" s="73">
        <v>9.64</v>
      </c>
      <c r="AY39" s="73">
        <v>7.4409999999999998</v>
      </c>
      <c r="BA39" s="68">
        <f t="shared" si="10"/>
        <v>-1.9081175559333419E-3</v>
      </c>
      <c r="BB39" s="68"/>
      <c r="BD39" s="74"/>
      <c r="BE39" s="74"/>
      <c r="BF39" s="74"/>
      <c r="BG39" s="79"/>
      <c r="BI39" s="74"/>
      <c r="BJ39" s="74"/>
      <c r="BK39" s="74"/>
      <c r="BL39" s="79"/>
      <c r="BN39" s="74"/>
      <c r="BO39" s="74"/>
      <c r="BP39" s="74"/>
      <c r="BQ39" s="79"/>
      <c r="BS39" s="74"/>
      <c r="BT39" s="74"/>
      <c r="BU39" s="74"/>
      <c r="BV39" s="79"/>
    </row>
    <row r="40" spans="1:74" x14ac:dyDescent="0.15">
      <c r="A40" s="31"/>
      <c r="B40" s="31" t="s">
        <v>251</v>
      </c>
      <c r="C40" s="32" t="s">
        <v>225</v>
      </c>
      <c r="D40" s="31">
        <v>3614251</v>
      </c>
      <c r="E40" s="33">
        <v>12</v>
      </c>
      <c r="F40" s="32">
        <v>1</v>
      </c>
      <c r="G40" s="32"/>
      <c r="I40" s="34" t="str">
        <f t="shared" si="0"/>
        <v>·</v>
      </c>
      <c r="J40" s="35">
        <f t="shared" si="1"/>
        <v>12.636322159141686</v>
      </c>
      <c r="K40" s="35">
        <f t="shared" si="2"/>
        <v>6.4338221114139555</v>
      </c>
      <c r="L40" s="35">
        <f t="shared" si="3"/>
        <v>6.2022676344282672</v>
      </c>
      <c r="M40" s="36"/>
      <c r="N40" s="35">
        <f t="shared" si="4"/>
        <v>12.636322159141686</v>
      </c>
      <c r="O40" s="37">
        <v>3614251</v>
      </c>
      <c r="P40" s="38">
        <v>45670840</v>
      </c>
      <c r="Q40" s="38">
        <v>23253448</v>
      </c>
      <c r="R40" s="38">
        <v>22416552</v>
      </c>
      <c r="S40" s="39"/>
      <c r="T40" s="40">
        <v>52.923200000000001</v>
      </c>
      <c r="U40" s="40">
        <v>55.717100000000002</v>
      </c>
      <c r="V40" s="40">
        <v>55.838500000000003</v>
      </c>
      <c r="W40" s="41"/>
      <c r="X40" s="40">
        <v>48.130800000000001</v>
      </c>
      <c r="Y40" s="40">
        <v>48.130800000000001</v>
      </c>
      <c r="Z40" s="40">
        <v>48.130800000000001</v>
      </c>
      <c r="AA40" s="41"/>
      <c r="AB40" s="42"/>
      <c r="AC40" s="42"/>
      <c r="AE40" s="34" t="str">
        <f t="shared" si="5"/>
        <v>·</v>
      </c>
      <c r="AF40" s="35">
        <f t="shared" si="6"/>
        <v>12.592161418783588</v>
      </c>
      <c r="AG40" s="35">
        <f t="shared" si="7"/>
        <v>6.4338221114139555</v>
      </c>
      <c r="AH40" s="35">
        <f t="shared" si="8"/>
        <v>6.1581068940701682</v>
      </c>
      <c r="AI40" s="36"/>
      <c r="AJ40" s="35">
        <f t="shared" si="9"/>
        <v>12.592161418783588</v>
      </c>
      <c r="AK40" s="37">
        <v>3614251</v>
      </c>
      <c r="AL40" s="38">
        <v>45511232</v>
      </c>
      <c r="AM40" s="38">
        <v>23253448</v>
      </c>
      <c r="AN40" s="38">
        <v>22256944</v>
      </c>
      <c r="AO40" s="39"/>
      <c r="AP40" s="40">
        <v>52.915700000000001</v>
      </c>
      <c r="AQ40" s="40">
        <v>55.7226</v>
      </c>
      <c r="AR40" s="40">
        <v>55.8523</v>
      </c>
      <c r="AS40" s="41"/>
      <c r="AT40" s="40">
        <v>48.130800000000001</v>
      </c>
      <c r="AU40" s="40">
        <v>48.130800000000001</v>
      </c>
      <c r="AV40" s="40">
        <v>48.130800000000001</v>
      </c>
      <c r="AW40" s="41"/>
      <c r="AX40" s="42">
        <v>15.756</v>
      </c>
      <c r="AY40" s="42">
        <v>14.57</v>
      </c>
      <c r="BA40" s="43">
        <f t="shared" si="10"/>
        <v>1.7856010097565544E-3</v>
      </c>
      <c r="BB40" s="43">
        <f t="array" ref="BB40">AVERAGE(AM40:AM44/AL40:AL44) - AVERAGE(Q40:Q44/P40:P44)</f>
        <v>2.9337355612735205E-3</v>
      </c>
      <c r="BD40" s="44">
        <f>IF( OR(ISBLANK(R40:R44),ISBLANK(AN40:AN44), ISBLANK(T40:T44),ISBLANK(AP40:AP44)), "·", bdRateExtend( R40:R44,T40:T44, AN40:AN44,AP40:AP44))</f>
        <v>-2.1855560281321407E-2</v>
      </c>
      <c r="BE40" s="44">
        <f>IF( OR(ISBLANK(R40:R44),ISBLANK(AN40:AN44), ISBLANK(U40:U44),ISBLANK(AQ40:AQ44)), "·", bdRateExtend( R40:R44,U40:U44, AN40:AN44,AQ40:AQ44))</f>
        <v>-3.5828175282097807E-2</v>
      </c>
      <c r="BF40" s="44">
        <f>IF( OR(ISBLANK(R40:R44),ISBLANK(AN40:AN44), ISBLANK(V40:V44),ISBLANK(AR40:AR44)), "·", bdRateExtend( R40:R44,V40:V44, AN40:AN44,AR40:AR44))</f>
        <v>-4.7122889471762242E-2</v>
      </c>
      <c r="BG40" s="45"/>
      <c r="BI40" s="44">
        <f>IF( OR(ISBLANK(R40:R44),ISBLANK(AN40:AN44), ISBLANK(X40:X44),ISBLANK(AT40:AT44)), "·", bdRateExtend( R40:R44,X40:X44, AN40:AN44,AT40:AT44))</f>
        <v>-2.1570079778484796E-2</v>
      </c>
      <c r="BJ40" s="44">
        <f>IF( OR(ISBLANK(R40:R44),ISBLANK(AN40:AN44), ISBLANK(Y40:Y44),ISBLANK(AU40:AU44)), "·", bdRateExtend( R40:R44,Y40:Y44, AN40:AN44,AU40:AU44))</f>
        <v>-2.1570079778484796E-2</v>
      </c>
      <c r="BK40" s="44">
        <f>IF( OR(ISBLANK(R40:R44),ISBLANK(AN40:AN44), ISBLANK(Z40:Z44),ISBLANK(AV40:AV44)), "·", bdRateExtend( R40:R44,Z40:Z44, AN40:AN44,AV40:AV44))</f>
        <v>-2.1570079778484796E-2</v>
      </c>
      <c r="BL40" s="45"/>
      <c r="BN40" s="44">
        <f>IF( OR(ISBLANK(P40:P44),ISBLANK(AL40:AL44), ISBLANK(T40:T44),ISBLANK(AP40:AP44)), "·", bdRateExtend( P40:P44,T40:T44, AL40:AL44,AP40:AP44))</f>
        <v>-4.4664026595206963E-3</v>
      </c>
      <c r="BO40" s="44">
        <f>IF( OR(ISBLANK(P40:P44),ISBLANK(AL40:AL44), ISBLANK(U40:U44),ISBLANK(AQ40:AQ44)), "·", bdRateExtend( P40:P44,U40:U44, AL40:AL44,AQ40:AQ44))</f>
        <v>-7.1273329291919874E-3</v>
      </c>
      <c r="BP40" s="44">
        <f>IF( OR(ISBLANK(P40:P44),ISBLANK(AL40:AL44), ISBLANK(V40:V44),ISBLANK(AR40:AR44)), "·", bdRateExtend( P40:P44,V40:V44, AL40:AL44,AR40:AR44))</f>
        <v>-8.4392464734299732E-3</v>
      </c>
      <c r="BQ40" s="45"/>
      <c r="BS40" s="44">
        <f>IF( OR(ISBLANK(P40:P44),ISBLANK(AL40:AL44), ISBLANK(X40:X44),ISBLANK(AT40:AT44)), "·", bdRateExtend( P40:P44,X40:X44, AL40:AL44,AT40:AT44))</f>
        <v>-4.5330379572023904E-3</v>
      </c>
      <c r="BT40" s="44">
        <f>IF( OR(ISBLANK(P40:P44),ISBLANK(AL40:AL44), ISBLANK(Y40:Y44),ISBLANK(AU40:AU44)), "·", bdRateExtend( P40:P44,Y40:Y44, AL40:AL44,AU40:AU44))</f>
        <v>-4.5330379572023904E-3</v>
      </c>
      <c r="BU40" s="44">
        <f>IF( OR(ISBLANK(P40:P44),ISBLANK(AL40:AL44), ISBLANK(Z40:Z44),ISBLANK(AV40:AV44)), "·", bdRateExtend( P40:P44,Z40:Z44, AL40:AL44,AV40:AV44))</f>
        <v>-4.5330379572023904E-3</v>
      </c>
      <c r="BV40" s="45"/>
    </row>
    <row r="41" spans="1:74" outlineLevel="1" x14ac:dyDescent="0.15">
      <c r="A41" s="16"/>
      <c r="B41" s="16" t="s">
        <v>251</v>
      </c>
      <c r="C41" s="17" t="s">
        <v>226</v>
      </c>
      <c r="D41" s="16">
        <v>3614251</v>
      </c>
      <c r="E41" s="18">
        <v>12</v>
      </c>
      <c r="F41" s="17">
        <v>1</v>
      </c>
      <c r="G41" s="17"/>
      <c r="I41" s="19" t="str">
        <f t="shared" si="0"/>
        <v>·</v>
      </c>
      <c r="J41" s="20">
        <f t="shared" si="1"/>
        <v>10.728414822324183</v>
      </c>
      <c r="K41" s="20">
        <f t="shared" si="2"/>
        <v>6.4338221114139555</v>
      </c>
      <c r="L41" s="20">
        <f t="shared" si="3"/>
        <v>4.2943602976107638</v>
      </c>
      <c r="M41" s="21"/>
      <c r="N41" s="20">
        <f t="shared" si="4"/>
        <v>10.728414822324183</v>
      </c>
      <c r="O41" s="22">
        <v>3614251</v>
      </c>
      <c r="P41" s="23">
        <v>38775184</v>
      </c>
      <c r="Q41" s="23">
        <v>23253448</v>
      </c>
      <c r="R41" s="23">
        <v>15520896</v>
      </c>
      <c r="S41" s="24"/>
      <c r="T41" s="25">
        <v>48.134500000000003</v>
      </c>
      <c r="U41" s="25">
        <v>51.110300000000002</v>
      </c>
      <c r="V41" s="25">
        <v>51.2254</v>
      </c>
      <c r="W41" s="26"/>
      <c r="X41" s="25">
        <v>42.110199999999999</v>
      </c>
      <c r="Y41" s="25">
        <v>42.110199999999999</v>
      </c>
      <c r="Z41" s="25">
        <v>42.110199999999999</v>
      </c>
      <c r="AA41" s="26"/>
      <c r="AB41" s="27"/>
      <c r="AC41" s="27"/>
      <c r="AE41" s="19" t="str">
        <f t="shared" si="5"/>
        <v>·</v>
      </c>
      <c r="AF41" s="20">
        <f t="shared" si="6"/>
        <v>10.674229321649216</v>
      </c>
      <c r="AG41" s="20">
        <f t="shared" si="7"/>
        <v>6.4338221114139555</v>
      </c>
      <c r="AH41" s="20">
        <f t="shared" si="8"/>
        <v>4.240174796935797</v>
      </c>
      <c r="AI41" s="21"/>
      <c r="AJ41" s="20">
        <f t="shared" si="9"/>
        <v>10.674229321649216</v>
      </c>
      <c r="AK41" s="22">
        <v>3614251</v>
      </c>
      <c r="AL41" s="23">
        <v>38579344</v>
      </c>
      <c r="AM41" s="23">
        <v>23253448</v>
      </c>
      <c r="AN41" s="23">
        <v>15325056</v>
      </c>
      <c r="AO41" s="24"/>
      <c r="AP41" s="25">
        <v>48.122500000000002</v>
      </c>
      <c r="AQ41" s="25">
        <v>51.145299999999999</v>
      </c>
      <c r="AR41" s="25">
        <v>51.279000000000003</v>
      </c>
      <c r="AS41" s="26"/>
      <c r="AT41" s="25">
        <v>42.110199999999999</v>
      </c>
      <c r="AU41" s="25">
        <v>42.110199999999999</v>
      </c>
      <c r="AV41" s="25">
        <v>42.110199999999999</v>
      </c>
      <c r="AW41" s="26"/>
      <c r="AX41" s="27">
        <v>15.802</v>
      </c>
      <c r="AY41" s="27">
        <v>14.273999999999999</v>
      </c>
      <c r="BA41" s="28">
        <f t="shared" si="10"/>
        <v>3.0442481672127153E-3</v>
      </c>
      <c r="BB41" s="28"/>
      <c r="BD41" s="29"/>
      <c r="BE41" s="29"/>
      <c r="BF41" s="29"/>
      <c r="BG41" s="30"/>
      <c r="BI41" s="29"/>
      <c r="BJ41" s="29"/>
      <c r="BK41" s="29"/>
      <c r="BL41" s="30"/>
      <c r="BN41" s="29"/>
      <c r="BO41" s="29"/>
      <c r="BP41" s="29"/>
      <c r="BQ41" s="30"/>
      <c r="BS41" s="29"/>
      <c r="BT41" s="29"/>
      <c r="BU41" s="29"/>
      <c r="BV41" s="30"/>
    </row>
    <row r="42" spans="1:74" outlineLevel="1" x14ac:dyDescent="0.15">
      <c r="A42" s="31"/>
      <c r="B42" s="31" t="s">
        <v>251</v>
      </c>
      <c r="C42" s="32" t="s">
        <v>227</v>
      </c>
      <c r="D42" s="31">
        <v>3614251</v>
      </c>
      <c r="E42" s="33">
        <v>12</v>
      </c>
      <c r="F42" s="32">
        <v>1</v>
      </c>
      <c r="G42" s="32"/>
      <c r="I42" s="34" t="str">
        <f t="shared" si="0"/>
        <v>·</v>
      </c>
      <c r="J42" s="35">
        <f t="shared" si="1"/>
        <v>8.658816446339781</v>
      </c>
      <c r="K42" s="35">
        <f t="shared" si="2"/>
        <v>6.4338221114139555</v>
      </c>
      <c r="L42" s="35">
        <f t="shared" si="3"/>
        <v>2.2247619216263619</v>
      </c>
      <c r="M42" s="36"/>
      <c r="N42" s="35">
        <f t="shared" si="4"/>
        <v>8.658816446339781</v>
      </c>
      <c r="O42" s="37">
        <v>3614251</v>
      </c>
      <c r="P42" s="38">
        <v>31295136</v>
      </c>
      <c r="Q42" s="38">
        <v>23253448</v>
      </c>
      <c r="R42" s="38">
        <v>8040848</v>
      </c>
      <c r="S42" s="39"/>
      <c r="T42" s="40">
        <v>41.022300000000001</v>
      </c>
      <c r="U42" s="40">
        <v>46.095599999999997</v>
      </c>
      <c r="V42" s="40">
        <v>46.633200000000002</v>
      </c>
      <c r="W42" s="41"/>
      <c r="X42" s="40">
        <v>34.151400000000002</v>
      </c>
      <c r="Y42" s="40">
        <v>34.151400000000002</v>
      </c>
      <c r="Z42" s="40">
        <v>34.151400000000002</v>
      </c>
      <c r="AA42" s="41"/>
      <c r="AB42" s="42"/>
      <c r="AC42" s="42"/>
      <c r="AE42" s="34" t="str">
        <f t="shared" si="5"/>
        <v>·</v>
      </c>
      <c r="AF42" s="35">
        <f t="shared" si="6"/>
        <v>8.6139141968833925</v>
      </c>
      <c r="AG42" s="35">
        <f t="shared" si="7"/>
        <v>6.4338221114139555</v>
      </c>
      <c r="AH42" s="35">
        <f t="shared" si="8"/>
        <v>2.1798596721699739</v>
      </c>
      <c r="AI42" s="36"/>
      <c r="AJ42" s="35">
        <f t="shared" si="9"/>
        <v>8.6139141968833925</v>
      </c>
      <c r="AK42" s="37">
        <v>3614251</v>
      </c>
      <c r="AL42" s="38">
        <v>31132848</v>
      </c>
      <c r="AM42" s="38">
        <v>23253448</v>
      </c>
      <c r="AN42" s="38">
        <v>7878560</v>
      </c>
      <c r="AO42" s="39"/>
      <c r="AP42" s="40">
        <v>41.029499999999999</v>
      </c>
      <c r="AQ42" s="40">
        <v>46.195500000000003</v>
      </c>
      <c r="AR42" s="40">
        <v>46.758400000000002</v>
      </c>
      <c r="AS42" s="41"/>
      <c r="AT42" s="40">
        <v>34.151400000000002</v>
      </c>
      <c r="AU42" s="40">
        <v>34.151400000000002</v>
      </c>
      <c r="AV42" s="40">
        <v>34.151400000000002</v>
      </c>
      <c r="AW42" s="41"/>
      <c r="AX42" s="42">
        <v>15.662000000000001</v>
      </c>
      <c r="AY42" s="42">
        <v>14.055</v>
      </c>
      <c r="BA42" s="43">
        <f t="shared" si="10"/>
        <v>3.8732726785766225E-3</v>
      </c>
      <c r="BB42" s="43"/>
      <c r="BD42" s="44"/>
      <c r="BE42" s="44"/>
      <c r="BF42" s="44"/>
      <c r="BG42" s="45"/>
      <c r="BI42" s="44"/>
      <c r="BJ42" s="44"/>
      <c r="BK42" s="44"/>
      <c r="BL42" s="45"/>
      <c r="BN42" s="44"/>
      <c r="BO42" s="44"/>
      <c r="BP42" s="44"/>
      <c r="BQ42" s="45"/>
      <c r="BS42" s="44"/>
      <c r="BT42" s="44"/>
      <c r="BU42" s="44"/>
      <c r="BV42" s="45"/>
    </row>
    <row r="43" spans="1:74" outlineLevel="1" x14ac:dyDescent="0.15">
      <c r="A43" s="16"/>
      <c r="B43" s="16" t="s">
        <v>251</v>
      </c>
      <c r="C43" s="17" t="s">
        <v>228</v>
      </c>
      <c r="D43" s="16">
        <v>3614251</v>
      </c>
      <c r="E43" s="18">
        <v>12</v>
      </c>
      <c r="F43" s="17">
        <v>1</v>
      </c>
      <c r="G43" s="17"/>
      <c r="I43" s="19" t="str">
        <f t="shared" si="0"/>
        <v>·</v>
      </c>
      <c r="J43" s="20">
        <f t="shared" si="1"/>
        <v>7.526436874472747</v>
      </c>
      <c r="K43" s="20">
        <f t="shared" si="2"/>
        <v>6.4338221114139555</v>
      </c>
      <c r="L43" s="20">
        <f t="shared" si="3"/>
        <v>1.0923823497593277</v>
      </c>
      <c r="M43" s="21"/>
      <c r="N43" s="20">
        <f t="shared" si="4"/>
        <v>7.526436874472747</v>
      </c>
      <c r="O43" s="22">
        <v>3614251</v>
      </c>
      <c r="P43" s="23">
        <v>27202432</v>
      </c>
      <c r="Q43" s="23">
        <v>23253448</v>
      </c>
      <c r="R43" s="23">
        <v>3948144</v>
      </c>
      <c r="S43" s="24"/>
      <c r="T43" s="25">
        <v>35.545499999999997</v>
      </c>
      <c r="U43" s="25">
        <v>42.0608</v>
      </c>
      <c r="V43" s="25">
        <v>42.747100000000003</v>
      </c>
      <c r="W43" s="26"/>
      <c r="X43" s="25">
        <v>28.130800000000001</v>
      </c>
      <c r="Y43" s="25">
        <v>28.130800000000001</v>
      </c>
      <c r="Z43" s="25">
        <v>28.130800000000001</v>
      </c>
      <c r="AA43" s="26"/>
      <c r="AB43" s="27"/>
      <c r="AC43" s="27"/>
      <c r="AE43" s="19" t="str">
        <f t="shared" si="5"/>
        <v>·</v>
      </c>
      <c r="AF43" s="20">
        <f t="shared" si="6"/>
        <v>7.4933235129491562</v>
      </c>
      <c r="AG43" s="20">
        <f t="shared" si="7"/>
        <v>6.4338221114139555</v>
      </c>
      <c r="AH43" s="20">
        <f t="shared" si="8"/>
        <v>1.0592689882357369</v>
      </c>
      <c r="AI43" s="21"/>
      <c r="AJ43" s="20">
        <f t="shared" si="9"/>
        <v>7.4933235129491562</v>
      </c>
      <c r="AK43" s="22">
        <v>3614251</v>
      </c>
      <c r="AL43" s="23">
        <v>27082752</v>
      </c>
      <c r="AM43" s="23">
        <v>23253448</v>
      </c>
      <c r="AN43" s="23">
        <v>3828464</v>
      </c>
      <c r="AO43" s="24"/>
      <c r="AP43" s="25">
        <v>35.553899999999999</v>
      </c>
      <c r="AQ43" s="25">
        <v>42.199300000000001</v>
      </c>
      <c r="AR43" s="25">
        <v>42.982399999999998</v>
      </c>
      <c r="AS43" s="26"/>
      <c r="AT43" s="25">
        <v>28.130800000000001</v>
      </c>
      <c r="AU43" s="25">
        <v>28.130800000000001</v>
      </c>
      <c r="AV43" s="25">
        <v>28.130800000000001</v>
      </c>
      <c r="AW43" s="26"/>
      <c r="AX43" s="27">
        <v>15.334</v>
      </c>
      <c r="AY43" s="27">
        <v>14.04</v>
      </c>
      <c r="BA43" s="28">
        <f t="shared" si="10"/>
        <v>3.7775342711799942E-3</v>
      </c>
      <c r="BB43" s="28"/>
      <c r="BD43" s="29"/>
      <c r="BE43" s="29"/>
      <c r="BF43" s="29"/>
      <c r="BG43" s="30"/>
      <c r="BI43" s="29"/>
      <c r="BJ43" s="29"/>
      <c r="BK43" s="29"/>
      <c r="BL43" s="30"/>
      <c r="BN43" s="29"/>
      <c r="BO43" s="29"/>
      <c r="BP43" s="29"/>
      <c r="BQ43" s="30"/>
      <c r="BS43" s="29"/>
      <c r="BT43" s="29"/>
      <c r="BU43" s="29"/>
      <c r="BV43" s="30"/>
    </row>
    <row r="44" spans="1:74" outlineLevel="1" x14ac:dyDescent="0.15">
      <c r="A44" s="31"/>
      <c r="B44" s="46" t="s">
        <v>251</v>
      </c>
      <c r="C44" s="47" t="s">
        <v>229</v>
      </c>
      <c r="D44" s="46">
        <v>3614251</v>
      </c>
      <c r="E44" s="48">
        <v>12</v>
      </c>
      <c r="F44" s="47">
        <v>1</v>
      </c>
      <c r="G44" s="47"/>
      <c r="I44" s="49" t="str">
        <f t="shared" si="0"/>
        <v>·</v>
      </c>
      <c r="J44" s="50">
        <f t="shared" si="1"/>
        <v>6.8177312533080849</v>
      </c>
      <c r="K44" s="50">
        <f t="shared" si="2"/>
        <v>6.4338221114139555</v>
      </c>
      <c r="L44" s="50">
        <f t="shared" si="3"/>
        <v>0.38367672859466595</v>
      </c>
      <c r="M44" s="51"/>
      <c r="N44" s="50">
        <f t="shared" si="4"/>
        <v>6.8177312533080849</v>
      </c>
      <c r="O44" s="52">
        <v>3614251</v>
      </c>
      <c r="P44" s="53">
        <v>24640992</v>
      </c>
      <c r="Q44" s="53">
        <v>23253448</v>
      </c>
      <c r="R44" s="53">
        <v>1386704</v>
      </c>
      <c r="S44" s="54"/>
      <c r="T44" s="55">
        <v>29.488099999999999</v>
      </c>
      <c r="U44" s="55">
        <v>37.779899999999998</v>
      </c>
      <c r="V44" s="55">
        <v>37.151600000000002</v>
      </c>
      <c r="W44" s="56"/>
      <c r="X44" s="55">
        <v>21.686399999999999</v>
      </c>
      <c r="Y44" s="55">
        <v>21.686399999999999</v>
      </c>
      <c r="Z44" s="55">
        <v>21.686399999999999</v>
      </c>
      <c r="AA44" s="56"/>
      <c r="AB44" s="57"/>
      <c r="AC44" s="57"/>
      <c r="AE44" s="49" t="str">
        <f t="shared" si="5"/>
        <v>·</v>
      </c>
      <c r="AF44" s="50">
        <f t="shared" si="6"/>
        <v>6.8019603508444764</v>
      </c>
      <c r="AG44" s="50">
        <f t="shared" si="7"/>
        <v>6.4338221114139555</v>
      </c>
      <c r="AH44" s="50">
        <f t="shared" si="8"/>
        <v>0.36790582613105732</v>
      </c>
      <c r="AI44" s="51"/>
      <c r="AJ44" s="50">
        <f t="shared" si="9"/>
        <v>6.8019603508444764</v>
      </c>
      <c r="AK44" s="52">
        <v>3614251</v>
      </c>
      <c r="AL44" s="53">
        <v>24583992</v>
      </c>
      <c r="AM44" s="53">
        <v>23253448</v>
      </c>
      <c r="AN44" s="53">
        <v>1329704</v>
      </c>
      <c r="AO44" s="54"/>
      <c r="AP44" s="55">
        <v>29.462800000000001</v>
      </c>
      <c r="AQ44" s="55">
        <v>37.877099999999999</v>
      </c>
      <c r="AR44" s="55">
        <v>37.423999999999999</v>
      </c>
      <c r="AS44" s="56"/>
      <c r="AT44" s="55">
        <v>21.686399999999999</v>
      </c>
      <c r="AU44" s="55">
        <v>21.686399999999999</v>
      </c>
      <c r="AV44" s="55">
        <v>21.686399999999999</v>
      </c>
      <c r="AW44" s="56"/>
      <c r="AX44" s="57">
        <v>15.381</v>
      </c>
      <c r="AY44" s="57">
        <v>13.743</v>
      </c>
      <c r="BA44" s="58">
        <f t="shared" si="10"/>
        <v>2.1880216796417162E-3</v>
      </c>
      <c r="BB44" s="58"/>
      <c r="BD44" s="59"/>
      <c r="BE44" s="59"/>
      <c r="BF44" s="59"/>
      <c r="BG44" s="60"/>
      <c r="BI44" s="59"/>
      <c r="BJ44" s="59"/>
      <c r="BK44" s="59"/>
      <c r="BL44" s="60"/>
      <c r="BN44" s="59"/>
      <c r="BO44" s="59"/>
      <c r="BP44" s="59"/>
      <c r="BQ44" s="60"/>
      <c r="BS44" s="59"/>
      <c r="BT44" s="59"/>
      <c r="BU44" s="59"/>
      <c r="BV44" s="60"/>
    </row>
    <row r="45" spans="1:74" x14ac:dyDescent="0.15">
      <c r="A45" s="16"/>
      <c r="B45" s="16" t="s">
        <v>254</v>
      </c>
      <c r="C45" s="17" t="s">
        <v>225</v>
      </c>
      <c r="D45" s="16">
        <v>13903516</v>
      </c>
      <c r="E45" s="18">
        <v>12</v>
      </c>
      <c r="F45" s="17">
        <v>1</v>
      </c>
      <c r="G45" s="17"/>
      <c r="I45" s="19" t="str">
        <f t="shared" si="0"/>
        <v>·</v>
      </c>
      <c r="J45" s="20">
        <f t="shared" si="1"/>
        <v>11.201968192793823</v>
      </c>
      <c r="K45" s="20">
        <f t="shared" si="2"/>
        <v>4.9336815234362303</v>
      </c>
      <c r="L45" s="20">
        <f t="shared" si="3"/>
        <v>6.2681687135829529</v>
      </c>
      <c r="M45" s="21"/>
      <c r="N45" s="20">
        <f t="shared" si="4"/>
        <v>11.201968192793823</v>
      </c>
      <c r="O45" s="22">
        <v>13903516</v>
      </c>
      <c r="P45" s="23">
        <v>155746744</v>
      </c>
      <c r="Q45" s="23">
        <v>68595520</v>
      </c>
      <c r="R45" s="23">
        <v>87149584</v>
      </c>
      <c r="S45" s="24"/>
      <c r="T45" s="25">
        <v>52.8048</v>
      </c>
      <c r="U45" s="25">
        <v>56.151899999999998</v>
      </c>
      <c r="V45" s="25">
        <v>55.924300000000002</v>
      </c>
      <c r="W45" s="26"/>
      <c r="X45" s="25">
        <v>48.130800000000001</v>
      </c>
      <c r="Y45" s="25">
        <v>48.130800000000001</v>
      </c>
      <c r="Z45" s="25">
        <v>48.130800000000001</v>
      </c>
      <c r="AA45" s="26"/>
      <c r="AB45" s="27"/>
      <c r="AC45" s="27"/>
      <c r="AE45" s="19" t="str">
        <f t="shared" si="5"/>
        <v>·</v>
      </c>
      <c r="AF45" s="20">
        <f t="shared" si="6"/>
        <v>11.152901467513685</v>
      </c>
      <c r="AG45" s="20">
        <f t="shared" si="7"/>
        <v>4.9336815234362303</v>
      </c>
      <c r="AH45" s="20">
        <f t="shared" si="8"/>
        <v>6.2191019883028149</v>
      </c>
      <c r="AI45" s="21"/>
      <c r="AJ45" s="20">
        <f t="shared" si="9"/>
        <v>11.152901467513685</v>
      </c>
      <c r="AK45" s="22">
        <v>13903516</v>
      </c>
      <c r="AL45" s="23">
        <v>155064544</v>
      </c>
      <c r="AM45" s="23">
        <v>68595520</v>
      </c>
      <c r="AN45" s="23">
        <v>86467384</v>
      </c>
      <c r="AO45" s="24"/>
      <c r="AP45" s="25">
        <v>52.801099999999998</v>
      </c>
      <c r="AQ45" s="25">
        <v>56.153599999999997</v>
      </c>
      <c r="AR45" s="25">
        <v>55.931600000000003</v>
      </c>
      <c r="AS45" s="26"/>
      <c r="AT45" s="25">
        <v>48.130800000000001</v>
      </c>
      <c r="AU45" s="25">
        <v>48.130800000000001</v>
      </c>
      <c r="AV45" s="25">
        <v>48.130800000000001</v>
      </c>
      <c r="AW45" s="26"/>
      <c r="AX45" s="27">
        <v>55.536000000000001</v>
      </c>
      <c r="AY45" s="27">
        <v>44.241</v>
      </c>
      <c r="BA45" s="28">
        <f t="shared" si="10"/>
        <v>1.9376529114358831E-3</v>
      </c>
      <c r="BB45" s="28">
        <f t="array" ref="BB45">AVERAGE(AM45:AM49/AL45:AL49) - AVERAGE(Q45:Q49/P45:P49)</f>
        <v>2.872517248877271E-3</v>
      </c>
      <c r="BD45" s="29">
        <f>IF( OR(ISBLANK(R45:R49),ISBLANK(AN45:AN49), ISBLANK(T45:T49),ISBLANK(AP45:AP49)), "·", bdRateExtend( R45:R49,T45:T49, AN45:AN49,AP45:AP49))</f>
        <v>-1.72106392562279E-2</v>
      </c>
      <c r="BE45" s="29">
        <f>IF( OR(ISBLANK(R45:R49),ISBLANK(AN45:AN49), ISBLANK(U45:U49),ISBLANK(AQ45:AQ49)), "·", bdRateExtend( R45:R49,U45:U49, AN45:AN49,AQ45:AQ49))</f>
        <v>-2.8032285658917244E-2</v>
      </c>
      <c r="BF45" s="29">
        <f>IF( OR(ISBLANK(R45:R49),ISBLANK(AN45:AN49), ISBLANK(V45:V49),ISBLANK(AR45:AR49)), "·", bdRateExtend( R45:R49,V45:V49, AN45:AN49,AR45:AR49))</f>
        <v>-3.0330088998566263E-2</v>
      </c>
      <c r="BG45" s="30"/>
      <c r="BI45" s="29">
        <f>IF( OR(ISBLANK(R45:R49),ISBLANK(AN45:AN49), ISBLANK(X45:X49),ISBLANK(AT45:AT49)), "·", bdRateExtend( R45:R49,X45:X49, AN45:AN49,AT45:AT49))</f>
        <v>-1.5730991456562315E-2</v>
      </c>
      <c r="BJ45" s="29">
        <f>IF( OR(ISBLANK(R45:R49),ISBLANK(AN45:AN49), ISBLANK(Y45:Y49),ISBLANK(AU45:AU49)), "·", bdRateExtend( R45:R49,Y45:Y49, AN45:AN49,AU45:AU49))</f>
        <v>-1.5730991456562315E-2</v>
      </c>
      <c r="BK45" s="29">
        <f>IF( OR(ISBLANK(R45:R49),ISBLANK(AN45:AN49), ISBLANK(Z45:Z49),ISBLANK(AV45:AV49)), "·", bdRateExtend( R45:R49,Z45:Z49, AN45:AN49,AV45:AV49))</f>
        <v>-1.5730991456562315E-2</v>
      </c>
      <c r="BL45" s="30"/>
      <c r="BN45" s="29">
        <f>IF( OR(ISBLANK(P45:P49),ISBLANK(AL45:AL49), ISBLANK(T45:T49),ISBLANK(AP45:AP49)), "·", bdRateExtend( P45:P49,T45:T49, AL45:AL49,AP45:AP49))</f>
        <v>-5.456218382933975E-3</v>
      </c>
      <c r="BO45" s="29">
        <f>IF( OR(ISBLANK(P45:P49),ISBLANK(AL45:AL49), ISBLANK(U45:U49),ISBLANK(AQ45:AQ49)), "·", bdRateExtend( P45:P49,U45:U49, AL45:AL49,AQ45:AQ49))</f>
        <v>-8.5627024912425798E-3</v>
      </c>
      <c r="BP45" s="29">
        <f>IF( OR(ISBLANK(P45:P49),ISBLANK(AL45:AL49), ISBLANK(V45:V49),ISBLANK(AR45:AR49)), "·", bdRateExtend( P45:P49,V45:V49, AL45:AL49,AR45:AR49))</f>
        <v>-9.5259794814702703E-3</v>
      </c>
      <c r="BQ45" s="30"/>
      <c r="BS45" s="29">
        <f>IF( OR(ISBLANK(P45:P49),ISBLANK(AL45:AL49), ISBLANK(X45:X49),ISBLANK(AT45:AT49)), "·", bdRateExtend( P45:P49,X45:X49, AL45:AL49,AT45:AT49))</f>
        <v>-5.2142806125050623E-3</v>
      </c>
      <c r="BT45" s="29">
        <f>IF( OR(ISBLANK(P45:P49),ISBLANK(AL45:AL49), ISBLANK(Y45:Y49),ISBLANK(AU45:AU49)), "·", bdRateExtend( P45:P49,Y45:Y49, AL45:AL49,AU45:AU49))</f>
        <v>-5.2142806125050623E-3</v>
      </c>
      <c r="BU45" s="29">
        <f>IF( OR(ISBLANK(P45:P49),ISBLANK(AL45:AL49), ISBLANK(Z45:Z49),ISBLANK(AV45:AV49)), "·", bdRateExtend( P45:P49,Z45:Z49, AL45:AL49,AV45:AV49))</f>
        <v>-5.2142806125050623E-3</v>
      </c>
      <c r="BV45" s="30"/>
    </row>
    <row r="46" spans="1:74" outlineLevel="1" x14ac:dyDescent="0.15">
      <c r="A46" s="31"/>
      <c r="B46" s="31" t="s">
        <v>254</v>
      </c>
      <c r="C46" s="32" t="s">
        <v>226</v>
      </c>
      <c r="D46" s="31">
        <v>13903516</v>
      </c>
      <c r="E46" s="33">
        <v>12</v>
      </c>
      <c r="F46" s="32">
        <v>1</v>
      </c>
      <c r="G46" s="32"/>
      <c r="I46" s="34" t="str">
        <f t="shared" si="0"/>
        <v>·</v>
      </c>
      <c r="J46" s="35">
        <f t="shared" si="1"/>
        <v>9.4431169784678932</v>
      </c>
      <c r="K46" s="35">
        <f t="shared" si="2"/>
        <v>4.9336815234362303</v>
      </c>
      <c r="L46" s="35">
        <f t="shared" si="3"/>
        <v>4.5093174992570226</v>
      </c>
      <c r="M46" s="36"/>
      <c r="N46" s="35">
        <f t="shared" si="4"/>
        <v>9.4431169784678932</v>
      </c>
      <c r="O46" s="37">
        <v>13903516</v>
      </c>
      <c r="P46" s="38">
        <v>131292528</v>
      </c>
      <c r="Q46" s="38">
        <v>68595520</v>
      </c>
      <c r="R46" s="38">
        <v>62695368</v>
      </c>
      <c r="S46" s="39"/>
      <c r="T46" s="40">
        <v>47.9788</v>
      </c>
      <c r="U46" s="40">
        <v>51.436300000000003</v>
      </c>
      <c r="V46" s="40">
        <v>51.630899999999997</v>
      </c>
      <c r="W46" s="41"/>
      <c r="X46" s="40">
        <v>42.110199999999999</v>
      </c>
      <c r="Y46" s="40">
        <v>42.110199999999999</v>
      </c>
      <c r="Z46" s="40">
        <v>42.110199999999999</v>
      </c>
      <c r="AA46" s="41"/>
      <c r="AB46" s="42"/>
      <c r="AC46" s="42"/>
      <c r="AE46" s="34" t="str">
        <f t="shared" si="5"/>
        <v>·</v>
      </c>
      <c r="AF46" s="35">
        <f t="shared" si="6"/>
        <v>9.3801372257204587</v>
      </c>
      <c r="AG46" s="35">
        <f t="shared" si="7"/>
        <v>4.9336815234362303</v>
      </c>
      <c r="AH46" s="35">
        <f t="shared" si="8"/>
        <v>4.4463377465095881</v>
      </c>
      <c r="AI46" s="36"/>
      <c r="AJ46" s="35">
        <f t="shared" si="9"/>
        <v>9.3801372257204587</v>
      </c>
      <c r="AK46" s="37">
        <v>13903516</v>
      </c>
      <c r="AL46" s="38">
        <v>130416888</v>
      </c>
      <c r="AM46" s="38">
        <v>68595520</v>
      </c>
      <c r="AN46" s="38">
        <v>61819728</v>
      </c>
      <c r="AO46" s="39"/>
      <c r="AP46" s="40">
        <v>47.974299999999999</v>
      </c>
      <c r="AQ46" s="40">
        <v>51.502000000000002</v>
      </c>
      <c r="AR46" s="40">
        <v>51.7196</v>
      </c>
      <c r="AS46" s="41"/>
      <c r="AT46" s="40">
        <v>42.110199999999999</v>
      </c>
      <c r="AU46" s="40">
        <v>42.110199999999999</v>
      </c>
      <c r="AV46" s="40">
        <v>42.110199999999999</v>
      </c>
      <c r="AW46" s="41"/>
      <c r="AX46" s="42">
        <v>66.486999999999995</v>
      </c>
      <c r="AY46" s="42">
        <v>44.631</v>
      </c>
      <c r="BA46" s="43">
        <f t="shared" si="10"/>
        <v>3.5079023996005265E-3</v>
      </c>
      <c r="BB46" s="43"/>
      <c r="BD46" s="44"/>
      <c r="BE46" s="44"/>
      <c r="BF46" s="44"/>
      <c r="BG46" s="45"/>
      <c r="BI46" s="44"/>
      <c r="BJ46" s="44"/>
      <c r="BK46" s="44"/>
      <c r="BL46" s="45"/>
      <c r="BN46" s="44"/>
      <c r="BO46" s="44"/>
      <c r="BP46" s="44"/>
      <c r="BQ46" s="45"/>
      <c r="BS46" s="44"/>
      <c r="BT46" s="44"/>
      <c r="BU46" s="44"/>
      <c r="BV46" s="45"/>
    </row>
    <row r="47" spans="1:74" outlineLevel="1" x14ac:dyDescent="0.15">
      <c r="A47" s="16"/>
      <c r="B47" s="16" t="s">
        <v>254</v>
      </c>
      <c r="C47" s="17" t="s">
        <v>227</v>
      </c>
      <c r="D47" s="16">
        <v>13903516</v>
      </c>
      <c r="E47" s="18">
        <v>12</v>
      </c>
      <c r="F47" s="17">
        <v>1</v>
      </c>
      <c r="G47" s="17"/>
      <c r="I47" s="19" t="str">
        <f t="shared" si="0"/>
        <v>·</v>
      </c>
      <c r="J47" s="20">
        <f t="shared" si="1"/>
        <v>7.5482368632509935</v>
      </c>
      <c r="K47" s="20">
        <f t="shared" si="2"/>
        <v>4.9336815234362303</v>
      </c>
      <c r="L47" s="20">
        <f t="shared" si="3"/>
        <v>2.6144373840401234</v>
      </c>
      <c r="M47" s="21"/>
      <c r="N47" s="20">
        <f t="shared" si="4"/>
        <v>7.5482368632509935</v>
      </c>
      <c r="O47" s="22">
        <v>13903516</v>
      </c>
      <c r="P47" s="23">
        <v>104947032</v>
      </c>
      <c r="Q47" s="23">
        <v>68595520</v>
      </c>
      <c r="R47" s="23">
        <v>36349872</v>
      </c>
      <c r="S47" s="24"/>
      <c r="T47" s="25">
        <v>40.956600000000002</v>
      </c>
      <c r="U47" s="25">
        <v>46.134799999999998</v>
      </c>
      <c r="V47" s="25">
        <v>46.778599999999997</v>
      </c>
      <c r="W47" s="26"/>
      <c r="X47" s="25">
        <v>34.151400000000002</v>
      </c>
      <c r="Y47" s="25">
        <v>34.151400000000002</v>
      </c>
      <c r="Z47" s="25">
        <v>34.151400000000002</v>
      </c>
      <c r="AA47" s="26"/>
      <c r="AB47" s="27"/>
      <c r="AC47" s="27"/>
      <c r="AE47" s="19" t="str">
        <f t="shared" si="5"/>
        <v>·</v>
      </c>
      <c r="AF47" s="20">
        <f t="shared" si="6"/>
        <v>7.5050270737272502</v>
      </c>
      <c r="AG47" s="20">
        <f t="shared" si="7"/>
        <v>4.9336815234362303</v>
      </c>
      <c r="AH47" s="20">
        <f t="shared" si="8"/>
        <v>2.5712275945163801</v>
      </c>
      <c r="AI47" s="21"/>
      <c r="AJ47" s="20">
        <f t="shared" si="9"/>
        <v>7.5050270737272502</v>
      </c>
      <c r="AK47" s="22">
        <v>13903516</v>
      </c>
      <c r="AL47" s="23">
        <v>104346264</v>
      </c>
      <c r="AM47" s="23">
        <v>68595520</v>
      </c>
      <c r="AN47" s="23">
        <v>35749104</v>
      </c>
      <c r="AO47" s="24"/>
      <c r="AP47" s="25">
        <v>40.973100000000002</v>
      </c>
      <c r="AQ47" s="25">
        <v>46.245899999999999</v>
      </c>
      <c r="AR47" s="25">
        <v>46.930500000000002</v>
      </c>
      <c r="AS47" s="26"/>
      <c r="AT47" s="25">
        <v>34.151400000000002</v>
      </c>
      <c r="AU47" s="25">
        <v>34.151400000000002</v>
      </c>
      <c r="AV47" s="25">
        <v>34.151400000000002</v>
      </c>
      <c r="AW47" s="26"/>
      <c r="AX47" s="27">
        <v>59.341999999999999</v>
      </c>
      <c r="AY47" s="27">
        <v>42.930999999999997</v>
      </c>
      <c r="BA47" s="28">
        <f t="shared" si="10"/>
        <v>3.7631842242511482E-3</v>
      </c>
      <c r="BB47" s="28"/>
      <c r="BD47" s="29"/>
      <c r="BE47" s="29"/>
      <c r="BF47" s="29"/>
      <c r="BG47" s="30"/>
      <c r="BI47" s="29"/>
      <c r="BJ47" s="29"/>
      <c r="BK47" s="29"/>
      <c r="BL47" s="30"/>
      <c r="BN47" s="29"/>
      <c r="BO47" s="29"/>
      <c r="BP47" s="29"/>
      <c r="BQ47" s="30"/>
      <c r="BS47" s="29"/>
      <c r="BT47" s="29"/>
      <c r="BU47" s="29"/>
      <c r="BV47" s="30"/>
    </row>
    <row r="48" spans="1:74" outlineLevel="1" x14ac:dyDescent="0.15">
      <c r="A48" s="31"/>
      <c r="B48" s="31" t="s">
        <v>254</v>
      </c>
      <c r="C48" s="32" t="s">
        <v>228</v>
      </c>
      <c r="D48" s="31">
        <v>13903516</v>
      </c>
      <c r="E48" s="33">
        <v>12</v>
      </c>
      <c r="F48" s="32">
        <v>1</v>
      </c>
      <c r="G48" s="32"/>
      <c r="I48" s="34" t="str">
        <f t="shared" si="0"/>
        <v>·</v>
      </c>
      <c r="J48" s="35">
        <f t="shared" si="1"/>
        <v>6.4466513362519233</v>
      </c>
      <c r="K48" s="35">
        <f t="shared" si="2"/>
        <v>4.9336815234362303</v>
      </c>
      <c r="L48" s="35">
        <f t="shared" si="3"/>
        <v>1.5128518570410534</v>
      </c>
      <c r="M48" s="36"/>
      <c r="N48" s="35">
        <f t="shared" si="4"/>
        <v>6.4466513362519233</v>
      </c>
      <c r="O48" s="37">
        <v>13903516</v>
      </c>
      <c r="P48" s="38">
        <v>89631120</v>
      </c>
      <c r="Q48" s="38">
        <v>68595520</v>
      </c>
      <c r="R48" s="38">
        <v>21033960</v>
      </c>
      <c r="S48" s="39"/>
      <c r="T48" s="40">
        <v>35.402500000000003</v>
      </c>
      <c r="U48" s="40">
        <v>41.433300000000003</v>
      </c>
      <c r="V48" s="40">
        <v>42.453699999999998</v>
      </c>
      <c r="W48" s="41"/>
      <c r="X48" s="40">
        <v>28.130800000000001</v>
      </c>
      <c r="Y48" s="40">
        <v>28.130800000000001</v>
      </c>
      <c r="Z48" s="40">
        <v>28.130800000000001</v>
      </c>
      <c r="AA48" s="41"/>
      <c r="AB48" s="42"/>
      <c r="AC48" s="42"/>
      <c r="AE48" s="34" t="str">
        <f t="shared" si="5"/>
        <v>·</v>
      </c>
      <c r="AF48" s="35">
        <f t="shared" si="6"/>
        <v>6.4179806028921034</v>
      </c>
      <c r="AG48" s="35">
        <f t="shared" si="7"/>
        <v>4.9336815234362303</v>
      </c>
      <c r="AH48" s="35">
        <f t="shared" si="8"/>
        <v>1.4841811236812328</v>
      </c>
      <c r="AI48" s="36"/>
      <c r="AJ48" s="35">
        <f t="shared" si="9"/>
        <v>6.4179806028921034</v>
      </c>
      <c r="AK48" s="37">
        <v>13903516</v>
      </c>
      <c r="AL48" s="38">
        <v>89232496</v>
      </c>
      <c r="AM48" s="38">
        <v>68595520</v>
      </c>
      <c r="AN48" s="38">
        <v>20635336</v>
      </c>
      <c r="AO48" s="39"/>
      <c r="AP48" s="40">
        <v>35.424599999999998</v>
      </c>
      <c r="AQ48" s="40">
        <v>41.563499999999998</v>
      </c>
      <c r="AR48" s="40">
        <v>42.6265</v>
      </c>
      <c r="AS48" s="41"/>
      <c r="AT48" s="40">
        <v>28.130800000000001</v>
      </c>
      <c r="AU48" s="40">
        <v>28.130800000000001</v>
      </c>
      <c r="AV48" s="40">
        <v>28.130800000000001</v>
      </c>
      <c r="AW48" s="41"/>
      <c r="AX48" s="42">
        <v>56.253</v>
      </c>
      <c r="AY48" s="42">
        <v>42.697000000000003</v>
      </c>
      <c r="BA48" s="43">
        <f t="shared" si="10"/>
        <v>3.4188286209039243E-3</v>
      </c>
      <c r="BB48" s="43"/>
      <c r="BD48" s="44"/>
      <c r="BE48" s="44"/>
      <c r="BF48" s="44"/>
      <c r="BG48" s="45"/>
      <c r="BI48" s="44"/>
      <c r="BJ48" s="44"/>
      <c r="BK48" s="44"/>
      <c r="BL48" s="45"/>
      <c r="BN48" s="44"/>
      <c r="BO48" s="44"/>
      <c r="BP48" s="44"/>
      <c r="BQ48" s="45"/>
      <c r="BS48" s="44"/>
      <c r="BT48" s="44"/>
      <c r="BU48" s="44"/>
      <c r="BV48" s="45"/>
    </row>
    <row r="49" spans="1:74" outlineLevel="1" x14ac:dyDescent="0.15">
      <c r="A49" s="16"/>
      <c r="B49" s="65" t="s">
        <v>254</v>
      </c>
      <c r="C49" s="67" t="s">
        <v>229</v>
      </c>
      <c r="D49" s="65">
        <v>13903516</v>
      </c>
      <c r="E49" s="66">
        <v>12</v>
      </c>
      <c r="F49" s="67">
        <v>1</v>
      </c>
      <c r="G49" s="67"/>
      <c r="I49" s="69" t="str">
        <f t="shared" si="0"/>
        <v>·</v>
      </c>
      <c r="J49" s="70">
        <f t="shared" si="1"/>
        <v>5.5969422410849168</v>
      </c>
      <c r="K49" s="70">
        <f t="shared" si="2"/>
        <v>4.9336815234362303</v>
      </c>
      <c r="L49" s="70">
        <f t="shared" si="3"/>
        <v>0.66314276187404686</v>
      </c>
      <c r="M49" s="75"/>
      <c r="N49" s="70">
        <f t="shared" si="4"/>
        <v>5.5969422410849168</v>
      </c>
      <c r="O49" s="71">
        <v>13903516</v>
      </c>
      <c r="P49" s="72">
        <v>77817176</v>
      </c>
      <c r="Q49" s="72">
        <v>68595520</v>
      </c>
      <c r="R49" s="72">
        <v>9220016</v>
      </c>
      <c r="S49" s="76"/>
      <c r="T49" s="77">
        <v>29.375399999999999</v>
      </c>
      <c r="U49" s="77">
        <v>36.825899999999997</v>
      </c>
      <c r="V49" s="77">
        <v>37.790999999999997</v>
      </c>
      <c r="W49" s="78"/>
      <c r="X49" s="77">
        <v>21.686399999999999</v>
      </c>
      <c r="Y49" s="77">
        <v>21.686399999999999</v>
      </c>
      <c r="Z49" s="77">
        <v>21.686399999999999</v>
      </c>
      <c r="AA49" s="78"/>
      <c r="AB49" s="73"/>
      <c r="AC49" s="73"/>
      <c r="AE49" s="69" t="str">
        <f t="shared" si="5"/>
        <v>·</v>
      </c>
      <c r="AF49" s="70">
        <f t="shared" si="6"/>
        <v>5.585947612100421</v>
      </c>
      <c r="AG49" s="70">
        <f t="shared" si="7"/>
        <v>4.9336815234362303</v>
      </c>
      <c r="AH49" s="70">
        <f t="shared" si="8"/>
        <v>0.65214813288955109</v>
      </c>
      <c r="AI49" s="75"/>
      <c r="AJ49" s="70">
        <f t="shared" si="9"/>
        <v>5.585947612100421</v>
      </c>
      <c r="AK49" s="71">
        <v>13903516</v>
      </c>
      <c r="AL49" s="72">
        <v>77664312</v>
      </c>
      <c r="AM49" s="72">
        <v>68595520</v>
      </c>
      <c r="AN49" s="72">
        <v>9067152</v>
      </c>
      <c r="AO49" s="76"/>
      <c r="AP49" s="77">
        <v>29.398199999999999</v>
      </c>
      <c r="AQ49" s="77">
        <v>36.973999999999997</v>
      </c>
      <c r="AR49" s="77">
        <v>37.824199999999998</v>
      </c>
      <c r="AS49" s="78"/>
      <c r="AT49" s="77">
        <v>21.686399999999999</v>
      </c>
      <c r="AU49" s="77">
        <v>21.686399999999999</v>
      </c>
      <c r="AV49" s="77">
        <v>21.686399999999999</v>
      </c>
      <c r="AW49" s="78"/>
      <c r="AX49" s="73">
        <v>54.444000000000003</v>
      </c>
      <c r="AY49" s="73">
        <v>42.603000000000002</v>
      </c>
      <c r="BA49" s="68">
        <f t="shared" si="10"/>
        <v>1.7350180881944288E-3</v>
      </c>
      <c r="BB49" s="68"/>
      <c r="BD49" s="74"/>
      <c r="BE49" s="74"/>
      <c r="BF49" s="74"/>
      <c r="BG49" s="79"/>
      <c r="BI49" s="74"/>
      <c r="BJ49" s="74"/>
      <c r="BK49" s="74"/>
      <c r="BL49" s="79"/>
      <c r="BN49" s="74"/>
      <c r="BO49" s="74"/>
      <c r="BP49" s="74"/>
      <c r="BQ49" s="79"/>
      <c r="BS49" s="74"/>
      <c r="BT49" s="74"/>
      <c r="BU49" s="74"/>
      <c r="BV49" s="79"/>
    </row>
    <row r="50" spans="1:74" x14ac:dyDescent="0.15">
      <c r="A50" s="31"/>
      <c r="B50" s="31" t="s">
        <v>257</v>
      </c>
      <c r="C50" s="32" t="s">
        <v>225</v>
      </c>
      <c r="D50" s="31">
        <v>4848745</v>
      </c>
      <c r="E50" s="33">
        <v>12</v>
      </c>
      <c r="F50" s="32">
        <v>1</v>
      </c>
      <c r="G50" s="32"/>
      <c r="I50" s="34" t="str">
        <f t="shared" si="0"/>
        <v>·</v>
      </c>
      <c r="J50" s="35">
        <f t="shared" si="1"/>
        <v>11.849550347564163</v>
      </c>
      <c r="K50" s="35">
        <f t="shared" si="2"/>
        <v>5.2585796943332763</v>
      </c>
      <c r="L50" s="35">
        <f t="shared" si="3"/>
        <v>6.5907809134116144</v>
      </c>
      <c r="M50" s="36"/>
      <c r="N50" s="35">
        <f t="shared" si="4"/>
        <v>11.849550347564163</v>
      </c>
      <c r="O50" s="37">
        <v>4848745</v>
      </c>
      <c r="P50" s="38">
        <v>57455448</v>
      </c>
      <c r="Q50" s="38">
        <v>25497512</v>
      </c>
      <c r="R50" s="38">
        <v>31957016</v>
      </c>
      <c r="S50" s="39"/>
      <c r="T50" s="40">
        <v>53.1526</v>
      </c>
      <c r="U50" s="40">
        <v>55.817100000000003</v>
      </c>
      <c r="V50" s="40">
        <v>55.131799999999998</v>
      </c>
      <c r="W50" s="41"/>
      <c r="X50" s="40">
        <v>48.130800000000001</v>
      </c>
      <c r="Y50" s="40">
        <v>48.130800000000001</v>
      </c>
      <c r="Z50" s="40">
        <v>48.130800000000001</v>
      </c>
      <c r="AA50" s="41"/>
      <c r="AB50" s="42"/>
      <c r="AC50" s="42"/>
      <c r="AE50" s="34" t="str">
        <f t="shared" si="5"/>
        <v>·</v>
      </c>
      <c r="AF50" s="35">
        <f t="shared" si="6"/>
        <v>11.833909186810196</v>
      </c>
      <c r="AG50" s="35">
        <f t="shared" si="7"/>
        <v>5.2585796943332763</v>
      </c>
      <c r="AH50" s="35">
        <f t="shared" si="8"/>
        <v>6.5751397526576465</v>
      </c>
      <c r="AI50" s="36"/>
      <c r="AJ50" s="35">
        <f t="shared" si="9"/>
        <v>11.833909186810196</v>
      </c>
      <c r="AK50" s="37">
        <v>4848745</v>
      </c>
      <c r="AL50" s="38">
        <v>57379608</v>
      </c>
      <c r="AM50" s="38">
        <v>25497512</v>
      </c>
      <c r="AN50" s="38">
        <v>31881176</v>
      </c>
      <c r="AO50" s="39"/>
      <c r="AP50" s="40">
        <v>53.153599999999997</v>
      </c>
      <c r="AQ50" s="40">
        <v>55.815800000000003</v>
      </c>
      <c r="AR50" s="40">
        <v>55.133400000000002</v>
      </c>
      <c r="AS50" s="41"/>
      <c r="AT50" s="40">
        <v>48.130800000000001</v>
      </c>
      <c r="AU50" s="40">
        <v>48.130800000000001</v>
      </c>
      <c r="AV50" s="40">
        <v>48.130800000000001</v>
      </c>
      <c r="AW50" s="41"/>
      <c r="AX50" s="42">
        <v>18.204999999999998</v>
      </c>
      <c r="AY50" s="42">
        <v>14.835000000000001</v>
      </c>
      <c r="BA50" s="43">
        <f t="shared" si="10"/>
        <v>5.8655310331923172E-4</v>
      </c>
      <c r="BB50" s="43">
        <f t="array" ref="BB50">AVERAGE(AM50:AM54/AL50:AL54) - AVERAGE(Q50:Q54/P50:P54)</f>
        <v>1.4933419648210933E-3</v>
      </c>
      <c r="BD50" s="44">
        <f>IF( OR(ISBLANK(R50:R54),ISBLANK(AN50:AN54), ISBLANK(T50:T54),ISBLANK(AP50:AP54)), "·", bdRateExtend( R50:R54,T50:T54, AN50:AN54,AP50:AP54))</f>
        <v>-1.0795175881357699E-2</v>
      </c>
      <c r="BE50" s="44">
        <f>IF( OR(ISBLANK(R50:R54),ISBLANK(AN50:AN54), ISBLANK(U50:U54),ISBLANK(AQ50:AQ54)), "·", bdRateExtend( R50:R54,U50:U54, AN50:AN54,AQ50:AQ54))</f>
        <v>-1.1860219936184357E-2</v>
      </c>
      <c r="BF50" s="44">
        <f>IF( OR(ISBLANK(R50:R54),ISBLANK(AN50:AN54), ISBLANK(V50:V54),ISBLANK(AR50:AR54)), "·", bdRateExtend( R50:R54,V50:V54, AN50:AN54,AR50:AR54))</f>
        <v>-1.8885628815491828E-2</v>
      </c>
      <c r="BG50" s="45"/>
      <c r="BI50" s="44">
        <f>IF( OR(ISBLANK(R50:R54),ISBLANK(AN50:AN54), ISBLANK(X50:X54),ISBLANK(AT50:AT54)), "·", bdRateExtend( R50:R54,X50:X54, AN50:AN54,AT50:AT54))</f>
        <v>-9.1620419648125173E-3</v>
      </c>
      <c r="BJ50" s="44">
        <f>IF( OR(ISBLANK(R50:R54),ISBLANK(AN50:AN54), ISBLANK(Y50:Y54),ISBLANK(AU50:AU54)), "·", bdRateExtend( R50:R54,Y50:Y54, AN50:AN54,AU50:AU54))</f>
        <v>-9.1620419648125173E-3</v>
      </c>
      <c r="BK50" s="44">
        <f>IF( OR(ISBLANK(R50:R54),ISBLANK(AN50:AN54), ISBLANK(Z50:Z54),ISBLANK(AV50:AV54)), "·", bdRateExtend( R50:R54,Z50:Z54, AN50:AN54,AV50:AV54))</f>
        <v>-9.1620419648125173E-3</v>
      </c>
      <c r="BL50" s="45"/>
      <c r="BN50" s="44">
        <f>IF( OR(ISBLANK(P50:P54),ISBLANK(AL50:AL54), ISBLANK(T50:T54),ISBLANK(AP50:AP54)), "·", bdRateExtend( P50:P54,T50:T54, AL50:AL54,AP50:AP54))</f>
        <v>-2.56403328618382E-3</v>
      </c>
      <c r="BO50" s="44">
        <f>IF( OR(ISBLANK(P50:P54),ISBLANK(AL50:AL54), ISBLANK(U50:U54),ISBLANK(AQ50:AQ54)), "·", bdRateExtend( P50:P54,U50:U54, AL50:AL54,AQ50:AQ54))</f>
        <v>-3.0184932903092321E-3</v>
      </c>
      <c r="BP50" s="44">
        <f>IF( OR(ISBLANK(P50:P54),ISBLANK(AL50:AL54), ISBLANK(V50:V54),ISBLANK(AR50:AR54)), "·", bdRateExtend( P50:P54,V50:V54, AL50:AL54,AR50:AR54))</f>
        <v>-4.4073420055864565E-3</v>
      </c>
      <c r="BQ50" s="45"/>
      <c r="BS50" s="44">
        <f>IF( OR(ISBLANK(P50:P54),ISBLANK(AL50:AL54), ISBLANK(X50:X54),ISBLANK(AT50:AT54)), "·", bdRateExtend( P50:P54,X50:X54, AL50:AL54,AT50:AT54))</f>
        <v>-2.3339859810773689E-3</v>
      </c>
      <c r="BT50" s="44">
        <f>IF( OR(ISBLANK(P50:P54),ISBLANK(AL50:AL54), ISBLANK(Y50:Y54),ISBLANK(AU50:AU54)), "·", bdRateExtend( P50:P54,Y50:Y54, AL50:AL54,AU50:AU54))</f>
        <v>-2.3339859810773689E-3</v>
      </c>
      <c r="BU50" s="44">
        <f>IF( OR(ISBLANK(P50:P54),ISBLANK(AL50:AL54), ISBLANK(Z50:Z54),ISBLANK(AV50:AV54)), "·", bdRateExtend( P50:P54,Z50:Z54, AL50:AL54,AV50:AV54))</f>
        <v>-2.3339859810773689E-3</v>
      </c>
      <c r="BV50" s="45"/>
    </row>
    <row r="51" spans="1:74" outlineLevel="1" x14ac:dyDescent="0.15">
      <c r="A51" s="16"/>
      <c r="B51" s="16" t="s">
        <v>257</v>
      </c>
      <c r="C51" s="17" t="s">
        <v>226</v>
      </c>
      <c r="D51" s="16">
        <v>4848745</v>
      </c>
      <c r="E51" s="18">
        <v>12</v>
      </c>
      <c r="F51" s="17">
        <v>1</v>
      </c>
      <c r="G51" s="17"/>
      <c r="I51" s="19" t="str">
        <f t="shared" si="0"/>
        <v>·</v>
      </c>
      <c r="J51" s="20">
        <f t="shared" si="1"/>
        <v>9.8591053973760214</v>
      </c>
      <c r="K51" s="20">
        <f t="shared" si="2"/>
        <v>5.2585796943332763</v>
      </c>
      <c r="L51" s="20">
        <f t="shared" si="3"/>
        <v>4.6003359632234737</v>
      </c>
      <c r="M51" s="21"/>
      <c r="N51" s="20">
        <f t="shared" si="4"/>
        <v>9.8591053973760214</v>
      </c>
      <c r="O51" s="22">
        <v>4848745</v>
      </c>
      <c r="P51" s="23">
        <v>47804288</v>
      </c>
      <c r="Q51" s="23">
        <v>25497512</v>
      </c>
      <c r="R51" s="23">
        <v>22305856</v>
      </c>
      <c r="S51" s="24"/>
      <c r="T51" s="25">
        <v>48.286799999999999</v>
      </c>
      <c r="U51" s="25">
        <v>51.259500000000003</v>
      </c>
      <c r="V51" s="25">
        <v>50.982799999999997</v>
      </c>
      <c r="W51" s="26"/>
      <c r="X51" s="25">
        <v>42.110199999999999</v>
      </c>
      <c r="Y51" s="25">
        <v>42.110199999999999</v>
      </c>
      <c r="Z51" s="25">
        <v>42.110199999999999</v>
      </c>
      <c r="AA51" s="26"/>
      <c r="AB51" s="27"/>
      <c r="AC51" s="27"/>
      <c r="AE51" s="19" t="str">
        <f t="shared" si="5"/>
        <v>·</v>
      </c>
      <c r="AF51" s="20">
        <f t="shared" si="6"/>
        <v>9.8368101436557289</v>
      </c>
      <c r="AG51" s="20">
        <f t="shared" si="7"/>
        <v>5.2585796943332763</v>
      </c>
      <c r="AH51" s="20">
        <f t="shared" si="8"/>
        <v>4.5780407095031803</v>
      </c>
      <c r="AI51" s="21"/>
      <c r="AJ51" s="20">
        <f t="shared" si="9"/>
        <v>9.8368101436557289</v>
      </c>
      <c r="AK51" s="22">
        <v>4848745</v>
      </c>
      <c r="AL51" s="23">
        <v>47696184</v>
      </c>
      <c r="AM51" s="23">
        <v>25497512</v>
      </c>
      <c r="AN51" s="23">
        <v>22197752</v>
      </c>
      <c r="AO51" s="24"/>
      <c r="AP51" s="25">
        <v>48.2744</v>
      </c>
      <c r="AQ51" s="25">
        <v>51.283999999999999</v>
      </c>
      <c r="AR51" s="25">
        <v>51.011000000000003</v>
      </c>
      <c r="AS51" s="26"/>
      <c r="AT51" s="25">
        <v>42.110199999999999</v>
      </c>
      <c r="AU51" s="25">
        <v>42.110199999999999</v>
      </c>
      <c r="AV51" s="25">
        <v>42.110199999999999</v>
      </c>
      <c r="AW51" s="26"/>
      <c r="AX51" s="27">
        <v>17.954999999999998</v>
      </c>
      <c r="AY51" s="27">
        <v>14.695</v>
      </c>
      <c r="BA51" s="28">
        <f t="shared" si="10"/>
        <v>1.2088963890279913E-3</v>
      </c>
      <c r="BB51" s="28"/>
      <c r="BD51" s="29"/>
      <c r="BE51" s="29"/>
      <c r="BF51" s="29"/>
      <c r="BG51" s="30"/>
      <c r="BI51" s="29"/>
      <c r="BJ51" s="29"/>
      <c r="BK51" s="29"/>
      <c r="BL51" s="30"/>
      <c r="BN51" s="29"/>
      <c r="BO51" s="29"/>
      <c r="BP51" s="29"/>
      <c r="BQ51" s="30"/>
      <c r="BS51" s="29"/>
      <c r="BT51" s="29"/>
      <c r="BU51" s="29"/>
      <c r="BV51" s="30"/>
    </row>
    <row r="52" spans="1:74" outlineLevel="1" x14ac:dyDescent="0.15">
      <c r="A52" s="31"/>
      <c r="B52" s="31" t="s">
        <v>257</v>
      </c>
      <c r="C52" s="32" t="s">
        <v>227</v>
      </c>
      <c r="D52" s="31">
        <v>4848745</v>
      </c>
      <c r="E52" s="33">
        <v>12</v>
      </c>
      <c r="F52" s="32">
        <v>1</v>
      </c>
      <c r="G52" s="32"/>
      <c r="I52" s="34" t="str">
        <f t="shared" si="0"/>
        <v>·</v>
      </c>
      <c r="J52" s="35">
        <f t="shared" si="1"/>
        <v>7.7233642932346411</v>
      </c>
      <c r="K52" s="35">
        <f t="shared" si="2"/>
        <v>5.2585796943332763</v>
      </c>
      <c r="L52" s="35">
        <f t="shared" si="3"/>
        <v>2.4645948590820925</v>
      </c>
      <c r="M52" s="36"/>
      <c r="N52" s="35">
        <f t="shared" si="4"/>
        <v>7.7233642932346411</v>
      </c>
      <c r="O52" s="37">
        <v>4848745</v>
      </c>
      <c r="P52" s="38">
        <v>37448624</v>
      </c>
      <c r="Q52" s="38">
        <v>25497512</v>
      </c>
      <c r="R52" s="38">
        <v>11950192</v>
      </c>
      <c r="S52" s="39"/>
      <c r="T52" s="40">
        <v>41.335000000000001</v>
      </c>
      <c r="U52" s="40">
        <v>46.035600000000002</v>
      </c>
      <c r="V52" s="40">
        <v>45.995600000000003</v>
      </c>
      <c r="W52" s="41"/>
      <c r="X52" s="40">
        <v>34.151400000000002</v>
      </c>
      <c r="Y52" s="40">
        <v>34.151400000000002</v>
      </c>
      <c r="Z52" s="40">
        <v>34.151400000000002</v>
      </c>
      <c r="AA52" s="41"/>
      <c r="AB52" s="42"/>
      <c r="AC52" s="42"/>
      <c r="AE52" s="34" t="str">
        <f t="shared" si="5"/>
        <v>·</v>
      </c>
      <c r="AF52" s="35">
        <f t="shared" si="6"/>
        <v>7.7044596075891807</v>
      </c>
      <c r="AG52" s="35">
        <f t="shared" si="7"/>
        <v>5.2585796943332763</v>
      </c>
      <c r="AH52" s="35">
        <f t="shared" si="8"/>
        <v>2.4456901734366316</v>
      </c>
      <c r="AI52" s="36"/>
      <c r="AJ52" s="35">
        <f t="shared" si="9"/>
        <v>7.7044596075891807</v>
      </c>
      <c r="AK52" s="37">
        <v>4848745</v>
      </c>
      <c r="AL52" s="38">
        <v>37356960</v>
      </c>
      <c r="AM52" s="38">
        <v>25497512</v>
      </c>
      <c r="AN52" s="38">
        <v>11858528</v>
      </c>
      <c r="AO52" s="39"/>
      <c r="AP52" s="40">
        <v>41.326300000000003</v>
      </c>
      <c r="AQ52" s="40">
        <v>46.076000000000001</v>
      </c>
      <c r="AR52" s="40">
        <v>46.066400000000002</v>
      </c>
      <c r="AS52" s="41"/>
      <c r="AT52" s="40">
        <v>34.151400000000002</v>
      </c>
      <c r="AU52" s="40">
        <v>34.151400000000002</v>
      </c>
      <c r="AV52" s="40">
        <v>34.151400000000002</v>
      </c>
      <c r="AW52" s="41"/>
      <c r="AX52" s="42">
        <v>18.204999999999998</v>
      </c>
      <c r="AY52" s="42">
        <v>14.164</v>
      </c>
      <c r="BA52" s="43">
        <f t="shared" si="10"/>
        <v>1.6706643970876289E-3</v>
      </c>
      <c r="BB52" s="43"/>
      <c r="BD52" s="44"/>
      <c r="BE52" s="44"/>
      <c r="BF52" s="44"/>
      <c r="BG52" s="45"/>
      <c r="BI52" s="44"/>
      <c r="BJ52" s="44"/>
      <c r="BK52" s="44"/>
      <c r="BL52" s="45"/>
      <c r="BN52" s="44"/>
      <c r="BO52" s="44"/>
      <c r="BP52" s="44"/>
      <c r="BQ52" s="45"/>
      <c r="BS52" s="44"/>
      <c r="BT52" s="44"/>
      <c r="BU52" s="44"/>
      <c r="BV52" s="45"/>
    </row>
    <row r="53" spans="1:74" outlineLevel="1" x14ac:dyDescent="0.15">
      <c r="A53" s="16"/>
      <c r="B53" s="16" t="s">
        <v>257</v>
      </c>
      <c r="C53" s="17" t="s">
        <v>228</v>
      </c>
      <c r="D53" s="16">
        <v>4848745</v>
      </c>
      <c r="E53" s="18">
        <v>12</v>
      </c>
      <c r="F53" s="17">
        <v>1</v>
      </c>
      <c r="G53" s="17"/>
      <c r="I53" s="19" t="str">
        <f t="shared" si="0"/>
        <v>·</v>
      </c>
      <c r="J53" s="20">
        <f t="shared" si="1"/>
        <v>6.5916207183508311</v>
      </c>
      <c r="K53" s="20">
        <f t="shared" si="2"/>
        <v>5.2585796943332763</v>
      </c>
      <c r="L53" s="20">
        <f t="shared" si="3"/>
        <v>1.3328512841982822</v>
      </c>
      <c r="M53" s="21"/>
      <c r="N53" s="20">
        <f t="shared" si="4"/>
        <v>6.5916207183508311</v>
      </c>
      <c r="O53" s="22">
        <v>4848745</v>
      </c>
      <c r="P53" s="23">
        <v>31961088</v>
      </c>
      <c r="Q53" s="23">
        <v>25497512</v>
      </c>
      <c r="R53" s="23">
        <v>6462656</v>
      </c>
      <c r="S53" s="24"/>
      <c r="T53" s="25">
        <v>35.863599999999998</v>
      </c>
      <c r="U53" s="25">
        <v>41.411200000000001</v>
      </c>
      <c r="V53" s="25">
        <v>41.717399999999998</v>
      </c>
      <c r="W53" s="26"/>
      <c r="X53" s="25">
        <v>28.130800000000001</v>
      </c>
      <c r="Y53" s="25">
        <v>28.130800000000001</v>
      </c>
      <c r="Z53" s="25">
        <v>28.130800000000001</v>
      </c>
      <c r="AA53" s="26"/>
      <c r="AB53" s="27"/>
      <c r="AC53" s="27"/>
      <c r="AE53" s="19" t="str">
        <f t="shared" si="5"/>
        <v>·</v>
      </c>
      <c r="AF53" s="20">
        <f t="shared" si="6"/>
        <v>6.5737290783491398</v>
      </c>
      <c r="AG53" s="20">
        <f t="shared" si="7"/>
        <v>5.2585796943332763</v>
      </c>
      <c r="AH53" s="20">
        <f t="shared" si="8"/>
        <v>1.3149596441965912</v>
      </c>
      <c r="AI53" s="21"/>
      <c r="AJ53" s="20">
        <f t="shared" si="9"/>
        <v>6.5737290783491398</v>
      </c>
      <c r="AK53" s="22">
        <v>4848745</v>
      </c>
      <c r="AL53" s="23">
        <v>31874336</v>
      </c>
      <c r="AM53" s="23">
        <v>25497512</v>
      </c>
      <c r="AN53" s="23">
        <v>6375904</v>
      </c>
      <c r="AO53" s="24"/>
      <c r="AP53" s="25">
        <v>35.932499999999997</v>
      </c>
      <c r="AQ53" s="25">
        <v>41.381999999999998</v>
      </c>
      <c r="AR53" s="25">
        <v>41.791400000000003</v>
      </c>
      <c r="AS53" s="26"/>
      <c r="AT53" s="25">
        <v>28.130800000000001</v>
      </c>
      <c r="AU53" s="25">
        <v>28.130800000000001</v>
      </c>
      <c r="AV53" s="25">
        <v>28.130800000000001</v>
      </c>
      <c r="AW53" s="26"/>
      <c r="AX53" s="27">
        <v>18.001999999999999</v>
      </c>
      <c r="AY53" s="27">
        <v>14.773</v>
      </c>
      <c r="BA53" s="28">
        <f t="shared" si="10"/>
        <v>2.1712738377612784E-3</v>
      </c>
      <c r="BB53" s="28"/>
      <c r="BD53" s="29"/>
      <c r="BE53" s="29"/>
      <c r="BF53" s="29"/>
      <c r="BG53" s="30"/>
      <c r="BI53" s="29"/>
      <c r="BJ53" s="29"/>
      <c r="BK53" s="29"/>
      <c r="BL53" s="30"/>
      <c r="BN53" s="29"/>
      <c r="BO53" s="29"/>
      <c r="BP53" s="29"/>
      <c r="BQ53" s="30"/>
      <c r="BS53" s="29"/>
      <c r="BT53" s="29"/>
      <c r="BU53" s="29"/>
      <c r="BV53" s="30"/>
    </row>
    <row r="54" spans="1:74" outlineLevel="1" x14ac:dyDescent="0.15">
      <c r="A54" s="31"/>
      <c r="B54" s="46" t="s">
        <v>257</v>
      </c>
      <c r="C54" s="47" t="s">
        <v>229</v>
      </c>
      <c r="D54" s="46">
        <v>4848745</v>
      </c>
      <c r="E54" s="48">
        <v>12</v>
      </c>
      <c r="F54" s="47">
        <v>1</v>
      </c>
      <c r="G54" s="47"/>
      <c r="I54" s="49" t="str">
        <f t="shared" si="0"/>
        <v>·</v>
      </c>
      <c r="J54" s="50">
        <f t="shared" si="1"/>
        <v>5.8308778869583779</v>
      </c>
      <c r="K54" s="50">
        <f t="shared" si="2"/>
        <v>5.2585796943332763</v>
      </c>
      <c r="L54" s="50">
        <f t="shared" si="3"/>
        <v>0.57210845280582912</v>
      </c>
      <c r="M54" s="51"/>
      <c r="N54" s="50">
        <f t="shared" si="4"/>
        <v>5.8308778869583779</v>
      </c>
      <c r="O54" s="52">
        <v>4848745</v>
      </c>
      <c r="P54" s="53">
        <v>28272440</v>
      </c>
      <c r="Q54" s="53">
        <v>25497512</v>
      </c>
      <c r="R54" s="53">
        <v>2774008</v>
      </c>
      <c r="S54" s="54"/>
      <c r="T54" s="55">
        <v>29.858699999999999</v>
      </c>
      <c r="U54" s="55">
        <v>36.465699999999998</v>
      </c>
      <c r="V54" s="55">
        <v>36.331200000000003</v>
      </c>
      <c r="W54" s="56"/>
      <c r="X54" s="55">
        <v>21.686399999999999</v>
      </c>
      <c r="Y54" s="55">
        <v>21.686399999999999</v>
      </c>
      <c r="Z54" s="55">
        <v>21.686399999999999</v>
      </c>
      <c r="AA54" s="56"/>
      <c r="AB54" s="57"/>
      <c r="AC54" s="57"/>
      <c r="AE54" s="49" t="str">
        <f t="shared" si="5"/>
        <v>·</v>
      </c>
      <c r="AF54" s="50">
        <f t="shared" si="6"/>
        <v>5.8190744202881364</v>
      </c>
      <c r="AG54" s="50">
        <f t="shared" si="7"/>
        <v>5.2585796943332763</v>
      </c>
      <c r="AH54" s="50">
        <f t="shared" si="8"/>
        <v>0.56030498613558766</v>
      </c>
      <c r="AI54" s="51"/>
      <c r="AJ54" s="50">
        <f t="shared" si="9"/>
        <v>5.8190744202881364</v>
      </c>
      <c r="AK54" s="52">
        <v>4848745</v>
      </c>
      <c r="AL54" s="53">
        <v>28215208</v>
      </c>
      <c r="AM54" s="53">
        <v>25497512</v>
      </c>
      <c r="AN54" s="53">
        <v>2716776</v>
      </c>
      <c r="AO54" s="54"/>
      <c r="AP54" s="55">
        <v>29.8186</v>
      </c>
      <c r="AQ54" s="55">
        <v>36.572400000000002</v>
      </c>
      <c r="AR54" s="55">
        <v>36.495600000000003</v>
      </c>
      <c r="AS54" s="56"/>
      <c r="AT54" s="55">
        <v>21.686399999999999</v>
      </c>
      <c r="AU54" s="55">
        <v>21.686399999999999</v>
      </c>
      <c r="AV54" s="55">
        <v>21.686399999999999</v>
      </c>
      <c r="AW54" s="56"/>
      <c r="AX54" s="57">
        <v>18.236000000000001</v>
      </c>
      <c r="AY54" s="57">
        <v>19.936</v>
      </c>
      <c r="BA54" s="58">
        <f t="shared" si="10"/>
        <v>1.8293220969096691E-3</v>
      </c>
      <c r="BB54" s="58"/>
      <c r="BD54" s="59"/>
      <c r="BE54" s="59"/>
      <c r="BF54" s="59"/>
      <c r="BG54" s="60"/>
      <c r="BI54" s="59"/>
      <c r="BJ54" s="59"/>
      <c r="BK54" s="59"/>
      <c r="BL54" s="60"/>
      <c r="BN54" s="59"/>
      <c r="BO54" s="59"/>
      <c r="BP54" s="59"/>
      <c r="BQ54" s="60"/>
      <c r="BS54" s="59"/>
      <c r="BT54" s="59"/>
      <c r="BU54" s="59"/>
      <c r="BV54" s="60"/>
    </row>
    <row r="55" spans="1:74" x14ac:dyDescent="0.15">
      <c r="A55" s="16"/>
      <c r="B55" s="16" t="s">
        <v>260</v>
      </c>
      <c r="C55" s="17" t="s">
        <v>225</v>
      </c>
      <c r="D55" s="16">
        <v>3096122</v>
      </c>
      <c r="E55" s="18">
        <v>12</v>
      </c>
      <c r="F55" s="17">
        <v>1</v>
      </c>
      <c r="G55" s="17"/>
      <c r="I55" s="19" t="str">
        <f t="shared" si="0"/>
        <v>·</v>
      </c>
      <c r="J55" s="20">
        <f t="shared" si="1"/>
        <v>10.354103617363915</v>
      </c>
      <c r="K55" s="20">
        <f t="shared" si="2"/>
        <v>3.8253841418393719</v>
      </c>
      <c r="L55" s="20">
        <f t="shared" si="3"/>
        <v>6.5284740071612166</v>
      </c>
      <c r="M55" s="21"/>
      <c r="N55" s="20">
        <f t="shared" si="4"/>
        <v>10.354103617363915</v>
      </c>
      <c r="O55" s="22">
        <v>3096122</v>
      </c>
      <c r="P55" s="23">
        <v>32057568</v>
      </c>
      <c r="Q55" s="23">
        <v>11843856</v>
      </c>
      <c r="R55" s="23">
        <v>20212952</v>
      </c>
      <c r="S55" s="24"/>
      <c r="T55" s="25">
        <v>53.130499999999998</v>
      </c>
      <c r="U55" s="25">
        <v>55.2029</v>
      </c>
      <c r="V55" s="25">
        <v>55.410499999999999</v>
      </c>
      <c r="W55" s="26"/>
      <c r="X55" s="25">
        <v>48.130800000000001</v>
      </c>
      <c r="Y55" s="25">
        <v>48.130800000000001</v>
      </c>
      <c r="Z55" s="25">
        <v>48.130800000000001</v>
      </c>
      <c r="AA55" s="26"/>
      <c r="AB55" s="27"/>
      <c r="AC55" s="27"/>
      <c r="AE55" s="19" t="str">
        <f t="shared" si="5"/>
        <v>·</v>
      </c>
      <c r="AF55" s="20">
        <f t="shared" si="6"/>
        <v>10.172552631969928</v>
      </c>
      <c r="AG55" s="20">
        <f t="shared" si="7"/>
        <v>3.8253841418393719</v>
      </c>
      <c r="AH55" s="20">
        <f t="shared" si="8"/>
        <v>6.3469230217672301</v>
      </c>
      <c r="AI55" s="21"/>
      <c r="AJ55" s="20">
        <f t="shared" si="9"/>
        <v>10.172552631969928</v>
      </c>
      <c r="AK55" s="22">
        <v>3096122</v>
      </c>
      <c r="AL55" s="23">
        <v>31495464</v>
      </c>
      <c r="AM55" s="23">
        <v>11843856</v>
      </c>
      <c r="AN55" s="23">
        <v>19650848</v>
      </c>
      <c r="AO55" s="24"/>
      <c r="AP55" s="25">
        <v>53.124499999999998</v>
      </c>
      <c r="AQ55" s="25">
        <v>55.249600000000001</v>
      </c>
      <c r="AR55" s="25">
        <v>55.437600000000003</v>
      </c>
      <c r="AS55" s="26"/>
      <c r="AT55" s="25">
        <v>48.130800000000001</v>
      </c>
      <c r="AU55" s="25">
        <v>48.130800000000001</v>
      </c>
      <c r="AV55" s="25">
        <v>48.130800000000001</v>
      </c>
      <c r="AW55" s="26"/>
      <c r="AX55" s="27">
        <v>10.124000000000001</v>
      </c>
      <c r="AY55" s="27">
        <v>8.5640000000000001</v>
      </c>
      <c r="BA55" s="28">
        <f t="shared" si="10"/>
        <v>6.5937307831280267E-3</v>
      </c>
      <c r="BB55" s="28">
        <f t="array" ref="BB55">AVERAGE(AM55:AM59/AL55:AL59) - AVERAGE(Q55:Q59/P55:P59)</f>
        <v>9.3412524990482693E-3</v>
      </c>
      <c r="BD55" s="29">
        <f>IF( OR(ISBLANK(R55:R59),ISBLANK(AN55:AN59), ISBLANK(T55:T59),ISBLANK(AP55:AP59)), "·", bdRateExtend( R55:R59,T55:T59, AN55:AN59,AP55:AP59))</f>
        <v>-5.4835451951876779E-2</v>
      </c>
      <c r="BE55" s="29">
        <f>IF( OR(ISBLANK(R55:R59),ISBLANK(AN55:AN59), ISBLANK(U55:U59),ISBLANK(AQ55:AQ59)), "·", bdRateExtend( R55:R59,U55:U59, AN55:AN59,AQ55:AQ59))</f>
        <v>-6.0372191221366389E-2</v>
      </c>
      <c r="BF55" s="29">
        <f>IF( OR(ISBLANK(R55:R59),ISBLANK(AN55:AN59), ISBLANK(V55:V59),ISBLANK(AR55:AR59)), "·", bdRateExtend( R55:R59,V55:V59, AN55:AN59,AR55:AR59))</f>
        <v>-6.2606617452538149E-2</v>
      </c>
      <c r="BG55" s="30"/>
      <c r="BI55" s="29">
        <f>IF( OR(ISBLANK(R55:R59),ISBLANK(AN55:AN59), ISBLANK(X55:X59),ISBLANK(AT55:AT59)), "·", bdRateExtend( R55:R59,X55:X59, AN55:AN59,AT55:AT59))</f>
        <v>-4.8387620184009994E-2</v>
      </c>
      <c r="BJ55" s="29">
        <f>IF( OR(ISBLANK(R55:R59),ISBLANK(AN55:AN59), ISBLANK(Y55:Y59),ISBLANK(AU55:AU59)), "·", bdRateExtend( R55:R59,Y55:Y59, AN55:AN59,AU55:AU59))</f>
        <v>-4.8387620184009994E-2</v>
      </c>
      <c r="BK55" s="29">
        <f>IF( OR(ISBLANK(R55:R59),ISBLANK(AN55:AN59), ISBLANK(Z55:Z59),ISBLANK(AV55:AV59)), "·", bdRateExtend( R55:R59,Z55:Z59, AN55:AN59,AV55:AV59))</f>
        <v>-4.8387620184009994E-2</v>
      </c>
      <c r="BL55" s="30"/>
      <c r="BN55" s="29">
        <f>IF( OR(ISBLANK(P55:P59),ISBLANK(AL55:AL59), ISBLANK(T55:T59),ISBLANK(AP55:AP59)), "·", bdRateExtend( P55:P59,T55:T59, AL55:AL59,AP55:AP59))</f>
        <v>-1.8311551118545211E-2</v>
      </c>
      <c r="BO55" s="29">
        <f>IF( OR(ISBLANK(P55:P59),ISBLANK(AL55:AL59), ISBLANK(U55:U59),ISBLANK(AQ55:AQ59)), "·", bdRateExtend( P55:P59,U55:U59, AL55:AL59,AQ55:AQ59))</f>
        <v>-2.0070074273549787E-2</v>
      </c>
      <c r="BP55" s="29">
        <f>IF( OR(ISBLANK(P55:P59),ISBLANK(AL55:AL59), ISBLANK(V55:V59),ISBLANK(AR55:AR59)), "·", bdRateExtend( P55:P59,V55:V59, AL55:AL59,AR55:AR59))</f>
        <v>-2.0745786930991716E-2</v>
      </c>
      <c r="BQ55" s="30"/>
      <c r="BS55" s="29">
        <f>IF( OR(ISBLANK(P55:P59),ISBLANK(AL55:AL59), ISBLANK(X55:X59),ISBLANK(AT55:AT59)), "·", bdRateExtend( P55:P59,X55:X59, AL55:AL59,AT55:AT59))</f>
        <v>-1.6750189570556406E-2</v>
      </c>
      <c r="BT55" s="29">
        <f>IF( OR(ISBLANK(P55:P59),ISBLANK(AL55:AL59), ISBLANK(Y55:Y59),ISBLANK(AU55:AU59)), "·", bdRateExtend( P55:P59,Y55:Y59, AL55:AL59,AU55:AU59))</f>
        <v>-1.6750189570556406E-2</v>
      </c>
      <c r="BU55" s="29">
        <f>IF( OR(ISBLANK(P55:P59),ISBLANK(AL55:AL59), ISBLANK(Z55:Z59),ISBLANK(AV55:AV59)), "·", bdRateExtend( P55:P59,Z55:Z59, AL55:AL59,AV55:AV59))</f>
        <v>-1.6750189570556406E-2</v>
      </c>
      <c r="BV55" s="30"/>
    </row>
    <row r="56" spans="1:74" outlineLevel="1" x14ac:dyDescent="0.15">
      <c r="A56" s="31"/>
      <c r="B56" s="31" t="s">
        <v>260</v>
      </c>
      <c r="C56" s="32" t="s">
        <v>226</v>
      </c>
      <c r="D56" s="31">
        <v>3096122</v>
      </c>
      <c r="E56" s="33">
        <v>12</v>
      </c>
      <c r="F56" s="32">
        <v>1</v>
      </c>
      <c r="G56" s="32"/>
      <c r="I56" s="34" t="str">
        <f t="shared" si="0"/>
        <v>·</v>
      </c>
      <c r="J56" s="35">
        <f t="shared" si="1"/>
        <v>8.3229898563428701</v>
      </c>
      <c r="K56" s="35">
        <f t="shared" si="2"/>
        <v>3.8253841418393719</v>
      </c>
      <c r="L56" s="35">
        <f t="shared" si="3"/>
        <v>4.4973602461401718</v>
      </c>
      <c r="M56" s="36"/>
      <c r="N56" s="35">
        <f t="shared" si="4"/>
        <v>8.3229898563428701</v>
      </c>
      <c r="O56" s="37">
        <v>3096122</v>
      </c>
      <c r="P56" s="38">
        <v>25768992</v>
      </c>
      <c r="Q56" s="38">
        <v>11843856</v>
      </c>
      <c r="R56" s="38">
        <v>13924376</v>
      </c>
      <c r="S56" s="39"/>
      <c r="T56" s="40">
        <v>48.322200000000002</v>
      </c>
      <c r="U56" s="40">
        <v>51.174999999999997</v>
      </c>
      <c r="V56" s="40">
        <v>50.887700000000002</v>
      </c>
      <c r="W56" s="41"/>
      <c r="X56" s="40">
        <v>42.110199999999999</v>
      </c>
      <c r="Y56" s="40">
        <v>42.110199999999999</v>
      </c>
      <c r="Z56" s="40">
        <v>42.110199999999999</v>
      </c>
      <c r="AA56" s="41"/>
      <c r="AB56" s="42"/>
      <c r="AC56" s="42"/>
      <c r="AE56" s="34" t="str">
        <f t="shared" si="5"/>
        <v>·</v>
      </c>
      <c r="AF56" s="35">
        <f t="shared" si="6"/>
        <v>8.1731482157356847</v>
      </c>
      <c r="AG56" s="35">
        <f t="shared" si="7"/>
        <v>3.8253841418393719</v>
      </c>
      <c r="AH56" s="35">
        <f t="shared" si="8"/>
        <v>4.3475186055329864</v>
      </c>
      <c r="AI56" s="36"/>
      <c r="AJ56" s="35">
        <f t="shared" si="9"/>
        <v>8.1731482157356847</v>
      </c>
      <c r="AK56" s="37">
        <v>3096122</v>
      </c>
      <c r="AL56" s="38">
        <v>25305064</v>
      </c>
      <c r="AM56" s="38">
        <v>11843856</v>
      </c>
      <c r="AN56" s="38">
        <v>13460448</v>
      </c>
      <c r="AO56" s="39"/>
      <c r="AP56" s="40">
        <v>48.332099999999997</v>
      </c>
      <c r="AQ56" s="40">
        <v>51.246499999999997</v>
      </c>
      <c r="AR56" s="40">
        <v>50.9452</v>
      </c>
      <c r="AS56" s="41"/>
      <c r="AT56" s="40">
        <v>42.110199999999999</v>
      </c>
      <c r="AU56" s="40">
        <v>42.110199999999999</v>
      </c>
      <c r="AV56" s="40">
        <v>42.110199999999999</v>
      </c>
      <c r="AW56" s="41"/>
      <c r="AX56" s="42">
        <v>10.233000000000001</v>
      </c>
      <c r="AY56" s="42">
        <v>8.6890000000000001</v>
      </c>
      <c r="BA56" s="43">
        <f t="shared" si="10"/>
        <v>8.4263371636110751E-3</v>
      </c>
      <c r="BB56" s="43"/>
      <c r="BD56" s="44"/>
      <c r="BE56" s="44"/>
      <c r="BF56" s="44"/>
      <c r="BG56" s="45"/>
      <c r="BI56" s="44"/>
      <c r="BJ56" s="44"/>
      <c r="BK56" s="44"/>
      <c r="BL56" s="45"/>
      <c r="BN56" s="44"/>
      <c r="BO56" s="44"/>
      <c r="BP56" s="44"/>
      <c r="BQ56" s="45"/>
      <c r="BS56" s="44"/>
      <c r="BT56" s="44"/>
      <c r="BU56" s="44"/>
      <c r="BV56" s="45"/>
    </row>
    <row r="57" spans="1:74" outlineLevel="1" x14ac:dyDescent="0.15">
      <c r="A57" s="16"/>
      <c r="B57" s="16" t="s">
        <v>260</v>
      </c>
      <c r="C57" s="17" t="s">
        <v>227</v>
      </c>
      <c r="D57" s="16">
        <v>3096122</v>
      </c>
      <c r="E57" s="18">
        <v>12</v>
      </c>
      <c r="F57" s="17">
        <v>1</v>
      </c>
      <c r="G57" s="17"/>
      <c r="I57" s="19" t="str">
        <f t="shared" si="0"/>
        <v>·</v>
      </c>
      <c r="J57" s="20">
        <f t="shared" si="1"/>
        <v>6.3210144819874667</v>
      </c>
      <c r="K57" s="20">
        <f t="shared" si="2"/>
        <v>3.8253841418393719</v>
      </c>
      <c r="L57" s="20">
        <f t="shared" si="3"/>
        <v>2.495384871784768</v>
      </c>
      <c r="M57" s="21"/>
      <c r="N57" s="20">
        <f t="shared" si="4"/>
        <v>6.3210144819874667</v>
      </c>
      <c r="O57" s="22">
        <v>3096122</v>
      </c>
      <c r="P57" s="23">
        <v>19570632</v>
      </c>
      <c r="Q57" s="23">
        <v>11843856</v>
      </c>
      <c r="R57" s="23">
        <v>7726016</v>
      </c>
      <c r="S57" s="24"/>
      <c r="T57" s="25">
        <v>41.314900000000002</v>
      </c>
      <c r="U57" s="25">
        <v>45.347200000000001</v>
      </c>
      <c r="V57" s="25">
        <v>45.048299999999998</v>
      </c>
      <c r="W57" s="26"/>
      <c r="X57" s="25">
        <v>34.151400000000002</v>
      </c>
      <c r="Y57" s="25">
        <v>34.151400000000002</v>
      </c>
      <c r="Z57" s="25">
        <v>34.151400000000002</v>
      </c>
      <c r="AA57" s="26"/>
      <c r="AB57" s="27"/>
      <c r="AC57" s="27"/>
      <c r="AE57" s="19" t="str">
        <f t="shared" si="5"/>
        <v>·</v>
      </c>
      <c r="AF57" s="20">
        <f t="shared" si="6"/>
        <v>6.2032697677933877</v>
      </c>
      <c r="AG57" s="20">
        <f t="shared" si="7"/>
        <v>3.8253841418393719</v>
      </c>
      <c r="AH57" s="20">
        <f t="shared" si="8"/>
        <v>2.3776401575906894</v>
      </c>
      <c r="AI57" s="21"/>
      <c r="AJ57" s="20">
        <f t="shared" si="9"/>
        <v>6.2032697677933877</v>
      </c>
      <c r="AK57" s="22">
        <v>3096122</v>
      </c>
      <c r="AL57" s="23">
        <v>19206080</v>
      </c>
      <c r="AM57" s="23">
        <v>11843856</v>
      </c>
      <c r="AN57" s="23">
        <v>7361464</v>
      </c>
      <c r="AO57" s="24"/>
      <c r="AP57" s="25">
        <v>41.369</v>
      </c>
      <c r="AQ57" s="25">
        <v>45.444000000000003</v>
      </c>
      <c r="AR57" s="25">
        <v>45.166899999999998</v>
      </c>
      <c r="AS57" s="26"/>
      <c r="AT57" s="25">
        <v>34.151400000000002</v>
      </c>
      <c r="AU57" s="25">
        <v>34.151400000000002</v>
      </c>
      <c r="AV57" s="25">
        <v>34.151400000000002</v>
      </c>
      <c r="AW57" s="26"/>
      <c r="AX57" s="27">
        <v>9.984</v>
      </c>
      <c r="AY57" s="27">
        <v>8.4390000000000001</v>
      </c>
      <c r="BA57" s="28">
        <f t="shared" si="10"/>
        <v>1.1487063438442746E-2</v>
      </c>
      <c r="BB57" s="28"/>
      <c r="BD57" s="29"/>
      <c r="BE57" s="29"/>
      <c r="BF57" s="29"/>
      <c r="BG57" s="30"/>
      <c r="BI57" s="29"/>
      <c r="BJ57" s="29"/>
      <c r="BK57" s="29"/>
      <c r="BL57" s="30"/>
      <c r="BN57" s="29"/>
      <c r="BO57" s="29"/>
      <c r="BP57" s="29"/>
      <c r="BQ57" s="30"/>
      <c r="BS57" s="29"/>
      <c r="BT57" s="29"/>
      <c r="BU57" s="29"/>
      <c r="BV57" s="30"/>
    </row>
    <row r="58" spans="1:74" outlineLevel="1" x14ac:dyDescent="0.15">
      <c r="A58" s="31"/>
      <c r="B58" s="31" t="s">
        <v>260</v>
      </c>
      <c r="C58" s="32" t="s">
        <v>228</v>
      </c>
      <c r="D58" s="31">
        <v>3096122</v>
      </c>
      <c r="E58" s="33">
        <v>12</v>
      </c>
      <c r="F58" s="32">
        <v>1</v>
      </c>
      <c r="G58" s="32"/>
      <c r="I58" s="34" t="str">
        <f t="shared" si="0"/>
        <v>·</v>
      </c>
      <c r="J58" s="35">
        <f t="shared" si="1"/>
        <v>5.1284542404982751</v>
      </c>
      <c r="K58" s="35">
        <f t="shared" si="2"/>
        <v>3.8253841418393719</v>
      </c>
      <c r="L58" s="35">
        <f t="shared" si="3"/>
        <v>1.3028246302955762</v>
      </c>
      <c r="M58" s="36"/>
      <c r="N58" s="35">
        <f t="shared" si="4"/>
        <v>5.1284542404982751</v>
      </c>
      <c r="O58" s="37">
        <v>3096122</v>
      </c>
      <c r="P58" s="38">
        <v>15878320</v>
      </c>
      <c r="Q58" s="38">
        <v>11843856</v>
      </c>
      <c r="R58" s="38">
        <v>4033704</v>
      </c>
      <c r="S58" s="39"/>
      <c r="T58" s="40">
        <v>35.838500000000003</v>
      </c>
      <c r="U58" s="40">
        <v>40.734999999999999</v>
      </c>
      <c r="V58" s="40">
        <v>40.052500000000002</v>
      </c>
      <c r="W58" s="41"/>
      <c r="X58" s="40">
        <v>28.130800000000001</v>
      </c>
      <c r="Y58" s="40">
        <v>28.130800000000001</v>
      </c>
      <c r="Z58" s="40">
        <v>28.130800000000001</v>
      </c>
      <c r="AA58" s="41"/>
      <c r="AB58" s="42"/>
      <c r="AC58" s="42"/>
      <c r="AE58" s="34" t="str">
        <f t="shared" si="5"/>
        <v>·</v>
      </c>
      <c r="AF58" s="35">
        <f t="shared" si="6"/>
        <v>5.046705523877935</v>
      </c>
      <c r="AG58" s="35">
        <f t="shared" si="7"/>
        <v>3.8253841418393719</v>
      </c>
      <c r="AH58" s="35">
        <f t="shared" si="8"/>
        <v>1.2210759136752363</v>
      </c>
      <c r="AI58" s="36"/>
      <c r="AJ58" s="35">
        <f t="shared" si="9"/>
        <v>5.046705523877935</v>
      </c>
      <c r="AK58" s="37">
        <v>3096122</v>
      </c>
      <c r="AL58" s="38">
        <v>15625216</v>
      </c>
      <c r="AM58" s="38">
        <v>11843856</v>
      </c>
      <c r="AN58" s="38">
        <v>3780600</v>
      </c>
      <c r="AO58" s="39"/>
      <c r="AP58" s="40">
        <v>35.936</v>
      </c>
      <c r="AQ58" s="40">
        <v>40.817999999999998</v>
      </c>
      <c r="AR58" s="40">
        <v>40.232999999999997</v>
      </c>
      <c r="AS58" s="41"/>
      <c r="AT58" s="40">
        <v>28.130800000000001</v>
      </c>
      <c r="AU58" s="40">
        <v>28.130800000000001</v>
      </c>
      <c r="AV58" s="40">
        <v>28.130800000000001</v>
      </c>
      <c r="AW58" s="41"/>
      <c r="AX58" s="42">
        <v>9.9060000000000006</v>
      </c>
      <c r="AY58" s="42">
        <v>8.4390000000000001</v>
      </c>
      <c r="BA58" s="43">
        <f t="shared" si="10"/>
        <v>1.2082631972205715E-2</v>
      </c>
      <c r="BB58" s="43"/>
      <c r="BD58" s="44"/>
      <c r="BE58" s="44"/>
      <c r="BF58" s="44"/>
      <c r="BG58" s="45"/>
      <c r="BI58" s="44"/>
      <c r="BJ58" s="44"/>
      <c r="BK58" s="44"/>
      <c r="BL58" s="45"/>
      <c r="BN58" s="44"/>
      <c r="BO58" s="44"/>
      <c r="BP58" s="44"/>
      <c r="BQ58" s="45"/>
      <c r="BS58" s="44"/>
      <c r="BT58" s="44"/>
      <c r="BU58" s="44"/>
      <c r="BV58" s="45"/>
    </row>
    <row r="59" spans="1:74" outlineLevel="1" x14ac:dyDescent="0.15">
      <c r="A59" s="16"/>
      <c r="B59" s="65" t="s">
        <v>260</v>
      </c>
      <c r="C59" s="67" t="s">
        <v>229</v>
      </c>
      <c r="D59" s="65">
        <v>3096122</v>
      </c>
      <c r="E59" s="66">
        <v>12</v>
      </c>
      <c r="F59" s="67">
        <v>1</v>
      </c>
      <c r="G59" s="67"/>
      <c r="I59" s="69" t="str">
        <f t="shared" si="0"/>
        <v>·</v>
      </c>
      <c r="J59" s="70">
        <f t="shared" si="1"/>
        <v>4.3511231146576268</v>
      </c>
      <c r="K59" s="70">
        <f t="shared" si="2"/>
        <v>3.8253841418393719</v>
      </c>
      <c r="L59" s="70">
        <f t="shared" si="3"/>
        <v>0.52549350445492782</v>
      </c>
      <c r="M59" s="75"/>
      <c r="N59" s="70">
        <f t="shared" si="4"/>
        <v>4.3511231146576268</v>
      </c>
      <c r="O59" s="71">
        <v>3096122</v>
      </c>
      <c r="P59" s="72">
        <v>13471608</v>
      </c>
      <c r="Q59" s="72">
        <v>11843856</v>
      </c>
      <c r="R59" s="72">
        <v>1626992</v>
      </c>
      <c r="S59" s="76"/>
      <c r="T59" s="77">
        <v>29.947600000000001</v>
      </c>
      <c r="U59" s="77">
        <v>35.187600000000003</v>
      </c>
      <c r="V59" s="77">
        <v>34.4694</v>
      </c>
      <c r="W59" s="78"/>
      <c r="X59" s="77">
        <v>21.686399999999999</v>
      </c>
      <c r="Y59" s="77">
        <v>21.686399999999999</v>
      </c>
      <c r="Z59" s="77">
        <v>21.686399999999999</v>
      </c>
      <c r="AA59" s="78"/>
      <c r="AB59" s="73"/>
      <c r="AC59" s="73"/>
      <c r="AE59" s="69" t="str">
        <f t="shared" si="5"/>
        <v>·</v>
      </c>
      <c r="AF59" s="70">
        <f t="shared" si="6"/>
        <v>4.3113210655135683</v>
      </c>
      <c r="AG59" s="70">
        <f t="shared" si="7"/>
        <v>3.8253841418393719</v>
      </c>
      <c r="AH59" s="70">
        <f t="shared" si="8"/>
        <v>0.48569145531086955</v>
      </c>
      <c r="AI59" s="75"/>
      <c r="AJ59" s="70">
        <f t="shared" si="9"/>
        <v>4.3113210655135683</v>
      </c>
      <c r="AK59" s="71">
        <v>3096122</v>
      </c>
      <c r="AL59" s="72">
        <v>13348376</v>
      </c>
      <c r="AM59" s="72">
        <v>11843856</v>
      </c>
      <c r="AN59" s="72">
        <v>1503760</v>
      </c>
      <c r="AO59" s="76"/>
      <c r="AP59" s="77">
        <v>29.9876</v>
      </c>
      <c r="AQ59" s="77">
        <v>35.316000000000003</v>
      </c>
      <c r="AR59" s="77">
        <v>34.525399999999998</v>
      </c>
      <c r="AS59" s="78"/>
      <c r="AT59" s="77">
        <v>21.686399999999999</v>
      </c>
      <c r="AU59" s="77">
        <v>21.686399999999999</v>
      </c>
      <c r="AV59" s="77">
        <v>21.686399999999999</v>
      </c>
      <c r="AW59" s="78"/>
      <c r="AX59" s="73">
        <v>9.968</v>
      </c>
      <c r="AY59" s="73">
        <v>8.5020000000000007</v>
      </c>
      <c r="BA59" s="68">
        <f t="shared" si="10"/>
        <v>8.1164991378533946E-3</v>
      </c>
      <c r="BB59" s="68"/>
      <c r="BD59" s="74"/>
      <c r="BE59" s="74"/>
      <c r="BF59" s="74"/>
      <c r="BG59" s="79"/>
      <c r="BI59" s="74"/>
      <c r="BJ59" s="74"/>
      <c r="BK59" s="74"/>
      <c r="BL59" s="79"/>
      <c r="BN59" s="74"/>
      <c r="BO59" s="74"/>
      <c r="BP59" s="74"/>
      <c r="BQ59" s="79"/>
      <c r="BS59" s="74"/>
      <c r="BT59" s="74"/>
      <c r="BU59" s="74"/>
      <c r="BV59" s="79"/>
    </row>
    <row r="60" spans="1:74" x14ac:dyDescent="0.15">
      <c r="A60" s="31"/>
      <c r="B60" s="31" t="s">
        <v>263</v>
      </c>
      <c r="C60" s="32" t="s">
        <v>225</v>
      </c>
      <c r="D60" s="31">
        <v>857966</v>
      </c>
      <c r="E60" s="33">
        <v>10</v>
      </c>
      <c r="F60" s="32">
        <v>1</v>
      </c>
      <c r="G60" s="32"/>
      <c r="I60" s="34" t="str">
        <f t="shared" si="0"/>
        <v>·</v>
      </c>
      <c r="J60" s="35">
        <f t="shared" si="1"/>
        <v>9.4227603424844339</v>
      </c>
      <c r="K60" s="35">
        <f t="shared" si="2"/>
        <v>1.0206278570479483</v>
      </c>
      <c r="L60" s="35">
        <f t="shared" si="3"/>
        <v>8.4015077520554424</v>
      </c>
      <c r="M60" s="36"/>
      <c r="N60" s="35">
        <f t="shared" si="4"/>
        <v>9.4227603424844339</v>
      </c>
      <c r="O60" s="37">
        <v>857966</v>
      </c>
      <c r="P60" s="38">
        <v>8084408</v>
      </c>
      <c r="Q60" s="38">
        <v>875664</v>
      </c>
      <c r="R60" s="38">
        <v>7208208</v>
      </c>
      <c r="S60" s="39"/>
      <c r="T60" s="40">
        <v>53.255899999999997</v>
      </c>
      <c r="U60" s="40">
        <v>54.914299999999997</v>
      </c>
      <c r="V60" s="40">
        <v>55.229599999999998</v>
      </c>
      <c r="W60" s="41"/>
      <c r="X60" s="40">
        <v>48.130800000000001</v>
      </c>
      <c r="Y60" s="40">
        <v>48.130800000000001</v>
      </c>
      <c r="Z60" s="40">
        <v>48.130800000000001</v>
      </c>
      <c r="AA60" s="41"/>
      <c r="AB60" s="42"/>
      <c r="AC60" s="42"/>
      <c r="AE60" s="34" t="str">
        <f t="shared" si="5"/>
        <v>·</v>
      </c>
      <c r="AF60" s="35">
        <f t="shared" si="6"/>
        <v>9.3986008769578273</v>
      </c>
      <c r="AG60" s="35">
        <f t="shared" si="7"/>
        <v>1.0206278570479483</v>
      </c>
      <c r="AH60" s="35">
        <f t="shared" si="8"/>
        <v>8.3773482865288376</v>
      </c>
      <c r="AI60" s="36"/>
      <c r="AJ60" s="35">
        <f t="shared" si="9"/>
        <v>9.3986008769578273</v>
      </c>
      <c r="AK60" s="37">
        <v>857966</v>
      </c>
      <c r="AL60" s="38">
        <v>8063680</v>
      </c>
      <c r="AM60" s="38">
        <v>875664</v>
      </c>
      <c r="AN60" s="38">
        <v>7187480</v>
      </c>
      <c r="AO60" s="39"/>
      <c r="AP60" s="40">
        <v>53.258400000000002</v>
      </c>
      <c r="AQ60" s="40">
        <v>54.923000000000002</v>
      </c>
      <c r="AR60" s="40">
        <v>55.242100000000001</v>
      </c>
      <c r="AS60" s="41"/>
      <c r="AT60" s="40">
        <v>48.130800000000001</v>
      </c>
      <c r="AU60" s="40">
        <v>48.130800000000001</v>
      </c>
      <c r="AV60" s="40">
        <v>48.130800000000001</v>
      </c>
      <c r="AW60" s="41"/>
      <c r="AX60" s="42">
        <v>3.0569999999999999</v>
      </c>
      <c r="AY60" s="42">
        <v>1.825</v>
      </c>
      <c r="BA60" s="43">
        <f t="shared" si="10"/>
        <v>2.7842830753059544E-4</v>
      </c>
      <c r="BB60" s="43">
        <f t="array" ref="BB60">AVERAGE(AM60:AM64/AL60:AL64) - AVERAGE(Q60:Q64/P60:P64)</f>
        <v>2.1458826903850703E-3</v>
      </c>
      <c r="BD60" s="44">
        <f>IF( OR(ISBLANK(R60:R64),ISBLANK(AN60:AN64), ISBLANK(T60:T64),ISBLANK(AP60:AP64)), "·", bdRateExtend( R60:R64,T60:T64, AN60:AN64,AP60:AP64))</f>
        <v>-1.2835217622877204E-2</v>
      </c>
      <c r="BE60" s="44">
        <f>IF( OR(ISBLANK(R60:R64),ISBLANK(AN60:AN64), ISBLANK(U60:U64),ISBLANK(AQ60:AQ64)), "·", bdRateExtend( R60:R64,U60:U64, AN60:AN64,AQ60:AQ64))</f>
        <v>-1.0919573405674399E-2</v>
      </c>
      <c r="BF60" s="44">
        <f>IF( OR(ISBLANK(R60:R64),ISBLANK(AN60:AN64), ISBLANK(V60:V64),ISBLANK(AR60:AR64)), "·", bdRateExtend( R60:R64,V60:V64, AN60:AN64,AR60:AR64))</f>
        <v>-9.8583725352978657E-3</v>
      </c>
      <c r="BG60" s="45"/>
      <c r="BI60" s="44">
        <f>IF( OR(ISBLANK(R60:R64),ISBLANK(AN60:AN64), ISBLANK(X60:X64),ISBLANK(AT60:AT64)), "·", bdRateExtend( R60:R64,X60:X64, AN60:AN64,AT60:AT64))</f>
        <v>-8.5925622797609069E-3</v>
      </c>
      <c r="BJ60" s="44">
        <f>IF( OR(ISBLANK(R60:R64),ISBLANK(AN60:AN64), ISBLANK(Y60:Y64),ISBLANK(AU60:AU64)), "·", bdRateExtend( R60:R64,Y60:Y64, AN60:AN64,AU60:AU64))</f>
        <v>-8.5925622797609069E-3</v>
      </c>
      <c r="BK60" s="44">
        <f>IF( OR(ISBLANK(R60:R64),ISBLANK(AN60:AN64), ISBLANK(Z60:Z64),ISBLANK(AV60:AV64)), "·", bdRateExtend( R60:R64,Z60:Z64, AN60:AN64,AV60:AV64))</f>
        <v>-8.5925622797609069E-3</v>
      </c>
      <c r="BL60" s="45"/>
      <c r="BN60" s="44">
        <f>IF( OR(ISBLANK(P60:P64),ISBLANK(AL60:AL64), ISBLANK(T60:T64),ISBLANK(AP60:AP64)), "·", bdRateExtend( P60:P64,T60:T64, AL60:AL64,AP60:AP64))</f>
        <v>-8.5875506943597912E-3</v>
      </c>
      <c r="BO60" s="44">
        <f>IF( OR(ISBLANK(P60:P64),ISBLANK(AL60:AL64), ISBLANK(U60:U64),ISBLANK(AQ60:AQ64)), "·", bdRateExtend( P60:P64,U60:U64, AL60:AL64,AQ60:AQ64))</f>
        <v>-7.6294068174529439E-3</v>
      </c>
      <c r="BP60" s="44">
        <f>IF( OR(ISBLANK(P60:P64),ISBLANK(AL60:AL64), ISBLANK(V60:V64),ISBLANK(AR60:AR64)), "·", bdRateExtend( P60:P64,V60:V64, AL60:AL64,AR60:AR64))</f>
        <v>-6.6718827689159488E-3</v>
      </c>
      <c r="BQ60" s="45"/>
      <c r="BS60" s="44">
        <f>IF( OR(ISBLANK(P60:P64),ISBLANK(AL60:AL64), ISBLANK(X60:X64),ISBLANK(AT60:AT64)), "·", bdRateExtend( P60:P64,X60:X64, AL60:AL64,AT60:AT64))</f>
        <v>-5.7774803338612735E-3</v>
      </c>
      <c r="BT60" s="44">
        <f>IF( OR(ISBLANK(P60:P64),ISBLANK(AL60:AL64), ISBLANK(Y60:Y64),ISBLANK(AU60:AU64)), "·", bdRateExtend( P60:P64,Y60:Y64, AL60:AL64,AU60:AU64))</f>
        <v>-5.7774803338612735E-3</v>
      </c>
      <c r="BU60" s="44">
        <f>IF( OR(ISBLANK(P60:P64),ISBLANK(AL60:AL64), ISBLANK(Z60:Z64),ISBLANK(AV60:AV64)), "·", bdRateExtend( P60:P64,Z60:Z64, AL60:AL64,AV60:AV64))</f>
        <v>-5.7774803338612735E-3</v>
      </c>
      <c r="BV60" s="45"/>
    </row>
    <row r="61" spans="1:74" outlineLevel="1" x14ac:dyDescent="0.15">
      <c r="A61" s="16"/>
      <c r="B61" s="16" t="s">
        <v>263</v>
      </c>
      <c r="C61" s="17" t="s">
        <v>226</v>
      </c>
      <c r="D61" s="16">
        <v>857966</v>
      </c>
      <c r="E61" s="18">
        <v>10</v>
      </c>
      <c r="F61" s="17">
        <v>1</v>
      </c>
      <c r="G61" s="17"/>
      <c r="I61" s="19" t="str">
        <f t="shared" si="0"/>
        <v>·</v>
      </c>
      <c r="J61" s="20">
        <f t="shared" si="1"/>
        <v>7.0636925006352236</v>
      </c>
      <c r="K61" s="20">
        <f t="shared" si="2"/>
        <v>1.0206278570479483</v>
      </c>
      <c r="L61" s="20">
        <f t="shared" si="3"/>
        <v>6.0424399102062321</v>
      </c>
      <c r="M61" s="21"/>
      <c r="N61" s="20">
        <f t="shared" si="4"/>
        <v>7.0636925006352236</v>
      </c>
      <c r="O61" s="22">
        <v>857966</v>
      </c>
      <c r="P61" s="23">
        <v>6060408</v>
      </c>
      <c r="Q61" s="23">
        <v>875664</v>
      </c>
      <c r="R61" s="23">
        <v>5184208</v>
      </c>
      <c r="S61" s="24"/>
      <c r="T61" s="25">
        <v>48.406500000000001</v>
      </c>
      <c r="U61" s="25">
        <v>50.783900000000003</v>
      </c>
      <c r="V61" s="25">
        <v>50.577599999999997</v>
      </c>
      <c r="W61" s="26"/>
      <c r="X61" s="25">
        <v>42.110199999999999</v>
      </c>
      <c r="Y61" s="25">
        <v>42.110199999999999</v>
      </c>
      <c r="Z61" s="25">
        <v>42.110199999999999</v>
      </c>
      <c r="AA61" s="26"/>
      <c r="AB61" s="27"/>
      <c r="AC61" s="27"/>
      <c r="AE61" s="19" t="str">
        <f t="shared" si="5"/>
        <v>·</v>
      </c>
      <c r="AF61" s="20">
        <f t="shared" si="6"/>
        <v>7.0440180613217773</v>
      </c>
      <c r="AG61" s="20">
        <f t="shared" si="7"/>
        <v>1.0206278570479483</v>
      </c>
      <c r="AH61" s="20">
        <f t="shared" si="8"/>
        <v>6.0227654708927858</v>
      </c>
      <c r="AI61" s="21"/>
      <c r="AJ61" s="20">
        <f t="shared" si="9"/>
        <v>7.0440180613217773</v>
      </c>
      <c r="AK61" s="22">
        <v>857966</v>
      </c>
      <c r="AL61" s="23">
        <v>6043528</v>
      </c>
      <c r="AM61" s="23">
        <v>875664</v>
      </c>
      <c r="AN61" s="23">
        <v>5167328</v>
      </c>
      <c r="AO61" s="24"/>
      <c r="AP61" s="25">
        <v>48.416600000000003</v>
      </c>
      <c r="AQ61" s="25">
        <v>50.792499999999997</v>
      </c>
      <c r="AR61" s="25">
        <v>50.577599999999997</v>
      </c>
      <c r="AS61" s="26"/>
      <c r="AT61" s="25">
        <v>42.110199999999999</v>
      </c>
      <c r="AU61" s="25">
        <v>42.110199999999999</v>
      </c>
      <c r="AV61" s="25">
        <v>42.110199999999999</v>
      </c>
      <c r="AW61" s="26"/>
      <c r="AX61" s="27">
        <v>2.1520000000000001</v>
      </c>
      <c r="AY61" s="27">
        <v>1.653</v>
      </c>
      <c r="BA61" s="28">
        <f t="shared" si="10"/>
        <v>4.035687563019863E-4</v>
      </c>
      <c r="BB61" s="28"/>
      <c r="BD61" s="29"/>
      <c r="BE61" s="29"/>
      <c r="BF61" s="29"/>
      <c r="BG61" s="30"/>
      <c r="BI61" s="29"/>
      <c r="BJ61" s="29"/>
      <c r="BK61" s="29"/>
      <c r="BL61" s="30"/>
      <c r="BN61" s="29"/>
      <c r="BO61" s="29"/>
      <c r="BP61" s="29"/>
      <c r="BQ61" s="30"/>
      <c r="BS61" s="29"/>
      <c r="BT61" s="29"/>
      <c r="BU61" s="29"/>
      <c r="BV61" s="30"/>
    </row>
    <row r="62" spans="1:74" outlineLevel="1" x14ac:dyDescent="0.15">
      <c r="A62" s="31"/>
      <c r="B62" s="31" t="s">
        <v>263</v>
      </c>
      <c r="C62" s="32" t="s">
        <v>227</v>
      </c>
      <c r="D62" s="31">
        <v>857966</v>
      </c>
      <c r="E62" s="33">
        <v>10</v>
      </c>
      <c r="F62" s="32">
        <v>1</v>
      </c>
      <c r="G62" s="32"/>
      <c r="I62" s="34" t="str">
        <f t="shared" si="0"/>
        <v>·</v>
      </c>
      <c r="J62" s="35">
        <f t="shared" si="1"/>
        <v>4.6869363121615546</v>
      </c>
      <c r="K62" s="35">
        <f t="shared" si="2"/>
        <v>1.0206278570479483</v>
      </c>
      <c r="L62" s="35">
        <f t="shared" si="3"/>
        <v>3.6656837217325626</v>
      </c>
      <c r="M62" s="36"/>
      <c r="N62" s="35">
        <f t="shared" si="4"/>
        <v>4.6869363121615546</v>
      </c>
      <c r="O62" s="37">
        <v>857966</v>
      </c>
      <c r="P62" s="38">
        <v>4021232</v>
      </c>
      <c r="Q62" s="38">
        <v>875664</v>
      </c>
      <c r="R62" s="38">
        <v>3145032</v>
      </c>
      <c r="S62" s="39"/>
      <c r="T62" s="40">
        <v>41.305599999999998</v>
      </c>
      <c r="U62" s="40">
        <v>44.764600000000002</v>
      </c>
      <c r="V62" s="40">
        <v>44.583199999999998</v>
      </c>
      <c r="W62" s="41"/>
      <c r="X62" s="40">
        <v>34.151400000000002</v>
      </c>
      <c r="Y62" s="40">
        <v>34.151400000000002</v>
      </c>
      <c r="Z62" s="40">
        <v>34.151400000000002</v>
      </c>
      <c r="AA62" s="41"/>
      <c r="AB62" s="42"/>
      <c r="AC62" s="42"/>
      <c r="AE62" s="34" t="str">
        <f t="shared" si="5"/>
        <v>·</v>
      </c>
      <c r="AF62" s="35">
        <f t="shared" si="6"/>
        <v>4.6605389957177792</v>
      </c>
      <c r="AG62" s="35">
        <f t="shared" si="7"/>
        <v>1.0206278570479483</v>
      </c>
      <c r="AH62" s="35">
        <f t="shared" si="8"/>
        <v>3.6392864052887877</v>
      </c>
      <c r="AI62" s="36"/>
      <c r="AJ62" s="35">
        <f t="shared" si="9"/>
        <v>4.6605389957177792</v>
      </c>
      <c r="AK62" s="37">
        <v>857966</v>
      </c>
      <c r="AL62" s="38">
        <v>3998584</v>
      </c>
      <c r="AM62" s="38">
        <v>875664</v>
      </c>
      <c r="AN62" s="38">
        <v>3122384</v>
      </c>
      <c r="AO62" s="39"/>
      <c r="AP62" s="40">
        <v>41.359299999999998</v>
      </c>
      <c r="AQ62" s="40">
        <v>44.810200000000002</v>
      </c>
      <c r="AR62" s="40">
        <v>44.6068</v>
      </c>
      <c r="AS62" s="41"/>
      <c r="AT62" s="40">
        <v>34.151400000000002</v>
      </c>
      <c r="AU62" s="40">
        <v>34.151400000000002</v>
      </c>
      <c r="AV62" s="40">
        <v>34.151400000000002</v>
      </c>
      <c r="AW62" s="41"/>
      <c r="AX62" s="42">
        <v>2.0430000000000001</v>
      </c>
      <c r="AY62" s="42">
        <v>1.6379999999999999</v>
      </c>
      <c r="BA62" s="43">
        <f t="shared" si="10"/>
        <v>1.2333944733666224E-3</v>
      </c>
      <c r="BB62" s="43"/>
      <c r="BD62" s="44"/>
      <c r="BE62" s="44"/>
      <c r="BF62" s="44"/>
      <c r="BG62" s="45"/>
      <c r="BI62" s="44"/>
      <c r="BJ62" s="44"/>
      <c r="BK62" s="44"/>
      <c r="BL62" s="45"/>
      <c r="BN62" s="44"/>
      <c r="BO62" s="44"/>
      <c r="BP62" s="44"/>
      <c r="BQ62" s="45"/>
      <c r="BS62" s="44"/>
      <c r="BT62" s="44"/>
      <c r="BU62" s="44"/>
      <c r="BV62" s="45"/>
    </row>
    <row r="63" spans="1:74" outlineLevel="1" x14ac:dyDescent="0.15">
      <c r="A63" s="16"/>
      <c r="B63" s="16" t="s">
        <v>263</v>
      </c>
      <c r="C63" s="17" t="s">
        <v>228</v>
      </c>
      <c r="D63" s="16">
        <v>857966</v>
      </c>
      <c r="E63" s="18">
        <v>10</v>
      </c>
      <c r="F63" s="17">
        <v>1</v>
      </c>
      <c r="G63" s="17"/>
      <c r="I63" s="19" t="str">
        <f t="shared" si="0"/>
        <v>·</v>
      </c>
      <c r="J63" s="20">
        <f t="shared" si="1"/>
        <v>3.1204033726278197</v>
      </c>
      <c r="K63" s="20">
        <f t="shared" si="2"/>
        <v>1.0206278570479483</v>
      </c>
      <c r="L63" s="20">
        <f t="shared" si="3"/>
        <v>2.0991507821988282</v>
      </c>
      <c r="M63" s="21"/>
      <c r="N63" s="20">
        <f t="shared" si="4"/>
        <v>3.1204033726278197</v>
      </c>
      <c r="O63" s="22">
        <v>857966</v>
      </c>
      <c r="P63" s="23">
        <v>2677200</v>
      </c>
      <c r="Q63" s="23">
        <v>875664</v>
      </c>
      <c r="R63" s="23">
        <v>1801000</v>
      </c>
      <c r="S63" s="24"/>
      <c r="T63" s="25">
        <v>35.709400000000002</v>
      </c>
      <c r="U63" s="25">
        <v>40.1374</v>
      </c>
      <c r="V63" s="25">
        <v>39.547199999999997</v>
      </c>
      <c r="W63" s="26"/>
      <c r="X63" s="25">
        <v>28.130800000000001</v>
      </c>
      <c r="Y63" s="25">
        <v>28.130800000000001</v>
      </c>
      <c r="Z63" s="25">
        <v>28.130800000000001</v>
      </c>
      <c r="AA63" s="26"/>
      <c r="AB63" s="27"/>
      <c r="AC63" s="27"/>
      <c r="AE63" s="19" t="str">
        <f t="shared" si="5"/>
        <v>·</v>
      </c>
      <c r="AF63" s="20">
        <f t="shared" si="6"/>
        <v>3.0947986283838755</v>
      </c>
      <c r="AG63" s="20">
        <f t="shared" si="7"/>
        <v>1.0206278570479483</v>
      </c>
      <c r="AH63" s="20">
        <f t="shared" si="8"/>
        <v>2.073546037954884</v>
      </c>
      <c r="AI63" s="21"/>
      <c r="AJ63" s="20">
        <f t="shared" si="9"/>
        <v>3.0947986283838755</v>
      </c>
      <c r="AK63" s="22">
        <v>857966</v>
      </c>
      <c r="AL63" s="23">
        <v>2655232</v>
      </c>
      <c r="AM63" s="23">
        <v>875664</v>
      </c>
      <c r="AN63" s="23">
        <v>1779032</v>
      </c>
      <c r="AO63" s="24"/>
      <c r="AP63" s="25">
        <v>35.757399999999997</v>
      </c>
      <c r="AQ63" s="25">
        <v>40.186300000000003</v>
      </c>
      <c r="AR63" s="25">
        <v>39.561500000000002</v>
      </c>
      <c r="AS63" s="26"/>
      <c r="AT63" s="25">
        <v>28.130800000000001</v>
      </c>
      <c r="AU63" s="25">
        <v>28.130800000000001</v>
      </c>
      <c r="AV63" s="25">
        <v>28.130800000000001</v>
      </c>
      <c r="AW63" s="26"/>
      <c r="AX63" s="27">
        <v>2.137</v>
      </c>
      <c r="AY63" s="27">
        <v>1.6220000000000001</v>
      </c>
      <c r="BA63" s="28">
        <f t="shared" si="10"/>
        <v>2.7061055105953025E-3</v>
      </c>
      <c r="BB63" s="28"/>
      <c r="BD63" s="29"/>
      <c r="BE63" s="29"/>
      <c r="BF63" s="29"/>
      <c r="BG63" s="30"/>
      <c r="BI63" s="29"/>
      <c r="BJ63" s="29"/>
      <c r="BK63" s="29"/>
      <c r="BL63" s="30"/>
      <c r="BN63" s="29"/>
      <c r="BO63" s="29"/>
      <c r="BP63" s="29"/>
      <c r="BQ63" s="30"/>
      <c r="BS63" s="29"/>
      <c r="BT63" s="29"/>
      <c r="BU63" s="29"/>
      <c r="BV63" s="30"/>
    </row>
    <row r="64" spans="1:74" outlineLevel="1" x14ac:dyDescent="0.15">
      <c r="A64" s="31"/>
      <c r="B64" s="46" t="s">
        <v>263</v>
      </c>
      <c r="C64" s="47" t="s">
        <v>229</v>
      </c>
      <c r="D64" s="46">
        <v>857966</v>
      </c>
      <c r="E64" s="48">
        <v>10</v>
      </c>
      <c r="F64" s="47">
        <v>1</v>
      </c>
      <c r="G64" s="47"/>
      <c r="I64" s="49" t="str">
        <f t="shared" si="0"/>
        <v>·</v>
      </c>
      <c r="J64" s="50">
        <f t="shared" si="1"/>
        <v>1.9737099139126726</v>
      </c>
      <c r="K64" s="50">
        <f t="shared" si="2"/>
        <v>1.0206278570479483</v>
      </c>
      <c r="L64" s="50">
        <f t="shared" si="3"/>
        <v>0.95245732348368117</v>
      </c>
      <c r="M64" s="51"/>
      <c r="N64" s="50">
        <f t="shared" si="4"/>
        <v>1.9737099139126726</v>
      </c>
      <c r="O64" s="52">
        <v>857966</v>
      </c>
      <c r="P64" s="53">
        <v>1693376</v>
      </c>
      <c r="Q64" s="53">
        <v>875664</v>
      </c>
      <c r="R64" s="53">
        <v>817176</v>
      </c>
      <c r="S64" s="54"/>
      <c r="T64" s="55">
        <v>29.744399999999999</v>
      </c>
      <c r="U64" s="55">
        <v>35.033499999999997</v>
      </c>
      <c r="V64" s="55">
        <v>34.044800000000002</v>
      </c>
      <c r="W64" s="56"/>
      <c r="X64" s="55">
        <v>21.686399999999999</v>
      </c>
      <c r="Y64" s="55">
        <v>21.686399999999999</v>
      </c>
      <c r="Z64" s="55">
        <v>21.686399999999999</v>
      </c>
      <c r="AA64" s="56"/>
      <c r="AB64" s="57"/>
      <c r="AC64" s="57"/>
      <c r="AE64" s="49" t="str">
        <f t="shared" si="5"/>
        <v>·</v>
      </c>
      <c r="AF64" s="50">
        <f t="shared" si="6"/>
        <v>1.9506693738446512</v>
      </c>
      <c r="AG64" s="50">
        <f t="shared" si="7"/>
        <v>1.0206278570479483</v>
      </c>
      <c r="AH64" s="50">
        <f t="shared" si="8"/>
        <v>0.92941678341565981</v>
      </c>
      <c r="AI64" s="51"/>
      <c r="AJ64" s="50">
        <f t="shared" si="9"/>
        <v>1.9506693738446512</v>
      </c>
      <c r="AK64" s="52">
        <v>857966</v>
      </c>
      <c r="AL64" s="53">
        <v>1673608</v>
      </c>
      <c r="AM64" s="53">
        <v>875664</v>
      </c>
      <c r="AN64" s="53">
        <v>797408</v>
      </c>
      <c r="AO64" s="54"/>
      <c r="AP64" s="55">
        <v>29.824300000000001</v>
      </c>
      <c r="AQ64" s="55">
        <v>34.960500000000003</v>
      </c>
      <c r="AR64" s="55">
        <v>34.035899999999998</v>
      </c>
      <c r="AS64" s="56"/>
      <c r="AT64" s="55">
        <v>21.686399999999999</v>
      </c>
      <c r="AU64" s="55">
        <v>21.686399999999999</v>
      </c>
      <c r="AV64" s="55">
        <v>21.686399999999999</v>
      </c>
      <c r="AW64" s="56"/>
      <c r="AX64" s="57">
        <v>2.09</v>
      </c>
      <c r="AY64" s="57">
        <v>1.653</v>
      </c>
      <c r="BA64" s="58">
        <f t="shared" si="10"/>
        <v>6.1079164041309975E-3</v>
      </c>
      <c r="BB64" s="58"/>
      <c r="BD64" s="59"/>
      <c r="BE64" s="59"/>
      <c r="BF64" s="59"/>
      <c r="BG64" s="60"/>
      <c r="BI64" s="59"/>
      <c r="BJ64" s="59"/>
      <c r="BK64" s="59"/>
      <c r="BL64" s="60"/>
      <c r="BN64" s="59"/>
      <c r="BO64" s="59"/>
      <c r="BP64" s="59"/>
      <c r="BQ64" s="60"/>
      <c r="BS64" s="59"/>
      <c r="BT64" s="59"/>
      <c r="BU64" s="59"/>
      <c r="BV64" s="60"/>
    </row>
    <row r="65" spans="1:74" x14ac:dyDescent="0.15">
      <c r="A65" s="16"/>
      <c r="B65" s="16" t="s">
        <v>266</v>
      </c>
      <c r="C65" s="17" t="s">
        <v>225</v>
      </c>
      <c r="D65" s="16">
        <v>3017285</v>
      </c>
      <c r="E65" s="18">
        <v>12</v>
      </c>
      <c r="F65" s="17">
        <v>1</v>
      </c>
      <c r="G65" s="17"/>
      <c r="I65" s="19" t="str">
        <f t="shared" si="0"/>
        <v>·</v>
      </c>
      <c r="J65" s="20">
        <f t="shared" si="1"/>
        <v>5.9207506085769159</v>
      </c>
      <c r="K65" s="20">
        <f t="shared" si="2"/>
        <v>3.7168832244882402</v>
      </c>
      <c r="L65" s="20">
        <f t="shared" si="3"/>
        <v>2.203588988113486</v>
      </c>
      <c r="M65" s="21"/>
      <c r="N65" s="20">
        <f t="shared" si="4"/>
        <v>5.9207506085769159</v>
      </c>
      <c r="O65" s="22">
        <v>3017285</v>
      </c>
      <c r="P65" s="23">
        <v>17864592</v>
      </c>
      <c r="Q65" s="23">
        <v>11214896</v>
      </c>
      <c r="R65" s="23">
        <v>6648856</v>
      </c>
      <c r="S65" s="24"/>
      <c r="T65" s="25">
        <v>52.420900000000003</v>
      </c>
      <c r="U65" s="25">
        <v>57.415700000000001</v>
      </c>
      <c r="V65" s="25">
        <v>56.801499999999997</v>
      </c>
      <c r="W65" s="26"/>
      <c r="X65" s="25">
        <v>48.130800000000001</v>
      </c>
      <c r="Y65" s="25">
        <v>48.130800000000001</v>
      </c>
      <c r="Z65" s="25">
        <v>48.130800000000001</v>
      </c>
      <c r="AA65" s="26"/>
      <c r="AB65" s="27"/>
      <c r="AC65" s="27"/>
      <c r="AE65" s="19" t="str">
        <f t="shared" si="5"/>
        <v>·</v>
      </c>
      <c r="AF65" s="20">
        <f t="shared" si="6"/>
        <v>5.8142071431767297</v>
      </c>
      <c r="AG65" s="20">
        <f t="shared" si="7"/>
        <v>3.7168832244882402</v>
      </c>
      <c r="AH65" s="20">
        <f t="shared" si="8"/>
        <v>2.0970455227133002</v>
      </c>
      <c r="AI65" s="21"/>
      <c r="AJ65" s="20">
        <f t="shared" si="9"/>
        <v>5.8142071431767297</v>
      </c>
      <c r="AK65" s="22">
        <v>3017285</v>
      </c>
      <c r="AL65" s="23">
        <v>17543120</v>
      </c>
      <c r="AM65" s="23">
        <v>11214896</v>
      </c>
      <c r="AN65" s="23">
        <v>6327384</v>
      </c>
      <c r="AO65" s="24"/>
      <c r="AP65" s="25">
        <v>52.417999999999999</v>
      </c>
      <c r="AQ65" s="25">
        <v>57.443399999999997</v>
      </c>
      <c r="AR65" s="25">
        <v>56.8459</v>
      </c>
      <c r="AS65" s="26"/>
      <c r="AT65" s="25">
        <v>48.130800000000001</v>
      </c>
      <c r="AU65" s="25">
        <v>48.130800000000001</v>
      </c>
      <c r="AV65" s="25">
        <v>48.130800000000001</v>
      </c>
      <c r="AW65" s="26"/>
      <c r="AX65" s="27">
        <v>10.170999999999999</v>
      </c>
      <c r="AY65" s="27">
        <v>8.0960000000000001</v>
      </c>
      <c r="BA65" s="28">
        <f t="shared" si="10"/>
        <v>1.1503724347460054E-2</v>
      </c>
      <c r="BB65" s="28">
        <f t="array" ref="BB65">AVERAGE(AM65:AM69/AL65:AL69) - AVERAGE(Q65:Q69/P65:P69)</f>
        <v>8.7394560114609776E-3</v>
      </c>
      <c r="BD65" s="29">
        <f>IF( OR(ISBLANK(R65:R69),ISBLANK(AN65:AN69), ISBLANK(T65:T69),ISBLANK(AP65:AP69)), "·", bdRateExtend( R65:R69,T65:T69, AN65:AN69,AP65:AP69))</f>
        <v>-0.11901509906598873</v>
      </c>
      <c r="BE65" s="29">
        <f>IF( OR(ISBLANK(R65:R69),ISBLANK(AN65:AN69), ISBLANK(U65:U69),ISBLANK(AQ65:AQ69)), "·", bdRateExtend( R65:R69,U65:U69, AN65:AN69,AQ65:AQ69))</f>
        <v>-0.12399673111024767</v>
      </c>
      <c r="BF65" s="29">
        <f>IF( OR(ISBLANK(R65:R69),ISBLANK(AN65:AN69), ISBLANK(V65:V69),ISBLANK(AR65:AR69)), "·", bdRateExtend( R65:R69,V65:V69, AN65:AN69,AR65:AR69))</f>
        <v>-0.11651189424990671</v>
      </c>
      <c r="BG65" s="30"/>
      <c r="BI65" s="29">
        <f>IF( OR(ISBLANK(R65:R69),ISBLANK(AN65:AN69), ISBLANK(X65:X69),ISBLANK(AT65:AT69)), "·", bdRateExtend( R65:R69,X65:X69, AN65:AN69,AT65:AT69))</f>
        <v>-9.1852064785904353E-2</v>
      </c>
      <c r="BJ65" s="29">
        <f>IF( OR(ISBLANK(R65:R69),ISBLANK(AN65:AN69), ISBLANK(Y65:Y69),ISBLANK(AU65:AU69)), "·", bdRateExtend( R65:R69,Y65:Y69, AN65:AN69,AU65:AU69))</f>
        <v>-9.1852064785904353E-2</v>
      </c>
      <c r="BK65" s="29">
        <f>IF( OR(ISBLANK(R65:R69),ISBLANK(AN65:AN69), ISBLANK(Z65:Z69),ISBLANK(AV65:AV69)), "·", bdRateExtend( R65:R69,Z65:Z69, AN65:AN69,AV65:AV69))</f>
        <v>-9.1852064785904353E-2</v>
      </c>
      <c r="BL65" s="30"/>
      <c r="BN65" s="29">
        <f>IF( OR(ISBLANK(P65:P69),ISBLANK(AL65:AL69), ISBLANK(T65:T69),ISBLANK(AP65:AP69)), "·", bdRateExtend( P65:P69,T65:T69, AL65:AL69,AP65:AP69))</f>
        <v>-1.3620232555402123E-2</v>
      </c>
      <c r="BO65" s="29">
        <f>IF( OR(ISBLANK(P65:P69),ISBLANK(AL65:AL69), ISBLANK(U65:U69),ISBLANK(AQ65:AQ69)), "·", bdRateExtend( P65:P69,U65:U69, AL65:AL69,AQ65:AQ69))</f>
        <v>-1.2870025509146066E-2</v>
      </c>
      <c r="BP65" s="29">
        <f>IF( OR(ISBLANK(P65:P69),ISBLANK(AL65:AL69), ISBLANK(V65:V69),ISBLANK(AR65:AR69)), "·", bdRateExtend( P65:P69,V65:V69, AL65:AL69,AR65:AR69))</f>
        <v>-1.3677029379200567E-2</v>
      </c>
      <c r="BQ65" s="30"/>
      <c r="BS65" s="29">
        <f>IF( OR(ISBLANK(P65:P69),ISBLANK(AL65:AL69), ISBLANK(X65:X69),ISBLANK(AT65:AT69)), "·", bdRateExtend( P65:P69,X65:X69, AL65:AL69,AT65:AT69))</f>
        <v>-1.1878312974916816E-2</v>
      </c>
      <c r="BT65" s="29">
        <f>IF( OR(ISBLANK(P65:P69),ISBLANK(AL65:AL69), ISBLANK(Y65:Y69),ISBLANK(AU65:AU69)), "·", bdRateExtend( P65:P69,Y65:Y69, AL65:AL69,AU65:AU69))</f>
        <v>-1.1878312974916816E-2</v>
      </c>
      <c r="BU65" s="29">
        <f>IF( OR(ISBLANK(P65:P69),ISBLANK(AL65:AL69), ISBLANK(Z65:Z69),ISBLANK(AV65:AV69)), "·", bdRateExtend( P65:P69,Z65:Z69, AL65:AL69,AV65:AV69))</f>
        <v>-1.1878312974916816E-2</v>
      </c>
      <c r="BV65" s="30"/>
    </row>
    <row r="66" spans="1:74" outlineLevel="1" x14ac:dyDescent="0.15">
      <c r="A66" s="31"/>
      <c r="B66" s="31" t="s">
        <v>266</v>
      </c>
      <c r="C66" s="32" t="s">
        <v>226</v>
      </c>
      <c r="D66" s="31">
        <v>3017285</v>
      </c>
      <c r="E66" s="33">
        <v>12</v>
      </c>
      <c r="F66" s="32">
        <v>1</v>
      </c>
      <c r="G66" s="32"/>
      <c r="I66" s="34" t="str">
        <f t="shared" si="0"/>
        <v>·</v>
      </c>
      <c r="J66" s="35">
        <f t="shared" si="1"/>
        <v>5.059396112730485</v>
      </c>
      <c r="K66" s="35">
        <f t="shared" si="2"/>
        <v>3.7168832244882402</v>
      </c>
      <c r="L66" s="35">
        <f t="shared" si="3"/>
        <v>1.3422344922670546</v>
      </c>
      <c r="M66" s="36"/>
      <c r="N66" s="35">
        <f t="shared" si="4"/>
        <v>5.059396112730485</v>
      </c>
      <c r="O66" s="37">
        <v>3017285</v>
      </c>
      <c r="P66" s="38">
        <v>15265640</v>
      </c>
      <c r="Q66" s="38">
        <v>11214896</v>
      </c>
      <c r="R66" s="38">
        <v>4049904</v>
      </c>
      <c r="S66" s="39"/>
      <c r="T66" s="40">
        <v>47.939900000000002</v>
      </c>
      <c r="U66" s="40">
        <v>53.674199999999999</v>
      </c>
      <c r="V66" s="40">
        <v>53.166699999999999</v>
      </c>
      <c r="W66" s="41"/>
      <c r="X66" s="40">
        <v>42.110199999999999</v>
      </c>
      <c r="Y66" s="40">
        <v>42.110199999999999</v>
      </c>
      <c r="Z66" s="40">
        <v>42.110199999999999</v>
      </c>
      <c r="AA66" s="41"/>
      <c r="AB66" s="42"/>
      <c r="AC66" s="42"/>
      <c r="AE66" s="34" t="str">
        <f t="shared" si="5"/>
        <v>·</v>
      </c>
      <c r="AF66" s="35">
        <f t="shared" si="6"/>
        <v>4.9678939841612575</v>
      </c>
      <c r="AG66" s="35">
        <f t="shared" si="7"/>
        <v>3.7168832244882402</v>
      </c>
      <c r="AH66" s="35">
        <f t="shared" si="8"/>
        <v>1.2507323636978276</v>
      </c>
      <c r="AI66" s="36"/>
      <c r="AJ66" s="35">
        <f t="shared" si="9"/>
        <v>4.9678939841612575</v>
      </c>
      <c r="AK66" s="37">
        <v>3017285</v>
      </c>
      <c r="AL66" s="38">
        <v>14989552</v>
      </c>
      <c r="AM66" s="38">
        <v>11214896</v>
      </c>
      <c r="AN66" s="38">
        <v>3773816</v>
      </c>
      <c r="AO66" s="39"/>
      <c r="AP66" s="40">
        <v>48.0276</v>
      </c>
      <c r="AQ66" s="40">
        <v>53.735999999999997</v>
      </c>
      <c r="AR66" s="40">
        <v>53.288400000000003</v>
      </c>
      <c r="AS66" s="41"/>
      <c r="AT66" s="40">
        <v>42.110199999999999</v>
      </c>
      <c r="AU66" s="40">
        <v>42.110199999999999</v>
      </c>
      <c r="AV66" s="40">
        <v>42.110199999999999</v>
      </c>
      <c r="AW66" s="41"/>
      <c r="AX66" s="42">
        <v>9.9060000000000006</v>
      </c>
      <c r="AY66" s="42">
        <v>8.0649999999999995</v>
      </c>
      <c r="BA66" s="43">
        <f t="shared" si="10"/>
        <v>1.353128719137453E-2</v>
      </c>
      <c r="BB66" s="43"/>
      <c r="BD66" s="44"/>
      <c r="BE66" s="44"/>
      <c r="BF66" s="44"/>
      <c r="BG66" s="45"/>
      <c r="BI66" s="44"/>
      <c r="BJ66" s="44"/>
      <c r="BK66" s="44"/>
      <c r="BL66" s="45"/>
      <c r="BN66" s="44"/>
      <c r="BO66" s="44"/>
      <c r="BP66" s="44"/>
      <c r="BQ66" s="45"/>
      <c r="BS66" s="44"/>
      <c r="BT66" s="44"/>
      <c r="BU66" s="44"/>
      <c r="BV66" s="45"/>
    </row>
    <row r="67" spans="1:74" outlineLevel="1" x14ac:dyDescent="0.15">
      <c r="A67" s="16"/>
      <c r="B67" s="16" t="s">
        <v>266</v>
      </c>
      <c r="C67" s="17" t="s">
        <v>227</v>
      </c>
      <c r="D67" s="16">
        <v>3017285</v>
      </c>
      <c r="E67" s="18">
        <v>12</v>
      </c>
      <c r="F67" s="17">
        <v>1</v>
      </c>
      <c r="G67" s="17"/>
      <c r="I67" s="19" t="str">
        <f t="shared" si="0"/>
        <v>·</v>
      </c>
      <c r="J67" s="20">
        <f t="shared" si="1"/>
        <v>4.2551817279441622</v>
      </c>
      <c r="K67" s="20">
        <f t="shared" si="2"/>
        <v>3.7168832244882402</v>
      </c>
      <c r="L67" s="20">
        <f t="shared" si="3"/>
        <v>0.53802010748073181</v>
      </c>
      <c r="M67" s="21"/>
      <c r="N67" s="20">
        <f t="shared" si="4"/>
        <v>4.2551817279441622</v>
      </c>
      <c r="O67" s="22">
        <v>3017285</v>
      </c>
      <c r="P67" s="23">
        <v>12839096</v>
      </c>
      <c r="Q67" s="23">
        <v>11214896</v>
      </c>
      <c r="R67" s="23">
        <v>1623360</v>
      </c>
      <c r="S67" s="24"/>
      <c r="T67" s="25">
        <v>41.072899999999997</v>
      </c>
      <c r="U67" s="25">
        <v>48.864600000000003</v>
      </c>
      <c r="V67" s="25">
        <v>48.361400000000003</v>
      </c>
      <c r="W67" s="26"/>
      <c r="X67" s="25">
        <v>34.151400000000002</v>
      </c>
      <c r="Y67" s="25">
        <v>34.151400000000002</v>
      </c>
      <c r="Z67" s="25">
        <v>34.151400000000002</v>
      </c>
      <c r="AA67" s="26"/>
      <c r="AB67" s="27"/>
      <c r="AC67" s="27"/>
      <c r="AE67" s="19" t="str">
        <f t="shared" si="5"/>
        <v>·</v>
      </c>
      <c r="AF67" s="20">
        <f t="shared" si="6"/>
        <v>4.205460206775296</v>
      </c>
      <c r="AG67" s="20">
        <f t="shared" si="7"/>
        <v>3.7168832244882402</v>
      </c>
      <c r="AH67" s="20">
        <f t="shared" si="8"/>
        <v>0.48829858631186646</v>
      </c>
      <c r="AI67" s="21"/>
      <c r="AJ67" s="20">
        <f t="shared" si="9"/>
        <v>4.205460206775296</v>
      </c>
      <c r="AK67" s="22">
        <v>3017285</v>
      </c>
      <c r="AL67" s="23">
        <v>12689072</v>
      </c>
      <c r="AM67" s="23">
        <v>11214896</v>
      </c>
      <c r="AN67" s="23">
        <v>1473336</v>
      </c>
      <c r="AO67" s="24"/>
      <c r="AP67" s="25">
        <v>41.210900000000002</v>
      </c>
      <c r="AQ67" s="25">
        <v>48.8521</v>
      </c>
      <c r="AR67" s="25">
        <v>48.598500000000001</v>
      </c>
      <c r="AS67" s="26"/>
      <c r="AT67" s="25">
        <v>34.151400000000002</v>
      </c>
      <c r="AU67" s="25">
        <v>34.151400000000002</v>
      </c>
      <c r="AV67" s="25">
        <v>34.151400000000002</v>
      </c>
      <c r="AW67" s="26"/>
      <c r="AX67" s="27">
        <v>9.6720000000000006</v>
      </c>
      <c r="AY67" s="27">
        <v>8.2050000000000001</v>
      </c>
      <c r="BA67" s="28">
        <f t="shared" si="10"/>
        <v>1.0327416288100633E-2</v>
      </c>
      <c r="BB67" s="28"/>
      <c r="BD67" s="29"/>
      <c r="BE67" s="29"/>
      <c r="BF67" s="29"/>
      <c r="BG67" s="30"/>
      <c r="BI67" s="29"/>
      <c r="BJ67" s="29"/>
      <c r="BK67" s="29"/>
      <c r="BL67" s="30"/>
      <c r="BN67" s="29"/>
      <c r="BO67" s="29"/>
      <c r="BP67" s="29"/>
      <c r="BQ67" s="30"/>
      <c r="BS67" s="29"/>
      <c r="BT67" s="29"/>
      <c r="BU67" s="29"/>
      <c r="BV67" s="30"/>
    </row>
    <row r="68" spans="1:74" outlineLevel="1" x14ac:dyDescent="0.15">
      <c r="A68" s="31"/>
      <c r="B68" s="31" t="s">
        <v>266</v>
      </c>
      <c r="C68" s="32" t="s">
        <v>228</v>
      </c>
      <c r="D68" s="31">
        <v>3017285</v>
      </c>
      <c r="E68" s="33">
        <v>12</v>
      </c>
      <c r="F68" s="32">
        <v>1</v>
      </c>
      <c r="G68" s="32"/>
      <c r="I68" s="34" t="str">
        <f t="shared" si="0"/>
        <v>·</v>
      </c>
      <c r="J68" s="35">
        <f t="shared" si="1"/>
        <v>3.9391704794210689</v>
      </c>
      <c r="K68" s="35">
        <f t="shared" si="2"/>
        <v>3.7168832244882402</v>
      </c>
      <c r="L68" s="35">
        <f t="shared" si="3"/>
        <v>0.22200885895763908</v>
      </c>
      <c r="M68" s="36"/>
      <c r="N68" s="35">
        <f t="shared" si="4"/>
        <v>3.9391704794210689</v>
      </c>
      <c r="O68" s="37">
        <v>3017285</v>
      </c>
      <c r="P68" s="38">
        <v>11885600</v>
      </c>
      <c r="Q68" s="38">
        <v>11214896</v>
      </c>
      <c r="R68" s="38">
        <v>669864</v>
      </c>
      <c r="S68" s="39"/>
      <c r="T68" s="40">
        <v>35.588500000000003</v>
      </c>
      <c r="U68" s="40">
        <v>43.633000000000003</v>
      </c>
      <c r="V68" s="40">
        <v>43.633600000000001</v>
      </c>
      <c r="W68" s="41"/>
      <c r="X68" s="40">
        <v>28.130800000000001</v>
      </c>
      <c r="Y68" s="40">
        <v>28.130800000000001</v>
      </c>
      <c r="Z68" s="40">
        <v>28.130800000000001</v>
      </c>
      <c r="AA68" s="41"/>
      <c r="AB68" s="42"/>
      <c r="AC68" s="42"/>
      <c r="AE68" s="34" t="str">
        <f t="shared" si="5"/>
        <v>·</v>
      </c>
      <c r="AF68" s="35">
        <f t="shared" si="6"/>
        <v>3.9134519940940282</v>
      </c>
      <c r="AG68" s="35">
        <f t="shared" si="7"/>
        <v>3.7168832244882402</v>
      </c>
      <c r="AH68" s="35">
        <f t="shared" si="8"/>
        <v>0.19629037363059837</v>
      </c>
      <c r="AI68" s="36"/>
      <c r="AJ68" s="35">
        <f t="shared" si="9"/>
        <v>3.9134519940940282</v>
      </c>
      <c r="AK68" s="37">
        <v>3017285</v>
      </c>
      <c r="AL68" s="38">
        <v>11808000</v>
      </c>
      <c r="AM68" s="38">
        <v>11214896</v>
      </c>
      <c r="AN68" s="38">
        <v>592264</v>
      </c>
      <c r="AO68" s="39"/>
      <c r="AP68" s="40">
        <v>35.896500000000003</v>
      </c>
      <c r="AQ68" s="40">
        <v>43.800600000000003</v>
      </c>
      <c r="AR68" s="40">
        <v>43.561</v>
      </c>
      <c r="AS68" s="41"/>
      <c r="AT68" s="40">
        <v>28.130800000000001</v>
      </c>
      <c r="AU68" s="40">
        <v>28.130800000000001</v>
      </c>
      <c r="AV68" s="40">
        <v>28.130800000000001</v>
      </c>
      <c r="AW68" s="41"/>
      <c r="AX68" s="42">
        <v>10.638999999999999</v>
      </c>
      <c r="AY68" s="42">
        <v>7.9240000000000004</v>
      </c>
      <c r="BA68" s="43">
        <f t="shared" si="10"/>
        <v>6.2009683827739526E-3</v>
      </c>
      <c r="BB68" s="43"/>
      <c r="BD68" s="44"/>
      <c r="BE68" s="44"/>
      <c r="BF68" s="44"/>
      <c r="BG68" s="45"/>
      <c r="BI68" s="44"/>
      <c r="BJ68" s="44"/>
      <c r="BK68" s="44"/>
      <c r="BL68" s="45"/>
      <c r="BN68" s="44"/>
      <c r="BO68" s="44"/>
      <c r="BP68" s="44"/>
      <c r="BQ68" s="45"/>
      <c r="BS68" s="44"/>
      <c r="BT68" s="44"/>
      <c r="BU68" s="44"/>
      <c r="BV68" s="45"/>
    </row>
    <row r="69" spans="1:74" outlineLevel="1" x14ac:dyDescent="0.15">
      <c r="A69" s="16"/>
      <c r="B69" s="65" t="s">
        <v>266</v>
      </c>
      <c r="C69" s="67" t="s">
        <v>229</v>
      </c>
      <c r="D69" s="65">
        <v>3017285</v>
      </c>
      <c r="E69" s="66">
        <v>12</v>
      </c>
      <c r="F69" s="67">
        <v>1</v>
      </c>
      <c r="G69" s="67"/>
      <c r="I69" s="69" t="str">
        <f t="shared" ref="I69:I132" si="11">IF(OR(ISBLANK(P69),ISBLANK(G69)),"·",P69*G69/F69/1000000)</f>
        <v>·</v>
      </c>
      <c r="J69" s="70">
        <f t="shared" ref="J69:J132" si="12">IF(ISBLANK(P69),"·",P69/D69)</f>
        <v>3.7792836937843126</v>
      </c>
      <c r="K69" s="70">
        <f t="shared" ref="K69:K132" si="13">IF(Q69="","·",Q69/D69)</f>
        <v>3.7168832244882402</v>
      </c>
      <c r="L69" s="70">
        <f t="shared" ref="L69:L132" si="14">IF(ISBLANK(R69),"·",R69/D69)</f>
        <v>6.2122073320882848E-2</v>
      </c>
      <c r="M69" s="75"/>
      <c r="N69" s="70">
        <f t="shared" ref="N69:N132" si="15">IF(ISBLANK(P69),"·",P69/O69)</f>
        <v>3.7792836937843126</v>
      </c>
      <c r="O69" s="71">
        <v>3017285</v>
      </c>
      <c r="P69" s="72">
        <v>11403176</v>
      </c>
      <c r="Q69" s="72">
        <v>11214896</v>
      </c>
      <c r="R69" s="72">
        <v>187440</v>
      </c>
      <c r="S69" s="76"/>
      <c r="T69" s="77">
        <v>29.3079</v>
      </c>
      <c r="U69" s="77">
        <v>38.134999999999998</v>
      </c>
      <c r="V69" s="77">
        <v>37.656599999999997</v>
      </c>
      <c r="W69" s="78"/>
      <c r="X69" s="77">
        <v>21.686399999999999</v>
      </c>
      <c r="Y69" s="77">
        <v>21.686399999999999</v>
      </c>
      <c r="Z69" s="77">
        <v>21.686399999999999</v>
      </c>
      <c r="AA69" s="78"/>
      <c r="AB69" s="73"/>
      <c r="AC69" s="73"/>
      <c r="AE69" s="69" t="str">
        <f t="shared" ref="AE69:AE132" si="16">IF(OR(ISBLANK(AL69),ISBLANK(G69)),"·",AL69*G69/F69/1000000)</f>
        <v>·</v>
      </c>
      <c r="AF69" s="70">
        <f t="shared" ref="AF69:AF132" si="17">IF(ISBLANK(AL69),"·",AL69/D69)</f>
        <v>3.7711015035039779</v>
      </c>
      <c r="AG69" s="70">
        <f t="shared" ref="AG69:AG132" si="18">IF(AM69="","·",AM69/D69)</f>
        <v>3.7168832244882402</v>
      </c>
      <c r="AH69" s="70">
        <f t="shared" ref="AH69:AH132" si="19">IF(ISBLANK(AN69),"·",AN69/D69)</f>
        <v>5.3939883040548045E-2</v>
      </c>
      <c r="AI69" s="75"/>
      <c r="AJ69" s="70">
        <f t="shared" ref="AJ69:AJ132" si="20">IF(ISBLANK(AL69),"·",AL69/AK69)</f>
        <v>3.7711015035039779</v>
      </c>
      <c r="AK69" s="71">
        <v>3017285</v>
      </c>
      <c r="AL69" s="72">
        <v>11378488</v>
      </c>
      <c r="AM69" s="72">
        <v>11214896</v>
      </c>
      <c r="AN69" s="72">
        <v>162752</v>
      </c>
      <c r="AO69" s="76"/>
      <c r="AP69" s="77">
        <v>29.411300000000001</v>
      </c>
      <c r="AQ69" s="77">
        <v>38.947800000000001</v>
      </c>
      <c r="AR69" s="77">
        <v>38.107900000000001</v>
      </c>
      <c r="AS69" s="78"/>
      <c r="AT69" s="77">
        <v>21.686399999999999</v>
      </c>
      <c r="AU69" s="77">
        <v>21.686399999999999</v>
      </c>
      <c r="AV69" s="77">
        <v>21.686399999999999</v>
      </c>
      <c r="AW69" s="78"/>
      <c r="AX69" s="73">
        <v>10.436</v>
      </c>
      <c r="AY69" s="73">
        <v>8.1120000000000001</v>
      </c>
      <c r="BA69" s="68">
        <f t="shared" ref="BA69:BA132" si="21">(AM69/AL69) - (Q69/P69)</f>
        <v>2.1338838475967181E-3</v>
      </c>
      <c r="BB69" s="68"/>
      <c r="BD69" s="74"/>
      <c r="BE69" s="74"/>
      <c r="BF69" s="74"/>
      <c r="BG69" s="79"/>
      <c r="BI69" s="74"/>
      <c r="BJ69" s="74"/>
      <c r="BK69" s="74"/>
      <c r="BL69" s="79"/>
      <c r="BN69" s="74"/>
      <c r="BO69" s="74"/>
      <c r="BP69" s="74"/>
      <c r="BQ69" s="79"/>
      <c r="BS69" s="74"/>
      <c r="BT69" s="74"/>
      <c r="BU69" s="74"/>
      <c r="BV69" s="79"/>
    </row>
    <row r="70" spans="1:74" x14ac:dyDescent="0.15">
      <c r="A70" s="31"/>
      <c r="B70" s="31" t="s">
        <v>269</v>
      </c>
      <c r="C70" s="32" t="s">
        <v>225</v>
      </c>
      <c r="D70" s="31">
        <v>805285</v>
      </c>
      <c r="E70" s="33">
        <v>10</v>
      </c>
      <c r="F70" s="32">
        <v>1</v>
      </c>
      <c r="G70" s="32"/>
      <c r="I70" s="34" t="str">
        <f t="shared" si="11"/>
        <v>·</v>
      </c>
      <c r="J70" s="35">
        <f t="shared" si="12"/>
        <v>4.2363039172466888</v>
      </c>
      <c r="K70" s="35">
        <f t="shared" si="13"/>
        <v>0.97555523820759105</v>
      </c>
      <c r="L70" s="35">
        <f t="shared" si="14"/>
        <v>3.2600830761779993</v>
      </c>
      <c r="M70" s="36"/>
      <c r="N70" s="35">
        <f t="shared" si="15"/>
        <v>4.2363039172466888</v>
      </c>
      <c r="O70" s="37">
        <v>805285</v>
      </c>
      <c r="P70" s="38">
        <v>3411432</v>
      </c>
      <c r="Q70" s="38">
        <v>785600</v>
      </c>
      <c r="R70" s="38">
        <v>2625296</v>
      </c>
      <c r="S70" s="39"/>
      <c r="T70" s="40">
        <v>52.521099999999997</v>
      </c>
      <c r="U70" s="40">
        <v>57.096499999999999</v>
      </c>
      <c r="V70" s="40">
        <v>56.485799999999998</v>
      </c>
      <c r="W70" s="41"/>
      <c r="X70" s="40">
        <v>48.130800000000001</v>
      </c>
      <c r="Y70" s="40">
        <v>48.130800000000001</v>
      </c>
      <c r="Z70" s="40">
        <v>48.130800000000001</v>
      </c>
      <c r="AA70" s="41"/>
      <c r="AB70" s="42"/>
      <c r="AC70" s="42"/>
      <c r="AE70" s="34" t="str">
        <f t="shared" si="16"/>
        <v>·</v>
      </c>
      <c r="AF70" s="35">
        <f t="shared" si="17"/>
        <v>4.2109911397828101</v>
      </c>
      <c r="AG70" s="35">
        <f t="shared" si="18"/>
        <v>0.97555523820759105</v>
      </c>
      <c r="AH70" s="35">
        <f t="shared" si="19"/>
        <v>3.2347702987141198</v>
      </c>
      <c r="AI70" s="36"/>
      <c r="AJ70" s="35">
        <f t="shared" si="20"/>
        <v>4.2109911397828101</v>
      </c>
      <c r="AK70" s="37">
        <v>805285</v>
      </c>
      <c r="AL70" s="38">
        <v>3391048</v>
      </c>
      <c r="AM70" s="38">
        <v>785600</v>
      </c>
      <c r="AN70" s="38">
        <v>2604912</v>
      </c>
      <c r="AO70" s="39"/>
      <c r="AP70" s="40">
        <v>52.523499999999999</v>
      </c>
      <c r="AQ70" s="40">
        <v>57.124699999999997</v>
      </c>
      <c r="AR70" s="40">
        <v>56.508400000000002</v>
      </c>
      <c r="AS70" s="41"/>
      <c r="AT70" s="40">
        <v>48.130800000000001</v>
      </c>
      <c r="AU70" s="40">
        <v>48.130800000000001</v>
      </c>
      <c r="AV70" s="40">
        <v>48.130800000000001</v>
      </c>
      <c r="AW70" s="41"/>
      <c r="AX70" s="42">
        <v>2.09</v>
      </c>
      <c r="AY70" s="42">
        <v>1.6379999999999999</v>
      </c>
      <c r="BA70" s="43">
        <f t="shared" si="21"/>
        <v>1.3842681588122352E-3</v>
      </c>
      <c r="BB70" s="43">
        <f t="array" ref="BB70">AVERAGE(AM70:AM74/AL70:AL74) - AVERAGE(Q70:Q74/P70:P74)</f>
        <v>4.4484672972666672E-3</v>
      </c>
      <c r="BD70" s="44">
        <f>IF( OR(ISBLANK(R70:R74),ISBLANK(AN70:AN74), ISBLANK(T70:T74),ISBLANK(AP70:AP74)), "·", bdRateExtend( R70:R74,T70:T74, AN70:AN74,AP70:AP74))</f>
        <v>-3.0627141770710242E-2</v>
      </c>
      <c r="BE70" s="44">
        <f>IF( OR(ISBLANK(R70:R74),ISBLANK(AN70:AN74), ISBLANK(U70:U74),ISBLANK(AQ70:AQ74)), "·", bdRateExtend( R70:R74,U70:U74, AN70:AN74,AQ70:AQ74))</f>
        <v>-2.4615253090299216E-2</v>
      </c>
      <c r="BF70" s="44">
        <f>IF( OR(ISBLANK(R70:R74),ISBLANK(AN70:AN74), ISBLANK(V70:V74),ISBLANK(AR70:AR74)), "·", bdRateExtend( R70:R74,V70:V74, AN70:AN74,AR70:AR74))</f>
        <v>-2.4695464930197697E-2</v>
      </c>
      <c r="BG70" s="45"/>
      <c r="BI70" s="44">
        <f>IF( OR(ISBLANK(R70:R74),ISBLANK(AN70:AN74), ISBLANK(X70:X74),ISBLANK(AT70:AT74)), "·", bdRateExtend( R70:R74,X70:X74, AN70:AN74,AT70:AT74))</f>
        <v>-2.3150991746125005E-2</v>
      </c>
      <c r="BJ70" s="44">
        <f>IF( OR(ISBLANK(R70:R74),ISBLANK(AN70:AN74), ISBLANK(Y70:Y74),ISBLANK(AU70:AU74)), "·", bdRateExtend( R70:R74,Y70:Y74, AN70:AN74,AU70:AU74))</f>
        <v>-2.3150991746125005E-2</v>
      </c>
      <c r="BK70" s="44">
        <f>IF( OR(ISBLANK(R70:R74),ISBLANK(AN70:AN74), ISBLANK(Z70:Z74),ISBLANK(AV70:AV74)), "·", bdRateExtend( R70:R74,Z70:Z74, AN70:AN74,AV70:AV74))</f>
        <v>-2.3150991746125005E-2</v>
      </c>
      <c r="BL70" s="45"/>
      <c r="BN70" s="44">
        <f>IF( OR(ISBLANK(P70:P74),ISBLANK(AL70:AL74), ISBLANK(T70:T74),ISBLANK(AP70:AP74)), "·", bdRateExtend( P70:P74,T70:T74, AL70:AL74,AP70:AP74))</f>
        <v>-1.2412439306723089E-2</v>
      </c>
      <c r="BO70" s="44">
        <f>IF( OR(ISBLANK(P70:P74),ISBLANK(AL70:AL74), ISBLANK(U70:U74),ISBLANK(AQ70:AQ74)), "·", bdRateExtend( P70:P74,U70:U74, AL70:AL74,AQ70:AQ74))</f>
        <v>-8.2652340981743677E-3</v>
      </c>
      <c r="BP70" s="44">
        <f>IF( OR(ISBLANK(P70:P74),ISBLANK(AL70:AL74), ISBLANK(V70:V74),ISBLANK(AR70:AR74)), "·", bdRateExtend( P70:P74,V70:V74, AL70:AL74,AR70:AR74))</f>
        <v>-1.1398953760732633E-2</v>
      </c>
      <c r="BQ70" s="45"/>
      <c r="BS70" s="44">
        <f>IF( OR(ISBLANK(P70:P74),ISBLANK(AL70:AL74), ISBLANK(X70:X74),ISBLANK(AT70:AT74)), "·", bdRateExtend( P70:P74,X70:X74, AL70:AL74,AT70:AT74))</f>
        <v>-9.4395932782163072E-3</v>
      </c>
      <c r="BT70" s="44">
        <f>IF( OR(ISBLANK(P70:P74),ISBLANK(AL70:AL74), ISBLANK(Y70:Y74),ISBLANK(AU70:AU74)), "·", bdRateExtend( P70:P74,Y70:Y74, AL70:AL74,AU70:AU74))</f>
        <v>-9.4395932782163072E-3</v>
      </c>
      <c r="BU70" s="44">
        <f>IF( OR(ISBLANK(P70:P74),ISBLANK(AL70:AL74), ISBLANK(Z70:Z74),ISBLANK(AV70:AV74)), "·", bdRateExtend( P70:P74,Z70:Z74, AL70:AL74,AV70:AV74))</f>
        <v>-9.4395932782163072E-3</v>
      </c>
      <c r="BV70" s="45"/>
    </row>
    <row r="71" spans="1:74" outlineLevel="1" x14ac:dyDescent="0.15">
      <c r="A71" s="16"/>
      <c r="B71" s="16" t="s">
        <v>269</v>
      </c>
      <c r="C71" s="17" t="s">
        <v>226</v>
      </c>
      <c r="D71" s="16">
        <v>805285</v>
      </c>
      <c r="E71" s="18">
        <v>10</v>
      </c>
      <c r="F71" s="17">
        <v>1</v>
      </c>
      <c r="G71" s="17"/>
      <c r="I71" s="19" t="str">
        <f t="shared" si="11"/>
        <v>·</v>
      </c>
      <c r="J71" s="20">
        <f t="shared" si="12"/>
        <v>3.1058618998242857</v>
      </c>
      <c r="K71" s="20">
        <f t="shared" si="13"/>
        <v>0.97555523820759105</v>
      </c>
      <c r="L71" s="20">
        <f t="shared" si="14"/>
        <v>2.1296410587555958</v>
      </c>
      <c r="M71" s="21"/>
      <c r="N71" s="20">
        <f t="shared" si="15"/>
        <v>3.1058618998242857</v>
      </c>
      <c r="O71" s="22">
        <v>805285</v>
      </c>
      <c r="P71" s="23">
        <v>2501104</v>
      </c>
      <c r="Q71" s="23">
        <v>785600</v>
      </c>
      <c r="R71" s="23">
        <v>1714968</v>
      </c>
      <c r="S71" s="24"/>
      <c r="T71" s="25">
        <v>47.893799999999999</v>
      </c>
      <c r="U71" s="25">
        <v>53.045900000000003</v>
      </c>
      <c r="V71" s="25">
        <v>52.556399999999996</v>
      </c>
      <c r="W71" s="26"/>
      <c r="X71" s="25">
        <v>42.110199999999999</v>
      </c>
      <c r="Y71" s="25">
        <v>42.110199999999999</v>
      </c>
      <c r="Z71" s="25">
        <v>42.110199999999999</v>
      </c>
      <c r="AA71" s="26"/>
      <c r="AB71" s="27"/>
      <c r="AC71" s="27"/>
      <c r="AE71" s="19" t="str">
        <f t="shared" si="16"/>
        <v>·</v>
      </c>
      <c r="AF71" s="20">
        <f t="shared" si="17"/>
        <v>3.0769926175205051</v>
      </c>
      <c r="AG71" s="20">
        <f t="shared" si="18"/>
        <v>0.97555523820759105</v>
      </c>
      <c r="AH71" s="20">
        <f t="shared" si="19"/>
        <v>2.1007717764518152</v>
      </c>
      <c r="AI71" s="21"/>
      <c r="AJ71" s="20">
        <f t="shared" si="20"/>
        <v>3.0769926175205051</v>
      </c>
      <c r="AK71" s="22">
        <v>805285</v>
      </c>
      <c r="AL71" s="23">
        <v>2477856</v>
      </c>
      <c r="AM71" s="23">
        <v>785600</v>
      </c>
      <c r="AN71" s="23">
        <v>1691720</v>
      </c>
      <c r="AO71" s="24"/>
      <c r="AP71" s="25">
        <v>47.933700000000002</v>
      </c>
      <c r="AQ71" s="25">
        <v>53.0471</v>
      </c>
      <c r="AR71" s="25">
        <v>52.6389</v>
      </c>
      <c r="AS71" s="26"/>
      <c r="AT71" s="25">
        <v>42.110199999999999</v>
      </c>
      <c r="AU71" s="25">
        <v>42.110199999999999</v>
      </c>
      <c r="AV71" s="25">
        <v>42.110199999999999</v>
      </c>
      <c r="AW71" s="26"/>
      <c r="AX71" s="27">
        <v>1.95</v>
      </c>
      <c r="AY71" s="27">
        <v>1.6379999999999999</v>
      </c>
      <c r="BA71" s="28">
        <f t="shared" si="21"/>
        <v>2.9469940370304704E-3</v>
      </c>
      <c r="BB71" s="28"/>
      <c r="BD71" s="29"/>
      <c r="BE71" s="29"/>
      <c r="BF71" s="29"/>
      <c r="BG71" s="30"/>
      <c r="BI71" s="29"/>
      <c r="BJ71" s="29"/>
      <c r="BK71" s="29"/>
      <c r="BL71" s="30"/>
      <c r="BN71" s="29"/>
      <c r="BO71" s="29"/>
      <c r="BP71" s="29"/>
      <c r="BQ71" s="30"/>
      <c r="BS71" s="29"/>
      <c r="BT71" s="29"/>
      <c r="BU71" s="29"/>
      <c r="BV71" s="30"/>
    </row>
    <row r="72" spans="1:74" outlineLevel="1" x14ac:dyDescent="0.15">
      <c r="A72" s="31"/>
      <c r="B72" s="31" t="s">
        <v>269</v>
      </c>
      <c r="C72" s="32" t="s">
        <v>227</v>
      </c>
      <c r="D72" s="31">
        <v>805285</v>
      </c>
      <c r="E72" s="33">
        <v>10</v>
      </c>
      <c r="F72" s="32">
        <v>1</v>
      </c>
      <c r="G72" s="32"/>
      <c r="I72" s="34" t="str">
        <f t="shared" si="11"/>
        <v>·</v>
      </c>
      <c r="J72" s="35">
        <f t="shared" si="12"/>
        <v>1.9660517704911926</v>
      </c>
      <c r="K72" s="35">
        <f t="shared" si="13"/>
        <v>0.97555523820759105</v>
      </c>
      <c r="L72" s="35">
        <f t="shared" si="14"/>
        <v>0.98983092942250261</v>
      </c>
      <c r="M72" s="36"/>
      <c r="N72" s="35">
        <f t="shared" si="15"/>
        <v>1.9660517704911926</v>
      </c>
      <c r="O72" s="37">
        <v>805285</v>
      </c>
      <c r="P72" s="38">
        <v>1583232</v>
      </c>
      <c r="Q72" s="38">
        <v>785600</v>
      </c>
      <c r="R72" s="38">
        <v>797096</v>
      </c>
      <c r="S72" s="39"/>
      <c r="T72" s="40">
        <v>40.9711</v>
      </c>
      <c r="U72" s="40">
        <v>48.345599999999997</v>
      </c>
      <c r="V72" s="40">
        <v>47.933399999999999</v>
      </c>
      <c r="W72" s="41"/>
      <c r="X72" s="40">
        <v>34.151400000000002</v>
      </c>
      <c r="Y72" s="40">
        <v>34.151400000000002</v>
      </c>
      <c r="Z72" s="40">
        <v>34.151400000000002</v>
      </c>
      <c r="AA72" s="41"/>
      <c r="AB72" s="42"/>
      <c r="AC72" s="42"/>
      <c r="AE72" s="34" t="str">
        <f t="shared" si="16"/>
        <v>·</v>
      </c>
      <c r="AF72" s="35">
        <f t="shared" si="17"/>
        <v>1.9431729139373017</v>
      </c>
      <c r="AG72" s="35">
        <f t="shared" si="18"/>
        <v>0.97555523820759105</v>
      </c>
      <c r="AH72" s="35">
        <f t="shared" si="19"/>
        <v>0.96695207286861173</v>
      </c>
      <c r="AI72" s="36"/>
      <c r="AJ72" s="35">
        <f t="shared" si="20"/>
        <v>1.9431729139373017</v>
      </c>
      <c r="AK72" s="37">
        <v>805285</v>
      </c>
      <c r="AL72" s="38">
        <v>1564808</v>
      </c>
      <c r="AM72" s="38">
        <v>785600</v>
      </c>
      <c r="AN72" s="38">
        <v>778672</v>
      </c>
      <c r="AO72" s="39"/>
      <c r="AP72" s="40">
        <v>41.0595</v>
      </c>
      <c r="AQ72" s="40">
        <v>48.365299999999998</v>
      </c>
      <c r="AR72" s="40">
        <v>47.9358</v>
      </c>
      <c r="AS72" s="41"/>
      <c r="AT72" s="40">
        <v>34.151400000000002</v>
      </c>
      <c r="AU72" s="40">
        <v>34.151400000000002</v>
      </c>
      <c r="AV72" s="40">
        <v>34.151400000000002</v>
      </c>
      <c r="AW72" s="41"/>
      <c r="AX72" s="42">
        <v>1.95</v>
      </c>
      <c r="AY72" s="42">
        <v>1.5129999999999999</v>
      </c>
      <c r="BA72" s="43">
        <f t="shared" si="21"/>
        <v>5.8422452319815688E-3</v>
      </c>
      <c r="BB72" s="43"/>
      <c r="BD72" s="44"/>
      <c r="BE72" s="44"/>
      <c r="BF72" s="44"/>
      <c r="BG72" s="45"/>
      <c r="BI72" s="44"/>
      <c r="BJ72" s="44"/>
      <c r="BK72" s="44"/>
      <c r="BL72" s="45"/>
      <c r="BN72" s="44"/>
      <c r="BO72" s="44"/>
      <c r="BP72" s="44"/>
      <c r="BQ72" s="45"/>
      <c r="BS72" s="44"/>
      <c r="BT72" s="44"/>
      <c r="BU72" s="44"/>
      <c r="BV72" s="45"/>
    </row>
    <row r="73" spans="1:74" outlineLevel="1" x14ac:dyDescent="0.15">
      <c r="A73" s="16"/>
      <c r="B73" s="16" t="s">
        <v>269</v>
      </c>
      <c r="C73" s="17" t="s">
        <v>228</v>
      </c>
      <c r="D73" s="16">
        <v>805285</v>
      </c>
      <c r="E73" s="18">
        <v>10</v>
      </c>
      <c r="F73" s="17">
        <v>1</v>
      </c>
      <c r="G73" s="17"/>
      <c r="I73" s="19" t="str">
        <f t="shared" si="11"/>
        <v>·</v>
      </c>
      <c r="J73" s="20">
        <f t="shared" si="12"/>
        <v>1.4359239275535991</v>
      </c>
      <c r="K73" s="20">
        <f t="shared" si="13"/>
        <v>0.97555523820759105</v>
      </c>
      <c r="L73" s="20">
        <f t="shared" si="14"/>
        <v>0.4597030864849091</v>
      </c>
      <c r="M73" s="21"/>
      <c r="N73" s="20">
        <f t="shared" si="15"/>
        <v>1.4359239275535991</v>
      </c>
      <c r="O73" s="22">
        <v>805285</v>
      </c>
      <c r="P73" s="23">
        <v>1156328</v>
      </c>
      <c r="Q73" s="23">
        <v>785600</v>
      </c>
      <c r="R73" s="23">
        <v>370192</v>
      </c>
      <c r="S73" s="24"/>
      <c r="T73" s="25">
        <v>35.700600000000001</v>
      </c>
      <c r="U73" s="25">
        <v>43.5809</v>
      </c>
      <c r="V73" s="25">
        <v>43.52</v>
      </c>
      <c r="W73" s="26"/>
      <c r="X73" s="25">
        <v>28.130800000000001</v>
      </c>
      <c r="Y73" s="25">
        <v>28.130800000000001</v>
      </c>
      <c r="Z73" s="25">
        <v>28.130800000000001</v>
      </c>
      <c r="AA73" s="26"/>
      <c r="AB73" s="27"/>
      <c r="AC73" s="27"/>
      <c r="AE73" s="19" t="str">
        <f t="shared" si="16"/>
        <v>·</v>
      </c>
      <c r="AF73" s="20">
        <f t="shared" si="17"/>
        <v>1.4220952830364406</v>
      </c>
      <c r="AG73" s="20">
        <f t="shared" si="18"/>
        <v>0.97555523820759105</v>
      </c>
      <c r="AH73" s="20">
        <f t="shared" si="19"/>
        <v>0.44587444196775056</v>
      </c>
      <c r="AI73" s="21"/>
      <c r="AJ73" s="20">
        <f t="shared" si="20"/>
        <v>1.4220952830364406</v>
      </c>
      <c r="AK73" s="22">
        <v>805285</v>
      </c>
      <c r="AL73" s="23">
        <v>1145192</v>
      </c>
      <c r="AM73" s="23">
        <v>785600</v>
      </c>
      <c r="AN73" s="23">
        <v>359056</v>
      </c>
      <c r="AO73" s="24"/>
      <c r="AP73" s="25">
        <v>35.725200000000001</v>
      </c>
      <c r="AQ73" s="25">
        <v>43.356499999999997</v>
      </c>
      <c r="AR73" s="25">
        <v>43.5657</v>
      </c>
      <c r="AS73" s="26"/>
      <c r="AT73" s="25">
        <v>28.130800000000001</v>
      </c>
      <c r="AU73" s="25">
        <v>28.130800000000001</v>
      </c>
      <c r="AV73" s="25">
        <v>28.130800000000001</v>
      </c>
      <c r="AW73" s="26"/>
      <c r="AX73" s="27">
        <v>2.012</v>
      </c>
      <c r="AY73" s="27">
        <v>1.528</v>
      </c>
      <c r="BA73" s="28">
        <f t="shared" si="21"/>
        <v>6.6064986338507659E-3</v>
      </c>
      <c r="BB73" s="28"/>
      <c r="BD73" s="29"/>
      <c r="BE73" s="29"/>
      <c r="BF73" s="29"/>
      <c r="BG73" s="30"/>
      <c r="BI73" s="29"/>
      <c r="BJ73" s="29"/>
      <c r="BK73" s="29"/>
      <c r="BL73" s="30"/>
      <c r="BN73" s="29"/>
      <c r="BO73" s="29"/>
      <c r="BP73" s="29"/>
      <c r="BQ73" s="30"/>
      <c r="BS73" s="29"/>
      <c r="BT73" s="29"/>
      <c r="BU73" s="29"/>
      <c r="BV73" s="30"/>
    </row>
    <row r="74" spans="1:74" outlineLevel="1" x14ac:dyDescent="0.15">
      <c r="A74" s="31"/>
      <c r="B74" s="46" t="s">
        <v>269</v>
      </c>
      <c r="C74" s="47" t="s">
        <v>229</v>
      </c>
      <c r="D74" s="46">
        <v>805285</v>
      </c>
      <c r="E74" s="48">
        <v>10</v>
      </c>
      <c r="F74" s="47">
        <v>1</v>
      </c>
      <c r="G74" s="47"/>
      <c r="I74" s="49" t="str">
        <f t="shared" si="11"/>
        <v>·</v>
      </c>
      <c r="J74" s="50">
        <f t="shared" si="12"/>
        <v>1.1251072601625511</v>
      </c>
      <c r="K74" s="50">
        <f t="shared" si="13"/>
        <v>0.97555523820759105</v>
      </c>
      <c r="L74" s="50">
        <f t="shared" si="14"/>
        <v>0.14888641909386119</v>
      </c>
      <c r="M74" s="51"/>
      <c r="N74" s="50">
        <f t="shared" si="15"/>
        <v>1.1251072601625511</v>
      </c>
      <c r="O74" s="52">
        <v>805285</v>
      </c>
      <c r="P74" s="53">
        <v>906032</v>
      </c>
      <c r="Q74" s="53">
        <v>785600</v>
      </c>
      <c r="R74" s="53">
        <v>119896</v>
      </c>
      <c r="S74" s="54"/>
      <c r="T74" s="55">
        <v>29.942599999999999</v>
      </c>
      <c r="U74" s="55">
        <v>38.519199999999998</v>
      </c>
      <c r="V74" s="55">
        <v>37.423499999999997</v>
      </c>
      <c r="W74" s="56"/>
      <c r="X74" s="55">
        <v>21.686399999999999</v>
      </c>
      <c r="Y74" s="55">
        <v>21.686399999999999</v>
      </c>
      <c r="Z74" s="55">
        <v>21.686399999999999</v>
      </c>
      <c r="AA74" s="56"/>
      <c r="AB74" s="57"/>
      <c r="AC74" s="57"/>
      <c r="AE74" s="49" t="str">
        <f t="shared" si="16"/>
        <v>·</v>
      </c>
      <c r="AF74" s="50">
        <f t="shared" si="17"/>
        <v>1.1180637910801765</v>
      </c>
      <c r="AG74" s="50">
        <f t="shared" si="18"/>
        <v>0.97555523820759105</v>
      </c>
      <c r="AH74" s="50">
        <f t="shared" si="19"/>
        <v>0.14184295001148661</v>
      </c>
      <c r="AI74" s="51"/>
      <c r="AJ74" s="50">
        <f t="shared" si="20"/>
        <v>1.1180637910801765</v>
      </c>
      <c r="AK74" s="52">
        <v>805285</v>
      </c>
      <c r="AL74" s="53">
        <v>900360</v>
      </c>
      <c r="AM74" s="53">
        <v>785600</v>
      </c>
      <c r="AN74" s="53">
        <v>114224</v>
      </c>
      <c r="AO74" s="54"/>
      <c r="AP74" s="55">
        <v>30.0349</v>
      </c>
      <c r="AQ74" s="55">
        <v>39.077599999999997</v>
      </c>
      <c r="AR74" s="55">
        <v>37.1402</v>
      </c>
      <c r="AS74" s="56"/>
      <c r="AT74" s="55">
        <v>21.686399999999999</v>
      </c>
      <c r="AU74" s="55">
        <v>21.686399999999999</v>
      </c>
      <c r="AV74" s="55">
        <v>21.686399999999999</v>
      </c>
      <c r="AW74" s="56"/>
      <c r="AX74" s="57">
        <v>1.95</v>
      </c>
      <c r="AY74" s="57">
        <v>1.4970000000000001</v>
      </c>
      <c r="BA74" s="58">
        <f t="shared" si="21"/>
        <v>5.4623304246583793E-3</v>
      </c>
      <c r="BB74" s="58"/>
      <c r="BD74" s="59"/>
      <c r="BE74" s="59"/>
      <c r="BF74" s="59"/>
      <c r="BG74" s="60"/>
      <c r="BI74" s="59"/>
      <c r="BJ74" s="59"/>
      <c r="BK74" s="59"/>
      <c r="BL74" s="60"/>
      <c r="BN74" s="59"/>
      <c r="BO74" s="59"/>
      <c r="BP74" s="59"/>
      <c r="BQ74" s="60"/>
      <c r="BS74" s="59"/>
      <c r="BT74" s="59"/>
      <c r="BU74" s="59"/>
      <c r="BV74" s="60"/>
    </row>
    <row r="75" spans="1:74" x14ac:dyDescent="0.15">
      <c r="A75" s="16"/>
      <c r="B75" s="16" t="s">
        <v>272</v>
      </c>
      <c r="C75" s="17" t="s">
        <v>225</v>
      </c>
      <c r="D75" s="16">
        <v>1000993</v>
      </c>
      <c r="E75" s="18">
        <v>10</v>
      </c>
      <c r="F75" s="17">
        <v>1</v>
      </c>
      <c r="G75" s="17"/>
      <c r="I75" s="19" t="str">
        <f t="shared" si="11"/>
        <v>·</v>
      </c>
      <c r="J75" s="20">
        <f t="shared" si="12"/>
        <v>5.1098938753817462</v>
      </c>
      <c r="K75" s="20">
        <f t="shared" si="13"/>
        <v>0.77826718068957523</v>
      </c>
      <c r="L75" s="20">
        <f t="shared" si="14"/>
        <v>4.3310832343482923</v>
      </c>
      <c r="M75" s="21"/>
      <c r="N75" s="20">
        <f t="shared" si="15"/>
        <v>5.1098938753817462</v>
      </c>
      <c r="O75" s="22">
        <v>1000993</v>
      </c>
      <c r="P75" s="23">
        <v>5114968</v>
      </c>
      <c r="Q75" s="23">
        <v>779040</v>
      </c>
      <c r="R75" s="23">
        <v>4335384</v>
      </c>
      <c r="S75" s="24"/>
      <c r="T75" s="25">
        <v>52.9193</v>
      </c>
      <c r="U75" s="25">
        <v>56.154600000000002</v>
      </c>
      <c r="V75" s="25">
        <v>55.727600000000002</v>
      </c>
      <c r="W75" s="26"/>
      <c r="X75" s="25">
        <v>48.130800000000001</v>
      </c>
      <c r="Y75" s="25">
        <v>48.130800000000001</v>
      </c>
      <c r="Z75" s="25">
        <v>48.130800000000001</v>
      </c>
      <c r="AA75" s="26"/>
      <c r="AB75" s="27"/>
      <c r="AC75" s="27"/>
      <c r="AE75" s="19" t="str">
        <f t="shared" si="16"/>
        <v>·</v>
      </c>
      <c r="AF75" s="20">
        <f t="shared" si="17"/>
        <v>5.1228729871237864</v>
      </c>
      <c r="AG75" s="20">
        <f t="shared" si="18"/>
        <v>0.77826718068957523</v>
      </c>
      <c r="AH75" s="20">
        <f t="shared" si="19"/>
        <v>4.3440623460903325</v>
      </c>
      <c r="AI75" s="21"/>
      <c r="AJ75" s="20">
        <f t="shared" si="20"/>
        <v>5.1228729871237864</v>
      </c>
      <c r="AK75" s="22">
        <v>1000993</v>
      </c>
      <c r="AL75" s="23">
        <v>5127960</v>
      </c>
      <c r="AM75" s="23">
        <v>779040</v>
      </c>
      <c r="AN75" s="23">
        <v>4348376</v>
      </c>
      <c r="AO75" s="24"/>
      <c r="AP75" s="25">
        <v>52.910800000000002</v>
      </c>
      <c r="AQ75" s="25">
        <v>56.165399999999998</v>
      </c>
      <c r="AR75" s="25">
        <v>55.790999999999997</v>
      </c>
      <c r="AS75" s="26"/>
      <c r="AT75" s="25">
        <v>48.130800000000001</v>
      </c>
      <c r="AU75" s="25">
        <v>48.130800000000001</v>
      </c>
      <c r="AV75" s="25">
        <v>48.130800000000001</v>
      </c>
      <c r="AW75" s="26"/>
      <c r="AX75" s="27">
        <v>2.5419999999999998</v>
      </c>
      <c r="AY75" s="27">
        <v>1.9650000000000001</v>
      </c>
      <c r="BA75" s="28">
        <f t="shared" si="21"/>
        <v>-3.8587640091436448E-4</v>
      </c>
      <c r="BB75" s="28">
        <f t="array" ref="BB75">AVERAGE(AM75:AM79/AL75:AL79) - AVERAGE(Q75:Q79/P75:P79)</f>
        <v>-9.1250894658756465E-4</v>
      </c>
      <c r="BD75" s="29">
        <f>IF( OR(ISBLANK(R75:R79),ISBLANK(AN75:AN79), ISBLANK(T75:T79),ISBLANK(AP75:AP79)), "·", bdRateExtend( R75:R79,T75:T79, AN75:AN79,AP75:AP79))</f>
        <v>-4.6823704359000295E-3</v>
      </c>
      <c r="BE75" s="29">
        <f>IF( OR(ISBLANK(R75:R79),ISBLANK(AN75:AN79), ISBLANK(U75:U79),ISBLANK(AQ75:AQ79)), "·", bdRateExtend( R75:R79,U75:U79, AN75:AN79,AQ75:AQ79))</f>
        <v>8.9790973196444135E-3</v>
      </c>
      <c r="BF75" s="29">
        <f>IF( OR(ISBLANK(R75:R79),ISBLANK(AN75:AN79), ISBLANK(V75:V79),ISBLANK(AR75:AR79)), "·", bdRateExtend( R75:R79,V75:V79, AN75:AN79,AR75:AR79))</f>
        <v>4.6634119668838903E-2</v>
      </c>
      <c r="BG75" s="30"/>
      <c r="BI75" s="29">
        <f>IF( OR(ISBLANK(R75:R79),ISBLANK(AN75:AN79), ISBLANK(X75:X79),ISBLANK(AT75:AT79)), "·", bdRateExtend( R75:R79,X75:X79, AN75:AN79,AT75:AT79))</f>
        <v>4.5768519874511693E-3</v>
      </c>
      <c r="BJ75" s="29">
        <f>IF( OR(ISBLANK(R75:R79),ISBLANK(AN75:AN79), ISBLANK(Y75:Y79),ISBLANK(AU75:AU79)), "·", bdRateExtend( R75:R79,Y75:Y79, AN75:AN79,AU75:AU79))</f>
        <v>4.5768519874511693E-3</v>
      </c>
      <c r="BK75" s="29">
        <f>IF( OR(ISBLANK(R75:R79),ISBLANK(AN75:AN79), ISBLANK(Z75:Z79),ISBLANK(AV75:AV79)), "·", bdRateExtend( R75:R79,Z75:Z79, AN75:AN79,AV75:AV79))</f>
        <v>4.5768519874511693E-3</v>
      </c>
      <c r="BL75" s="30"/>
      <c r="BN75" s="29">
        <f>IF( OR(ISBLANK(P75:P79),ISBLANK(AL75:AL79), ISBLANK(T75:T79),ISBLANK(AP75:AP79)), "·", bdRateExtend( P75:P79,T75:T79, AL75:AL79,AP75:AP79))</f>
        <v>-1.9945410012314202E-3</v>
      </c>
      <c r="BO75" s="29">
        <f>IF( OR(ISBLANK(P75:P79),ISBLANK(AL75:AL79), ISBLANK(U75:U79),ISBLANK(AQ75:AQ79)), "·", bdRateExtend( P75:P79,U75:U79, AL75:AL79,AQ75:AQ79))</f>
        <v>6.7857397361683613E-3</v>
      </c>
      <c r="BP75" s="29">
        <f>IF( OR(ISBLANK(P75:P79),ISBLANK(AL75:AL79), ISBLANK(V75:V79),ISBLANK(AR75:AR79)), "·", bdRateExtend( P75:P79,V75:V79, AL75:AL79,AR75:AR79))</f>
        <v>1.7836383003511314E-2</v>
      </c>
      <c r="BQ75" s="30"/>
      <c r="BS75" s="29">
        <f>IF( OR(ISBLANK(P75:P79),ISBLANK(AL75:AL79), ISBLANK(X75:X79),ISBLANK(AT75:AT79)), "·", bdRateExtend( P75:P79,X75:X79, AL75:AL79,AT75:AT79))</f>
        <v>2.4295224994270725E-3</v>
      </c>
      <c r="BT75" s="29">
        <f>IF( OR(ISBLANK(P75:P79),ISBLANK(AL75:AL79), ISBLANK(Y75:Y79),ISBLANK(AU75:AU79)), "·", bdRateExtend( P75:P79,Y75:Y79, AL75:AL79,AU75:AU79))</f>
        <v>2.4295224994270725E-3</v>
      </c>
      <c r="BU75" s="29">
        <f>IF( OR(ISBLANK(P75:P79),ISBLANK(AL75:AL79), ISBLANK(Z75:Z79),ISBLANK(AV75:AV79)), "·", bdRateExtend( P75:P79,Z75:Z79, AL75:AL79,AV75:AV79))</f>
        <v>2.4295224994270725E-3</v>
      </c>
      <c r="BV75" s="30"/>
    </row>
    <row r="76" spans="1:74" outlineLevel="1" x14ac:dyDescent="0.15">
      <c r="A76" s="31"/>
      <c r="B76" s="31" t="s">
        <v>272</v>
      </c>
      <c r="C76" s="32" t="s">
        <v>226</v>
      </c>
      <c r="D76" s="31">
        <v>1000993</v>
      </c>
      <c r="E76" s="33">
        <v>10</v>
      </c>
      <c r="F76" s="32">
        <v>1</v>
      </c>
      <c r="G76" s="32"/>
      <c r="I76" s="34" t="str">
        <f t="shared" si="11"/>
        <v>·</v>
      </c>
      <c r="J76" s="35">
        <f t="shared" si="12"/>
        <v>3.5629819589147975</v>
      </c>
      <c r="K76" s="35">
        <f t="shared" si="13"/>
        <v>0.77826718068957523</v>
      </c>
      <c r="L76" s="35">
        <f t="shared" si="14"/>
        <v>2.7841713178813436</v>
      </c>
      <c r="M76" s="36"/>
      <c r="N76" s="35">
        <f t="shared" si="15"/>
        <v>3.5629819589147975</v>
      </c>
      <c r="O76" s="37">
        <v>1000993</v>
      </c>
      <c r="P76" s="38">
        <v>3566520</v>
      </c>
      <c r="Q76" s="38">
        <v>779040</v>
      </c>
      <c r="R76" s="38">
        <v>2786936</v>
      </c>
      <c r="S76" s="39"/>
      <c r="T76" s="40">
        <v>48.203499999999998</v>
      </c>
      <c r="U76" s="40">
        <v>52.2211</v>
      </c>
      <c r="V76" s="40">
        <v>51.655299999999997</v>
      </c>
      <c r="W76" s="41"/>
      <c r="X76" s="40">
        <v>42.110199999999999</v>
      </c>
      <c r="Y76" s="40">
        <v>42.110199999999999</v>
      </c>
      <c r="Z76" s="40">
        <v>42.110199999999999</v>
      </c>
      <c r="AA76" s="41"/>
      <c r="AB76" s="42"/>
      <c r="AC76" s="42"/>
      <c r="AE76" s="34" t="str">
        <f t="shared" si="16"/>
        <v>·</v>
      </c>
      <c r="AF76" s="35">
        <f t="shared" si="17"/>
        <v>3.5749141102884834</v>
      </c>
      <c r="AG76" s="35">
        <f t="shared" si="18"/>
        <v>0.77826718068957523</v>
      </c>
      <c r="AH76" s="35">
        <f t="shared" si="19"/>
        <v>2.7961034692550299</v>
      </c>
      <c r="AI76" s="36"/>
      <c r="AJ76" s="35">
        <f t="shared" si="20"/>
        <v>3.5749141102884834</v>
      </c>
      <c r="AK76" s="37">
        <v>1000993</v>
      </c>
      <c r="AL76" s="38">
        <v>3578464</v>
      </c>
      <c r="AM76" s="38">
        <v>779040</v>
      </c>
      <c r="AN76" s="38">
        <v>2798880</v>
      </c>
      <c r="AO76" s="39"/>
      <c r="AP76" s="40">
        <v>48.244100000000003</v>
      </c>
      <c r="AQ76" s="40">
        <v>52.200800000000001</v>
      </c>
      <c r="AR76" s="40">
        <v>51.654400000000003</v>
      </c>
      <c r="AS76" s="41"/>
      <c r="AT76" s="40">
        <v>42.110199999999999</v>
      </c>
      <c r="AU76" s="40">
        <v>42.110199999999999</v>
      </c>
      <c r="AV76" s="40">
        <v>42.110199999999999</v>
      </c>
      <c r="AW76" s="41"/>
      <c r="AX76" s="42">
        <v>2.5270000000000001</v>
      </c>
      <c r="AY76" s="42">
        <v>1.9650000000000001</v>
      </c>
      <c r="BA76" s="43">
        <f t="shared" si="21"/>
        <v>-7.29068333931715E-4</v>
      </c>
      <c r="BB76" s="43"/>
      <c r="BD76" s="44"/>
      <c r="BE76" s="44"/>
      <c r="BF76" s="44"/>
      <c r="BG76" s="45"/>
      <c r="BI76" s="44"/>
      <c r="BJ76" s="44"/>
      <c r="BK76" s="44"/>
      <c r="BL76" s="45"/>
      <c r="BN76" s="44"/>
      <c r="BO76" s="44"/>
      <c r="BP76" s="44"/>
      <c r="BQ76" s="45"/>
      <c r="BS76" s="44"/>
      <c r="BT76" s="44"/>
      <c r="BU76" s="44"/>
      <c r="BV76" s="45"/>
    </row>
    <row r="77" spans="1:74" outlineLevel="1" x14ac:dyDescent="0.15">
      <c r="A77" s="16"/>
      <c r="B77" s="16" t="s">
        <v>272</v>
      </c>
      <c r="C77" s="17" t="s">
        <v>227</v>
      </c>
      <c r="D77" s="16">
        <v>1000993</v>
      </c>
      <c r="E77" s="18">
        <v>10</v>
      </c>
      <c r="F77" s="17">
        <v>1</v>
      </c>
      <c r="G77" s="17"/>
      <c r="I77" s="19" t="str">
        <f t="shared" si="11"/>
        <v>·</v>
      </c>
      <c r="J77" s="20">
        <f t="shared" si="12"/>
        <v>1.9822236519136498</v>
      </c>
      <c r="K77" s="20">
        <f t="shared" si="13"/>
        <v>0.77826718068957523</v>
      </c>
      <c r="L77" s="20">
        <f t="shared" si="14"/>
        <v>1.2034130108801959</v>
      </c>
      <c r="M77" s="21"/>
      <c r="N77" s="20">
        <f t="shared" si="15"/>
        <v>1.9822236519136498</v>
      </c>
      <c r="O77" s="22">
        <v>1000993</v>
      </c>
      <c r="P77" s="23">
        <v>1984192</v>
      </c>
      <c r="Q77" s="23">
        <v>779040</v>
      </c>
      <c r="R77" s="23">
        <v>1204608</v>
      </c>
      <c r="S77" s="24"/>
      <c r="T77" s="25">
        <v>41.635899999999999</v>
      </c>
      <c r="U77" s="25">
        <v>47.417499999999997</v>
      </c>
      <c r="V77" s="25">
        <v>46.780999999999999</v>
      </c>
      <c r="W77" s="26"/>
      <c r="X77" s="25">
        <v>34.151400000000002</v>
      </c>
      <c r="Y77" s="25">
        <v>34.151400000000002</v>
      </c>
      <c r="Z77" s="25">
        <v>34.151400000000002</v>
      </c>
      <c r="AA77" s="26"/>
      <c r="AB77" s="27"/>
      <c r="AC77" s="27"/>
      <c r="AE77" s="19" t="str">
        <f t="shared" si="16"/>
        <v>·</v>
      </c>
      <c r="AF77" s="20">
        <f t="shared" si="17"/>
        <v>1.985444453657518</v>
      </c>
      <c r="AG77" s="20">
        <f t="shared" si="18"/>
        <v>0.77826718068957523</v>
      </c>
      <c r="AH77" s="20">
        <f t="shared" si="19"/>
        <v>1.2066338126240643</v>
      </c>
      <c r="AI77" s="21"/>
      <c r="AJ77" s="20">
        <f t="shared" si="20"/>
        <v>1.985444453657518</v>
      </c>
      <c r="AK77" s="22">
        <v>1000993</v>
      </c>
      <c r="AL77" s="23">
        <v>1987416</v>
      </c>
      <c r="AM77" s="23">
        <v>779040</v>
      </c>
      <c r="AN77" s="23">
        <v>1207832</v>
      </c>
      <c r="AO77" s="24"/>
      <c r="AP77" s="25">
        <v>41.7423</v>
      </c>
      <c r="AQ77" s="25">
        <v>47.2057</v>
      </c>
      <c r="AR77" s="25">
        <v>46.6402</v>
      </c>
      <c r="AS77" s="26"/>
      <c r="AT77" s="25">
        <v>34.151400000000002</v>
      </c>
      <c r="AU77" s="25">
        <v>34.151400000000002</v>
      </c>
      <c r="AV77" s="25">
        <v>34.151400000000002</v>
      </c>
      <c r="AW77" s="26"/>
      <c r="AX77" s="27">
        <v>2.371</v>
      </c>
      <c r="AY77" s="27">
        <v>1.9810000000000001</v>
      </c>
      <c r="BA77" s="28">
        <f t="shared" si="21"/>
        <v>-6.3691622767053646E-4</v>
      </c>
      <c r="BB77" s="28"/>
      <c r="BD77" s="29"/>
      <c r="BE77" s="29"/>
      <c r="BF77" s="29"/>
      <c r="BG77" s="30"/>
      <c r="BI77" s="29"/>
      <c r="BJ77" s="29"/>
      <c r="BK77" s="29"/>
      <c r="BL77" s="30"/>
      <c r="BN77" s="29"/>
      <c r="BO77" s="29"/>
      <c r="BP77" s="29"/>
      <c r="BQ77" s="30"/>
      <c r="BS77" s="29"/>
      <c r="BT77" s="29"/>
      <c r="BU77" s="29"/>
      <c r="BV77" s="30"/>
    </row>
    <row r="78" spans="1:74" outlineLevel="1" x14ac:dyDescent="0.15">
      <c r="A78" s="31"/>
      <c r="B78" s="31" t="s">
        <v>272</v>
      </c>
      <c r="C78" s="32" t="s">
        <v>228</v>
      </c>
      <c r="D78" s="31">
        <v>1000993</v>
      </c>
      <c r="E78" s="33">
        <v>10</v>
      </c>
      <c r="F78" s="32">
        <v>1</v>
      </c>
      <c r="G78" s="32"/>
      <c r="I78" s="34" t="str">
        <f t="shared" si="11"/>
        <v>·</v>
      </c>
      <c r="J78" s="35">
        <f t="shared" si="12"/>
        <v>1.3239093580074985</v>
      </c>
      <c r="K78" s="35">
        <f t="shared" si="13"/>
        <v>0.77826718068957523</v>
      </c>
      <c r="L78" s="35">
        <f t="shared" si="14"/>
        <v>0.54509871697404477</v>
      </c>
      <c r="M78" s="36"/>
      <c r="N78" s="35">
        <f t="shared" si="15"/>
        <v>1.3239093580074985</v>
      </c>
      <c r="O78" s="37">
        <v>1000993</v>
      </c>
      <c r="P78" s="38">
        <v>1325224</v>
      </c>
      <c r="Q78" s="38">
        <v>779040</v>
      </c>
      <c r="R78" s="38">
        <v>545640</v>
      </c>
      <c r="S78" s="39"/>
      <c r="T78" s="40">
        <v>36.549900000000001</v>
      </c>
      <c r="U78" s="40">
        <v>42.671100000000003</v>
      </c>
      <c r="V78" s="40">
        <v>42.324199999999998</v>
      </c>
      <c r="W78" s="41"/>
      <c r="X78" s="40">
        <v>28.130800000000001</v>
      </c>
      <c r="Y78" s="40">
        <v>28.130800000000001</v>
      </c>
      <c r="Z78" s="40">
        <v>28.130800000000001</v>
      </c>
      <c r="AA78" s="41"/>
      <c r="AB78" s="42"/>
      <c r="AC78" s="42"/>
      <c r="AE78" s="34" t="str">
        <f t="shared" si="16"/>
        <v>·</v>
      </c>
      <c r="AF78" s="35">
        <f t="shared" si="17"/>
        <v>1.3269703184737556</v>
      </c>
      <c r="AG78" s="35">
        <f t="shared" si="18"/>
        <v>0.77826718068957523</v>
      </c>
      <c r="AH78" s="35">
        <f t="shared" si="19"/>
        <v>0.54815967744030181</v>
      </c>
      <c r="AI78" s="36"/>
      <c r="AJ78" s="35">
        <f t="shared" si="20"/>
        <v>1.3269703184737556</v>
      </c>
      <c r="AK78" s="37">
        <v>1000993</v>
      </c>
      <c r="AL78" s="38">
        <v>1328288</v>
      </c>
      <c r="AM78" s="38">
        <v>779040</v>
      </c>
      <c r="AN78" s="38">
        <v>548704</v>
      </c>
      <c r="AO78" s="39"/>
      <c r="AP78" s="40">
        <v>36.574300000000001</v>
      </c>
      <c r="AQ78" s="40">
        <v>42.693399999999997</v>
      </c>
      <c r="AR78" s="40">
        <v>41.900599999999997</v>
      </c>
      <c r="AS78" s="41"/>
      <c r="AT78" s="40">
        <v>28.130800000000001</v>
      </c>
      <c r="AU78" s="40">
        <v>28.130800000000001</v>
      </c>
      <c r="AV78" s="40">
        <v>28.130800000000001</v>
      </c>
      <c r="AW78" s="41"/>
      <c r="AX78" s="42">
        <v>2.3860000000000001</v>
      </c>
      <c r="AY78" s="42">
        <v>1.903</v>
      </c>
      <c r="BA78" s="43">
        <f t="shared" si="21"/>
        <v>-1.3560227525787338E-3</v>
      </c>
      <c r="BB78" s="43"/>
      <c r="BD78" s="44"/>
      <c r="BE78" s="44"/>
      <c r="BF78" s="44"/>
      <c r="BG78" s="45"/>
      <c r="BI78" s="44"/>
      <c r="BJ78" s="44"/>
      <c r="BK78" s="44"/>
      <c r="BL78" s="45"/>
      <c r="BN78" s="44"/>
      <c r="BO78" s="44"/>
      <c r="BP78" s="44"/>
      <c r="BQ78" s="45"/>
      <c r="BS78" s="44"/>
      <c r="BT78" s="44"/>
      <c r="BU78" s="44"/>
      <c r="BV78" s="45"/>
    </row>
    <row r="79" spans="1:74" outlineLevel="1" x14ac:dyDescent="0.15">
      <c r="A79" s="16"/>
      <c r="B79" s="65" t="s">
        <v>272</v>
      </c>
      <c r="C79" s="67" t="s">
        <v>229</v>
      </c>
      <c r="D79" s="65">
        <v>1000993</v>
      </c>
      <c r="E79" s="66">
        <v>10</v>
      </c>
      <c r="F79" s="67">
        <v>1</v>
      </c>
      <c r="G79" s="67"/>
      <c r="I79" s="69" t="str">
        <f t="shared" si="11"/>
        <v>·</v>
      </c>
      <c r="J79" s="70">
        <f t="shared" si="12"/>
        <v>0.97995490477955394</v>
      </c>
      <c r="K79" s="70">
        <f t="shared" si="13"/>
        <v>0.77826718068957523</v>
      </c>
      <c r="L79" s="70">
        <f t="shared" si="14"/>
        <v>0.20114426374610012</v>
      </c>
      <c r="M79" s="75"/>
      <c r="N79" s="70">
        <f t="shared" si="15"/>
        <v>0.97995490477955394</v>
      </c>
      <c r="O79" s="71">
        <v>1000993</v>
      </c>
      <c r="P79" s="72">
        <v>980928</v>
      </c>
      <c r="Q79" s="72">
        <v>779040</v>
      </c>
      <c r="R79" s="72">
        <v>201344</v>
      </c>
      <c r="S79" s="76"/>
      <c r="T79" s="77">
        <v>30.159099999999999</v>
      </c>
      <c r="U79" s="77">
        <v>36.482300000000002</v>
      </c>
      <c r="V79" s="77">
        <v>36.719900000000003</v>
      </c>
      <c r="W79" s="78"/>
      <c r="X79" s="77">
        <v>21.686399999999999</v>
      </c>
      <c r="Y79" s="77">
        <v>21.686399999999999</v>
      </c>
      <c r="Z79" s="77">
        <v>21.686399999999999</v>
      </c>
      <c r="AA79" s="78"/>
      <c r="AB79" s="73"/>
      <c r="AC79" s="73"/>
      <c r="AE79" s="69" t="str">
        <f t="shared" si="16"/>
        <v>·</v>
      </c>
      <c r="AF79" s="70">
        <f t="shared" si="17"/>
        <v>0.98175311915268137</v>
      </c>
      <c r="AG79" s="70">
        <f t="shared" si="18"/>
        <v>0.77826718068957523</v>
      </c>
      <c r="AH79" s="70">
        <f t="shared" si="19"/>
        <v>0.20294247811922761</v>
      </c>
      <c r="AI79" s="75"/>
      <c r="AJ79" s="70">
        <f t="shared" si="20"/>
        <v>0.98175311915268137</v>
      </c>
      <c r="AK79" s="71">
        <v>1000993</v>
      </c>
      <c r="AL79" s="72">
        <v>982728</v>
      </c>
      <c r="AM79" s="72">
        <v>779040</v>
      </c>
      <c r="AN79" s="72">
        <v>203144</v>
      </c>
      <c r="AO79" s="76"/>
      <c r="AP79" s="77">
        <v>30.363</v>
      </c>
      <c r="AQ79" s="77">
        <v>36.665199999999999</v>
      </c>
      <c r="AR79" s="77">
        <v>36.0443</v>
      </c>
      <c r="AS79" s="78"/>
      <c r="AT79" s="77">
        <v>21.686399999999999</v>
      </c>
      <c r="AU79" s="77">
        <v>21.686399999999999</v>
      </c>
      <c r="AV79" s="77">
        <v>21.686399999999999</v>
      </c>
      <c r="AW79" s="78"/>
      <c r="AX79" s="73">
        <v>2.4180000000000001</v>
      </c>
      <c r="AY79" s="73">
        <v>1.8560000000000001</v>
      </c>
      <c r="BA79" s="68">
        <f t="shared" si="21"/>
        <v>-1.454661017842418E-3</v>
      </c>
      <c r="BB79" s="68"/>
      <c r="BD79" s="74"/>
      <c r="BE79" s="74"/>
      <c r="BF79" s="74"/>
      <c r="BG79" s="79"/>
      <c r="BI79" s="74"/>
      <c r="BJ79" s="74"/>
      <c r="BK79" s="74"/>
      <c r="BL79" s="79"/>
      <c r="BN79" s="74"/>
      <c r="BO79" s="74"/>
      <c r="BP79" s="74"/>
      <c r="BQ79" s="79"/>
      <c r="BS79" s="74"/>
      <c r="BT79" s="74"/>
      <c r="BU79" s="74"/>
      <c r="BV79" s="79"/>
    </row>
    <row r="80" spans="1:74" x14ac:dyDescent="0.15">
      <c r="A80" s="31"/>
      <c r="B80" s="31" t="s">
        <v>275</v>
      </c>
      <c r="C80" s="32" t="s">
        <v>225</v>
      </c>
      <c r="D80" s="31">
        <v>2770567</v>
      </c>
      <c r="E80" s="33">
        <v>12</v>
      </c>
      <c r="F80" s="32">
        <v>1</v>
      </c>
      <c r="G80" s="32"/>
      <c r="I80" s="34" t="str">
        <f t="shared" si="11"/>
        <v>·</v>
      </c>
      <c r="J80" s="35">
        <f t="shared" si="12"/>
        <v>8.3637060572799715</v>
      </c>
      <c r="K80" s="35">
        <f t="shared" si="13"/>
        <v>3.9133419260389659</v>
      </c>
      <c r="L80" s="35">
        <f t="shared" si="14"/>
        <v>4.4500320692479196</v>
      </c>
      <c r="M80" s="36"/>
      <c r="N80" s="35">
        <f t="shared" si="15"/>
        <v>8.3637060572799715</v>
      </c>
      <c r="O80" s="37">
        <v>2770567</v>
      </c>
      <c r="P80" s="38">
        <v>23172208</v>
      </c>
      <c r="Q80" s="38">
        <v>10842176</v>
      </c>
      <c r="R80" s="38">
        <v>12329112</v>
      </c>
      <c r="S80" s="39"/>
      <c r="T80" s="40">
        <v>53.134799999999998</v>
      </c>
      <c r="U80" s="40">
        <v>55.755899999999997</v>
      </c>
      <c r="V80" s="40">
        <v>55.316000000000003</v>
      </c>
      <c r="W80" s="41"/>
      <c r="X80" s="40">
        <v>48.130800000000001</v>
      </c>
      <c r="Y80" s="40">
        <v>48.130800000000001</v>
      </c>
      <c r="Z80" s="40">
        <v>48.130800000000001</v>
      </c>
      <c r="AA80" s="41"/>
      <c r="AB80" s="42"/>
      <c r="AC80" s="42"/>
      <c r="AE80" s="34" t="str">
        <f t="shared" si="16"/>
        <v>·</v>
      </c>
      <c r="AF80" s="35">
        <f t="shared" si="17"/>
        <v>8.2383483236463864</v>
      </c>
      <c r="AG80" s="35">
        <f t="shared" si="18"/>
        <v>3.9133419260389659</v>
      </c>
      <c r="AH80" s="35">
        <f t="shared" si="19"/>
        <v>4.3246743356143345</v>
      </c>
      <c r="AI80" s="36"/>
      <c r="AJ80" s="35">
        <f t="shared" si="20"/>
        <v>8.2383483236463864</v>
      </c>
      <c r="AK80" s="37">
        <v>2770567</v>
      </c>
      <c r="AL80" s="38">
        <v>22824896</v>
      </c>
      <c r="AM80" s="38">
        <v>10842176</v>
      </c>
      <c r="AN80" s="38">
        <v>11981800</v>
      </c>
      <c r="AO80" s="39"/>
      <c r="AP80" s="40">
        <v>53.149099999999997</v>
      </c>
      <c r="AQ80" s="40">
        <v>55.777900000000002</v>
      </c>
      <c r="AR80" s="40">
        <v>55.331499999999998</v>
      </c>
      <c r="AS80" s="41"/>
      <c r="AT80" s="40">
        <v>48.130800000000001</v>
      </c>
      <c r="AU80" s="40">
        <v>48.130800000000001</v>
      </c>
      <c r="AV80" s="40">
        <v>48.130800000000001</v>
      </c>
      <c r="AW80" s="41"/>
      <c r="AX80" s="42">
        <v>9.141</v>
      </c>
      <c r="AY80" s="42">
        <v>7.5810000000000004</v>
      </c>
      <c r="BA80" s="43">
        <f t="shared" si="21"/>
        <v>7.1196724893494712E-3</v>
      </c>
      <c r="BB80" s="43">
        <f t="array" ref="BB80">AVERAGE(AM80:AM84/AL80:AL84) - AVERAGE(Q80:Q84/P80:P84)</f>
        <v>7.5087771931831027E-3</v>
      </c>
      <c r="BD80" s="44">
        <f>IF( OR(ISBLANK(R80:R84),ISBLANK(AN80:AN84), ISBLANK(T80:T84),ISBLANK(AP80:AP84)), "·", bdRateExtend( R80:R84,T80:T84, AN80:AN84,AP80:AP84))</f>
        <v>-7.3051282745517088E-2</v>
      </c>
      <c r="BE80" s="44">
        <f>IF( OR(ISBLANK(R80:R84),ISBLANK(AN80:AN84), ISBLANK(U80:U84),ISBLANK(AQ80:AQ84)), "·", bdRateExtend( R80:R84,U80:U84, AN80:AN84,AQ80:AQ84))</f>
        <v>-7.6320043404835669E-2</v>
      </c>
      <c r="BF80" s="44">
        <f>IF( OR(ISBLANK(R80:R84),ISBLANK(AN80:AN84), ISBLANK(V80:V84),ISBLANK(AR80:AR84)), "·", bdRateExtend( R80:R84,V80:V84, AN80:AN84,AR80:AR84))</f>
        <v>-6.121703201276496E-2</v>
      </c>
      <c r="BG80" s="45"/>
      <c r="BI80" s="44">
        <f>IF( OR(ISBLANK(R80:R84),ISBLANK(AN80:AN84), ISBLANK(X80:X84),ISBLANK(AT80:AT84)), "·", bdRateExtend( R80:R84,X80:X84, AN80:AN84,AT80:AT84))</f>
        <v>-5.119890343633926E-2</v>
      </c>
      <c r="BJ80" s="44">
        <f>IF( OR(ISBLANK(R80:R84),ISBLANK(AN80:AN84), ISBLANK(Y80:Y84),ISBLANK(AU80:AU84)), "·", bdRateExtend( R80:R84,Y80:Y84, AN80:AN84,AU80:AU84))</f>
        <v>-5.119890343633926E-2</v>
      </c>
      <c r="BK80" s="44">
        <f>IF( OR(ISBLANK(R80:R84),ISBLANK(AN80:AN84), ISBLANK(Z80:Z84),ISBLANK(AV80:AV84)), "·", bdRateExtend( R80:R84,Z80:Z84, AN80:AN84,AV80:AV84))</f>
        <v>-5.119890343633926E-2</v>
      </c>
      <c r="BL80" s="45"/>
      <c r="BN80" s="44">
        <f>IF( OR(ISBLANK(P80:P84),ISBLANK(AL80:AL84), ISBLANK(T80:T84),ISBLANK(AP80:AP84)), "·", bdRateExtend( P80:P84,T80:T84, AL80:AL84,AP80:AP84))</f>
        <v>-1.5627330852138077E-2</v>
      </c>
      <c r="BO80" s="44">
        <f>IF( OR(ISBLANK(P80:P84),ISBLANK(AL80:AL84), ISBLANK(U80:U84),ISBLANK(AQ80:AQ84)), "·", bdRateExtend( P80:P84,U80:U84, AL80:AL84,AQ80:AQ84))</f>
        <v>-1.6115186252780522E-2</v>
      </c>
      <c r="BP80" s="44">
        <f>IF( OR(ISBLANK(P80:P84),ISBLANK(AL80:AL84), ISBLANK(V80:V84),ISBLANK(AR80:AR84)), "·", bdRateExtend( P80:P84,V80:V84, AL80:AL84,AR80:AR84))</f>
        <v>-1.3760097297532581E-2</v>
      </c>
      <c r="BQ80" s="45"/>
      <c r="BS80" s="44">
        <f>IF( OR(ISBLANK(P80:P84),ISBLANK(AL80:AL84), ISBLANK(X80:X84),ISBLANK(AT80:AT84)), "·", bdRateExtend( P80:P84,X80:X84, AL80:AL84,AT80:AT84))</f>
        <v>-1.1995795963234857E-2</v>
      </c>
      <c r="BT80" s="44">
        <f>IF( OR(ISBLANK(P80:P84),ISBLANK(AL80:AL84), ISBLANK(Y80:Y84),ISBLANK(AU80:AU84)), "·", bdRateExtend( P80:P84,Y80:Y84, AL80:AL84,AU80:AU84))</f>
        <v>-1.1995795963234857E-2</v>
      </c>
      <c r="BU80" s="44">
        <f>IF( OR(ISBLANK(P80:P84),ISBLANK(AL80:AL84), ISBLANK(Z80:Z84),ISBLANK(AV80:AV84)), "·", bdRateExtend( P80:P84,Z80:Z84, AL80:AL84,AV80:AV84))</f>
        <v>-1.1995795963234857E-2</v>
      </c>
      <c r="BV80" s="45"/>
    </row>
    <row r="81" spans="1:74" outlineLevel="1" x14ac:dyDescent="0.15">
      <c r="A81" s="16"/>
      <c r="B81" s="16" t="s">
        <v>275</v>
      </c>
      <c r="C81" s="17" t="s">
        <v>226</v>
      </c>
      <c r="D81" s="16">
        <v>2770567</v>
      </c>
      <c r="E81" s="18">
        <v>12</v>
      </c>
      <c r="F81" s="17">
        <v>1</v>
      </c>
      <c r="G81" s="17"/>
      <c r="I81" s="19" t="str">
        <f t="shared" si="11"/>
        <v>·</v>
      </c>
      <c r="J81" s="20">
        <f t="shared" si="12"/>
        <v>6.7649401728960177</v>
      </c>
      <c r="K81" s="20">
        <f t="shared" si="13"/>
        <v>3.9133419260389659</v>
      </c>
      <c r="L81" s="20">
        <f t="shared" si="14"/>
        <v>2.8512661848639649</v>
      </c>
      <c r="M81" s="21"/>
      <c r="N81" s="20">
        <f t="shared" si="15"/>
        <v>6.7649401728960177</v>
      </c>
      <c r="O81" s="22">
        <v>2770567</v>
      </c>
      <c r="P81" s="23">
        <v>18742720</v>
      </c>
      <c r="Q81" s="23">
        <v>10842176</v>
      </c>
      <c r="R81" s="23">
        <v>7899624</v>
      </c>
      <c r="S81" s="24"/>
      <c r="T81" s="25">
        <v>48.632199999999997</v>
      </c>
      <c r="U81" s="25">
        <v>51.715699999999998</v>
      </c>
      <c r="V81" s="25">
        <v>51.258800000000001</v>
      </c>
      <c r="W81" s="26"/>
      <c r="X81" s="25">
        <v>42.110199999999999</v>
      </c>
      <c r="Y81" s="25">
        <v>42.110199999999999</v>
      </c>
      <c r="Z81" s="25">
        <v>42.110199999999999</v>
      </c>
      <c r="AA81" s="26"/>
      <c r="AB81" s="27"/>
      <c r="AC81" s="27"/>
      <c r="AE81" s="19" t="str">
        <f t="shared" si="16"/>
        <v>·</v>
      </c>
      <c r="AF81" s="20">
        <f t="shared" si="17"/>
        <v>6.6616111431342393</v>
      </c>
      <c r="AG81" s="20">
        <f t="shared" si="18"/>
        <v>3.9133419260389659</v>
      </c>
      <c r="AH81" s="20">
        <f t="shared" si="19"/>
        <v>2.7479371551021865</v>
      </c>
      <c r="AI81" s="21"/>
      <c r="AJ81" s="20">
        <f t="shared" si="20"/>
        <v>6.6616111431342393</v>
      </c>
      <c r="AK81" s="22">
        <v>2770567</v>
      </c>
      <c r="AL81" s="23">
        <v>18456440</v>
      </c>
      <c r="AM81" s="23">
        <v>10842176</v>
      </c>
      <c r="AN81" s="23">
        <v>7613344</v>
      </c>
      <c r="AO81" s="24"/>
      <c r="AP81" s="25">
        <v>48.695399999999999</v>
      </c>
      <c r="AQ81" s="25">
        <v>51.785899999999998</v>
      </c>
      <c r="AR81" s="25">
        <v>51.320900000000002</v>
      </c>
      <c r="AS81" s="26"/>
      <c r="AT81" s="25">
        <v>42.110199999999999</v>
      </c>
      <c r="AU81" s="25">
        <v>42.110199999999999</v>
      </c>
      <c r="AV81" s="25">
        <v>42.110199999999999</v>
      </c>
      <c r="AW81" s="26"/>
      <c r="AX81" s="27">
        <v>9.4060000000000006</v>
      </c>
      <c r="AY81" s="27">
        <v>7.6280000000000001</v>
      </c>
      <c r="BA81" s="28">
        <f t="shared" si="21"/>
        <v>8.9727777146305643E-3</v>
      </c>
      <c r="BB81" s="28"/>
      <c r="BD81" s="29"/>
      <c r="BE81" s="29"/>
      <c r="BF81" s="29"/>
      <c r="BG81" s="30"/>
      <c r="BI81" s="29"/>
      <c r="BJ81" s="29"/>
      <c r="BK81" s="29"/>
      <c r="BL81" s="30"/>
      <c r="BN81" s="29"/>
      <c r="BO81" s="29"/>
      <c r="BP81" s="29"/>
      <c r="BQ81" s="30"/>
      <c r="BS81" s="29"/>
      <c r="BT81" s="29"/>
      <c r="BU81" s="29"/>
      <c r="BV81" s="30"/>
    </row>
    <row r="82" spans="1:74" outlineLevel="1" x14ac:dyDescent="0.15">
      <c r="A82" s="31"/>
      <c r="B82" s="31" t="s">
        <v>275</v>
      </c>
      <c r="C82" s="32" t="s">
        <v>227</v>
      </c>
      <c r="D82" s="31">
        <v>2770567</v>
      </c>
      <c r="E82" s="33">
        <v>12</v>
      </c>
      <c r="F82" s="32">
        <v>1</v>
      </c>
      <c r="G82" s="32"/>
      <c r="I82" s="34" t="str">
        <f t="shared" si="11"/>
        <v>·</v>
      </c>
      <c r="J82" s="35">
        <f t="shared" si="12"/>
        <v>5.2772187064958187</v>
      </c>
      <c r="K82" s="35">
        <f t="shared" si="13"/>
        <v>3.9133419260389659</v>
      </c>
      <c r="L82" s="35">
        <f t="shared" si="14"/>
        <v>1.3635447184637657</v>
      </c>
      <c r="M82" s="36"/>
      <c r="N82" s="35">
        <f t="shared" si="15"/>
        <v>5.2772187064958187</v>
      </c>
      <c r="O82" s="37">
        <v>2770567</v>
      </c>
      <c r="P82" s="38">
        <v>14620888</v>
      </c>
      <c r="Q82" s="38">
        <v>10842176</v>
      </c>
      <c r="R82" s="38">
        <v>3777792</v>
      </c>
      <c r="S82" s="39"/>
      <c r="T82" s="40">
        <v>41.895099999999999</v>
      </c>
      <c r="U82" s="40">
        <v>45.825200000000002</v>
      </c>
      <c r="V82" s="40">
        <v>45.064900000000002</v>
      </c>
      <c r="W82" s="41"/>
      <c r="X82" s="40">
        <v>34.151400000000002</v>
      </c>
      <c r="Y82" s="40">
        <v>34.151400000000002</v>
      </c>
      <c r="Z82" s="40">
        <v>34.151400000000002</v>
      </c>
      <c r="AA82" s="41"/>
      <c r="AB82" s="42"/>
      <c r="AC82" s="42"/>
      <c r="AE82" s="34" t="str">
        <f t="shared" si="16"/>
        <v>·</v>
      </c>
      <c r="AF82" s="35">
        <f t="shared" si="17"/>
        <v>5.2064028771006079</v>
      </c>
      <c r="AG82" s="35">
        <f t="shared" si="18"/>
        <v>3.9133419260389659</v>
      </c>
      <c r="AH82" s="35">
        <f t="shared" si="19"/>
        <v>1.2927288890685553</v>
      </c>
      <c r="AI82" s="36"/>
      <c r="AJ82" s="35">
        <f t="shared" si="20"/>
        <v>5.2064028771006079</v>
      </c>
      <c r="AK82" s="37">
        <v>2770567</v>
      </c>
      <c r="AL82" s="38">
        <v>14424688</v>
      </c>
      <c r="AM82" s="38">
        <v>10842176</v>
      </c>
      <c r="AN82" s="38">
        <v>3581592</v>
      </c>
      <c r="AO82" s="39"/>
      <c r="AP82" s="40">
        <v>42.046399999999998</v>
      </c>
      <c r="AQ82" s="40">
        <v>45.921199999999999</v>
      </c>
      <c r="AR82" s="40">
        <v>45.177</v>
      </c>
      <c r="AS82" s="41"/>
      <c r="AT82" s="40">
        <v>34.151400000000002</v>
      </c>
      <c r="AU82" s="40">
        <v>34.151400000000002</v>
      </c>
      <c r="AV82" s="40">
        <v>34.151400000000002</v>
      </c>
      <c r="AW82" s="41"/>
      <c r="AX82" s="42">
        <v>9.6869999999999994</v>
      </c>
      <c r="AY82" s="42">
        <v>7.5190000000000001</v>
      </c>
      <c r="BA82" s="43">
        <f t="shared" si="21"/>
        <v>1.0086378868694568E-2</v>
      </c>
      <c r="BB82" s="43"/>
      <c r="BD82" s="44"/>
      <c r="BE82" s="44"/>
      <c r="BF82" s="44"/>
      <c r="BG82" s="45"/>
      <c r="BI82" s="44"/>
      <c r="BJ82" s="44"/>
      <c r="BK82" s="44"/>
      <c r="BL82" s="45"/>
      <c r="BN82" s="44"/>
      <c r="BO82" s="44"/>
      <c r="BP82" s="44"/>
      <c r="BQ82" s="45"/>
      <c r="BS82" s="44"/>
      <c r="BT82" s="44"/>
      <c r="BU82" s="44"/>
      <c r="BV82" s="45"/>
    </row>
    <row r="83" spans="1:74" outlineLevel="1" x14ac:dyDescent="0.15">
      <c r="A83" s="16"/>
      <c r="B83" s="16" t="s">
        <v>275</v>
      </c>
      <c r="C83" s="17" t="s">
        <v>228</v>
      </c>
      <c r="D83" s="16">
        <v>2770567</v>
      </c>
      <c r="E83" s="18">
        <v>12</v>
      </c>
      <c r="F83" s="17">
        <v>1</v>
      </c>
      <c r="G83" s="17"/>
      <c r="I83" s="19" t="str">
        <f t="shared" si="11"/>
        <v>·</v>
      </c>
      <c r="J83" s="20">
        <f t="shared" si="12"/>
        <v>4.5274371635842048</v>
      </c>
      <c r="K83" s="20">
        <f t="shared" si="13"/>
        <v>3.9133419260389659</v>
      </c>
      <c r="L83" s="20">
        <f t="shared" si="14"/>
        <v>0.61376317555215232</v>
      </c>
      <c r="M83" s="21"/>
      <c r="N83" s="20">
        <f t="shared" si="15"/>
        <v>4.5274371635842048</v>
      </c>
      <c r="O83" s="22">
        <v>2770567</v>
      </c>
      <c r="P83" s="23">
        <v>12543568</v>
      </c>
      <c r="Q83" s="23">
        <v>10842176</v>
      </c>
      <c r="R83" s="23">
        <v>1700472</v>
      </c>
      <c r="S83" s="24"/>
      <c r="T83" s="25">
        <v>36.407299999999999</v>
      </c>
      <c r="U83" s="25">
        <v>40.854100000000003</v>
      </c>
      <c r="V83" s="25">
        <v>39.680799999999998</v>
      </c>
      <c r="W83" s="26"/>
      <c r="X83" s="25">
        <v>28.130800000000001</v>
      </c>
      <c r="Y83" s="25">
        <v>28.130800000000001</v>
      </c>
      <c r="Z83" s="25">
        <v>28.130800000000001</v>
      </c>
      <c r="AA83" s="26"/>
      <c r="AB83" s="27"/>
      <c r="AC83" s="27"/>
      <c r="AE83" s="19" t="str">
        <f t="shared" si="16"/>
        <v>·</v>
      </c>
      <c r="AF83" s="20">
        <f t="shared" si="17"/>
        <v>4.4874135871826955</v>
      </c>
      <c r="AG83" s="20">
        <f t="shared" si="18"/>
        <v>3.9133419260389659</v>
      </c>
      <c r="AH83" s="20">
        <f t="shared" si="19"/>
        <v>0.57373959915064321</v>
      </c>
      <c r="AI83" s="21"/>
      <c r="AJ83" s="20">
        <f t="shared" si="20"/>
        <v>4.4874135871826955</v>
      </c>
      <c r="AK83" s="22">
        <v>2770567</v>
      </c>
      <c r="AL83" s="23">
        <v>12432680</v>
      </c>
      <c r="AM83" s="23">
        <v>10842176</v>
      </c>
      <c r="AN83" s="23">
        <v>1589584</v>
      </c>
      <c r="AO83" s="24"/>
      <c r="AP83" s="25">
        <v>36.671700000000001</v>
      </c>
      <c r="AQ83" s="25">
        <v>41.188099999999999</v>
      </c>
      <c r="AR83" s="25">
        <v>39.766100000000002</v>
      </c>
      <c r="AS83" s="26"/>
      <c r="AT83" s="25">
        <v>28.130800000000001</v>
      </c>
      <c r="AU83" s="25">
        <v>28.130800000000001</v>
      </c>
      <c r="AV83" s="25">
        <v>28.130800000000001</v>
      </c>
      <c r="AW83" s="26"/>
      <c r="AX83" s="27">
        <v>9.968</v>
      </c>
      <c r="AY83" s="27">
        <v>7.4720000000000004</v>
      </c>
      <c r="BA83" s="28">
        <f t="shared" si="21"/>
        <v>7.7093037820903376E-3</v>
      </c>
      <c r="BB83" s="28"/>
      <c r="BD83" s="29"/>
      <c r="BE83" s="29"/>
      <c r="BF83" s="29"/>
      <c r="BG83" s="30"/>
      <c r="BI83" s="29"/>
      <c r="BJ83" s="29"/>
      <c r="BK83" s="29"/>
      <c r="BL83" s="30"/>
      <c r="BN83" s="29"/>
      <c r="BO83" s="29"/>
      <c r="BP83" s="29"/>
      <c r="BQ83" s="30"/>
      <c r="BS83" s="29"/>
      <c r="BT83" s="29"/>
      <c r="BU83" s="29"/>
      <c r="BV83" s="30"/>
    </row>
    <row r="84" spans="1:74" outlineLevel="1" x14ac:dyDescent="0.15">
      <c r="A84" s="31"/>
      <c r="B84" s="46" t="s">
        <v>275</v>
      </c>
      <c r="C84" s="47" t="s">
        <v>229</v>
      </c>
      <c r="D84" s="46">
        <v>2770567</v>
      </c>
      <c r="E84" s="48">
        <v>12</v>
      </c>
      <c r="F84" s="47">
        <v>1</v>
      </c>
      <c r="G84" s="47"/>
      <c r="I84" s="49" t="str">
        <f t="shared" si="11"/>
        <v>·</v>
      </c>
      <c r="J84" s="50">
        <f t="shared" si="12"/>
        <v>4.1212878085965796</v>
      </c>
      <c r="K84" s="50">
        <f t="shared" si="13"/>
        <v>3.9133419260389659</v>
      </c>
      <c r="L84" s="50">
        <f t="shared" si="14"/>
        <v>0.20761382056452704</v>
      </c>
      <c r="M84" s="51"/>
      <c r="N84" s="50">
        <f t="shared" si="15"/>
        <v>4.1212878085965796</v>
      </c>
      <c r="O84" s="52">
        <v>2770567</v>
      </c>
      <c r="P84" s="53">
        <v>11418304</v>
      </c>
      <c r="Q84" s="53">
        <v>10842176</v>
      </c>
      <c r="R84" s="53">
        <v>575208</v>
      </c>
      <c r="S84" s="54"/>
      <c r="T84" s="55">
        <v>30.6526</v>
      </c>
      <c r="U84" s="55">
        <v>35.864800000000002</v>
      </c>
      <c r="V84" s="55">
        <v>33.457299999999996</v>
      </c>
      <c r="W84" s="56"/>
      <c r="X84" s="55">
        <v>21.686399999999999</v>
      </c>
      <c r="Y84" s="55">
        <v>21.686399999999999</v>
      </c>
      <c r="Z84" s="55">
        <v>21.686399999999999</v>
      </c>
      <c r="AA84" s="56"/>
      <c r="AB84" s="57"/>
      <c r="AC84" s="57"/>
      <c r="AE84" s="49" t="str">
        <f t="shared" si="16"/>
        <v>·</v>
      </c>
      <c r="AF84" s="50">
        <f t="shared" si="17"/>
        <v>4.1054816577256572</v>
      </c>
      <c r="AG84" s="50">
        <f t="shared" si="18"/>
        <v>3.9133419260389659</v>
      </c>
      <c r="AH84" s="50">
        <f t="shared" si="19"/>
        <v>0.19180766969360424</v>
      </c>
      <c r="AI84" s="51"/>
      <c r="AJ84" s="50">
        <f t="shared" si="20"/>
        <v>4.1054816577256572</v>
      </c>
      <c r="AK84" s="52">
        <v>2770567</v>
      </c>
      <c r="AL84" s="53">
        <v>11374512</v>
      </c>
      <c r="AM84" s="53">
        <v>10842176</v>
      </c>
      <c r="AN84" s="53">
        <v>531416</v>
      </c>
      <c r="AO84" s="54"/>
      <c r="AP84" s="55">
        <v>30.772200000000002</v>
      </c>
      <c r="AQ84" s="55">
        <v>35.923999999999999</v>
      </c>
      <c r="AR84" s="55">
        <v>33.3752</v>
      </c>
      <c r="AS84" s="56"/>
      <c r="AT84" s="55">
        <v>21.686399999999999</v>
      </c>
      <c r="AU84" s="55">
        <v>21.686399999999999</v>
      </c>
      <c r="AV84" s="55">
        <v>21.686399999999999</v>
      </c>
      <c r="AW84" s="56"/>
      <c r="AX84" s="57">
        <v>11.388</v>
      </c>
      <c r="AY84" s="57">
        <v>9.952</v>
      </c>
      <c r="BA84" s="58">
        <f t="shared" si="21"/>
        <v>3.655753111150406E-3</v>
      </c>
      <c r="BB84" s="58"/>
      <c r="BD84" s="59"/>
      <c r="BE84" s="59"/>
      <c r="BF84" s="59"/>
      <c r="BG84" s="60"/>
      <c r="BI84" s="59"/>
      <c r="BJ84" s="59"/>
      <c r="BK84" s="59"/>
      <c r="BL84" s="60"/>
      <c r="BN84" s="59"/>
      <c r="BO84" s="59"/>
      <c r="BP84" s="59"/>
      <c r="BQ84" s="60"/>
      <c r="BS84" s="59"/>
      <c r="BT84" s="59"/>
      <c r="BU84" s="59"/>
      <c r="BV84" s="60"/>
    </row>
    <row r="85" spans="1:74" x14ac:dyDescent="0.15">
      <c r="A85" s="16"/>
      <c r="B85" s="16" t="s">
        <v>278</v>
      </c>
      <c r="C85" s="17" t="s">
        <v>225</v>
      </c>
      <c r="D85" s="16">
        <v>757691</v>
      </c>
      <c r="E85" s="18">
        <v>10</v>
      </c>
      <c r="F85" s="17">
        <v>1</v>
      </c>
      <c r="G85" s="17"/>
      <c r="I85" s="19" t="str">
        <f t="shared" si="11"/>
        <v>·</v>
      </c>
      <c r="J85" s="20">
        <f t="shared" si="12"/>
        <v>7.029028984110937</v>
      </c>
      <c r="K85" s="20">
        <f t="shared" si="13"/>
        <v>1.1048936835728549</v>
      </c>
      <c r="L85" s="20">
        <f t="shared" si="14"/>
        <v>5.9234278881496545</v>
      </c>
      <c r="M85" s="21"/>
      <c r="N85" s="20">
        <f t="shared" si="15"/>
        <v>7.029028984110937</v>
      </c>
      <c r="O85" s="22">
        <v>757691</v>
      </c>
      <c r="P85" s="23">
        <v>5325832</v>
      </c>
      <c r="Q85" s="23">
        <v>837168</v>
      </c>
      <c r="R85" s="23">
        <v>4488128</v>
      </c>
      <c r="S85" s="24"/>
      <c r="T85" s="25">
        <v>53.201799999999999</v>
      </c>
      <c r="U85" s="25">
        <v>55.515999999999998</v>
      </c>
      <c r="V85" s="25">
        <v>55.207599999999999</v>
      </c>
      <c r="W85" s="26"/>
      <c r="X85" s="25">
        <v>48.130800000000001</v>
      </c>
      <c r="Y85" s="25">
        <v>48.130800000000001</v>
      </c>
      <c r="Z85" s="25">
        <v>48.130800000000001</v>
      </c>
      <c r="AA85" s="26"/>
      <c r="AB85" s="27"/>
      <c r="AC85" s="27"/>
      <c r="AE85" s="19" t="str">
        <f t="shared" si="16"/>
        <v>·</v>
      </c>
      <c r="AF85" s="20">
        <f t="shared" si="17"/>
        <v>6.9961501456398452</v>
      </c>
      <c r="AG85" s="20">
        <f t="shared" si="18"/>
        <v>1.1048936835728549</v>
      </c>
      <c r="AH85" s="20">
        <f t="shared" si="19"/>
        <v>5.8905490496785626</v>
      </c>
      <c r="AI85" s="21"/>
      <c r="AJ85" s="20">
        <f t="shared" si="20"/>
        <v>6.9961501456398452</v>
      </c>
      <c r="AK85" s="22">
        <v>757691</v>
      </c>
      <c r="AL85" s="23">
        <v>5300920</v>
      </c>
      <c r="AM85" s="23">
        <v>837168</v>
      </c>
      <c r="AN85" s="23">
        <v>4463216</v>
      </c>
      <c r="AO85" s="24"/>
      <c r="AP85" s="25">
        <v>53.2027</v>
      </c>
      <c r="AQ85" s="25">
        <v>55.546300000000002</v>
      </c>
      <c r="AR85" s="25">
        <v>55.196300000000001</v>
      </c>
      <c r="AS85" s="26"/>
      <c r="AT85" s="25">
        <v>48.130800000000001</v>
      </c>
      <c r="AU85" s="25">
        <v>48.130800000000001</v>
      </c>
      <c r="AV85" s="25">
        <v>48.130800000000001</v>
      </c>
      <c r="AW85" s="26"/>
      <c r="AX85" s="27">
        <v>2.012</v>
      </c>
      <c r="AY85" s="27">
        <v>1.6220000000000001</v>
      </c>
      <c r="BA85" s="28">
        <f t="shared" si="21"/>
        <v>7.3872449852718791E-4</v>
      </c>
      <c r="BB85" s="28">
        <f t="array" ref="BB85">AVERAGE(AM85:AM89/AL85:AL89) - AVERAGE(Q85:Q89/P85:P89)</f>
        <v>3.0278170071471044E-3</v>
      </c>
      <c r="BD85" s="29">
        <f>IF( OR(ISBLANK(R85:R89),ISBLANK(AN85:AN89), ISBLANK(T85:T89),ISBLANK(AP85:AP89)), "·", bdRateExtend( R85:R89,T85:T89, AN85:AN89,AP85:AP89))</f>
        <v>-2.918832431007734E-2</v>
      </c>
      <c r="BE85" s="29">
        <f>IF( OR(ISBLANK(R85:R89),ISBLANK(AN85:AN89), ISBLANK(U85:U89),ISBLANK(AQ85:AQ89)), "·", bdRateExtend( R85:R89,U85:U89, AN85:AN89,AQ85:AQ89))</f>
        <v>-9.4049589312009685E-3</v>
      </c>
      <c r="BF85" s="29">
        <f>IF( OR(ISBLANK(R85:R89),ISBLANK(AN85:AN89), ISBLANK(V85:V89),ISBLANK(AR85:AR89)), "·", bdRateExtend( R85:R89,V85:V89, AN85:AN89,AR85:AR89))</f>
        <v>-1.6341258429375172E-2</v>
      </c>
      <c r="BG85" s="30"/>
      <c r="BI85" s="29">
        <f>IF( OR(ISBLANK(R85:R89),ISBLANK(AN85:AN89), ISBLANK(X85:X89),ISBLANK(AT85:AT89)), "·", bdRateExtend( R85:R89,X85:X89, AN85:AN89,AT85:AT89))</f>
        <v>-1.3699889863887593E-2</v>
      </c>
      <c r="BJ85" s="29">
        <f>IF( OR(ISBLANK(R85:R89),ISBLANK(AN85:AN89), ISBLANK(Y85:Y89),ISBLANK(AU85:AU89)), "·", bdRateExtend( R85:R89,Y85:Y89, AN85:AN89,AU85:AU89))</f>
        <v>-1.3699889863887593E-2</v>
      </c>
      <c r="BK85" s="29">
        <f>IF( OR(ISBLANK(R85:R89),ISBLANK(AN85:AN89), ISBLANK(Z85:Z89),ISBLANK(AV85:AV89)), "·", bdRateExtend( R85:R89,Z85:Z89, AN85:AN89,AV85:AV89))</f>
        <v>-1.3699889863887593E-2</v>
      </c>
      <c r="BL85" s="30"/>
      <c r="BN85" s="29">
        <f>IF( OR(ISBLANK(P85:P89),ISBLANK(AL85:AL89), ISBLANK(T85:T89),ISBLANK(AP85:AP89)), "·", bdRateExtend( P85:P89,T85:T89, AL85:AL89,AP85:AP89))</f>
        <v>-1.5095108214043251E-2</v>
      </c>
      <c r="BO85" s="29">
        <f>IF( OR(ISBLANK(P85:P89),ISBLANK(AL85:AL89), ISBLANK(U85:U89),ISBLANK(AQ85:AQ89)), "·", bdRateExtend( P85:P89,U85:U89, AL85:AL89,AQ85:AQ89))</f>
        <v>-4.6984227882131968E-3</v>
      </c>
      <c r="BP85" s="29">
        <f>IF( OR(ISBLANK(P85:P89),ISBLANK(AL85:AL89), ISBLANK(V85:V89),ISBLANK(AR85:AR89)), "·", bdRateExtend( P85:P89,V85:V89, AL85:AL89,AR85:AR89))</f>
        <v>-9.5555541401527444E-3</v>
      </c>
      <c r="BQ85" s="30"/>
      <c r="BS85" s="29">
        <f>IF( OR(ISBLANK(P85:P89),ISBLANK(AL85:AL89), ISBLANK(X85:X89),ISBLANK(AT85:AT89)), "·", bdRateExtend( P85:P89,X85:X89, AL85:AL89,AT85:AT89))</f>
        <v>-7.6037938082754719E-3</v>
      </c>
      <c r="BT85" s="29">
        <f>IF( OR(ISBLANK(P85:P89),ISBLANK(AL85:AL89), ISBLANK(Y85:Y89),ISBLANK(AU85:AU89)), "·", bdRateExtend( P85:P89,Y85:Y89, AL85:AL89,AU85:AU89))</f>
        <v>-7.6037938082754719E-3</v>
      </c>
      <c r="BU85" s="29">
        <f>IF( OR(ISBLANK(P85:P89),ISBLANK(AL85:AL89), ISBLANK(Z85:Z89),ISBLANK(AV85:AV89)), "·", bdRateExtend( P85:P89,Z85:Z89, AL85:AL89,AV85:AV89))</f>
        <v>-7.6037938082754719E-3</v>
      </c>
      <c r="BV85" s="30"/>
    </row>
    <row r="86" spans="1:74" outlineLevel="1" x14ac:dyDescent="0.15">
      <c r="A86" s="31"/>
      <c r="B86" s="31" t="s">
        <v>278</v>
      </c>
      <c r="C86" s="32" t="s">
        <v>226</v>
      </c>
      <c r="D86" s="31">
        <v>757691</v>
      </c>
      <c r="E86" s="33">
        <v>10</v>
      </c>
      <c r="F86" s="32">
        <v>1</v>
      </c>
      <c r="G86" s="32"/>
      <c r="I86" s="34" t="str">
        <f t="shared" si="11"/>
        <v>·</v>
      </c>
      <c r="J86" s="35">
        <f t="shared" si="12"/>
        <v>5.0938971163706581</v>
      </c>
      <c r="K86" s="35">
        <f t="shared" si="13"/>
        <v>1.1048936835728549</v>
      </c>
      <c r="L86" s="35">
        <f t="shared" si="14"/>
        <v>3.9882960204093751</v>
      </c>
      <c r="M86" s="36"/>
      <c r="N86" s="35">
        <f t="shared" si="15"/>
        <v>5.0938971163706581</v>
      </c>
      <c r="O86" s="37">
        <v>757691</v>
      </c>
      <c r="P86" s="38">
        <v>3859600</v>
      </c>
      <c r="Q86" s="38">
        <v>837168</v>
      </c>
      <c r="R86" s="38">
        <v>3021896</v>
      </c>
      <c r="S86" s="39"/>
      <c r="T86" s="40">
        <v>48.546100000000003</v>
      </c>
      <c r="U86" s="40">
        <v>51.338000000000001</v>
      </c>
      <c r="V86" s="40">
        <v>50.9863</v>
      </c>
      <c r="W86" s="41"/>
      <c r="X86" s="40">
        <v>42.110199999999999</v>
      </c>
      <c r="Y86" s="40">
        <v>42.110199999999999</v>
      </c>
      <c r="Z86" s="40">
        <v>42.110199999999999</v>
      </c>
      <c r="AA86" s="41"/>
      <c r="AB86" s="42"/>
      <c r="AC86" s="42"/>
      <c r="AE86" s="34" t="str">
        <f t="shared" si="16"/>
        <v>·</v>
      </c>
      <c r="AF86" s="35">
        <f t="shared" si="17"/>
        <v>5.0610499530811373</v>
      </c>
      <c r="AG86" s="35">
        <f t="shared" si="18"/>
        <v>1.1048936835728549</v>
      </c>
      <c r="AH86" s="35">
        <f t="shared" si="19"/>
        <v>3.9554488571198547</v>
      </c>
      <c r="AI86" s="36"/>
      <c r="AJ86" s="35">
        <f t="shared" si="20"/>
        <v>5.0610499530811373</v>
      </c>
      <c r="AK86" s="37">
        <v>757691</v>
      </c>
      <c r="AL86" s="38">
        <v>3834712</v>
      </c>
      <c r="AM86" s="38">
        <v>837168</v>
      </c>
      <c r="AN86" s="38">
        <v>2997008</v>
      </c>
      <c r="AO86" s="39"/>
      <c r="AP86" s="40">
        <v>48.594499999999996</v>
      </c>
      <c r="AQ86" s="40">
        <v>51.359400000000001</v>
      </c>
      <c r="AR86" s="40">
        <v>51.012099999999997</v>
      </c>
      <c r="AS86" s="41"/>
      <c r="AT86" s="40">
        <v>42.110199999999999</v>
      </c>
      <c r="AU86" s="40">
        <v>42.110199999999999</v>
      </c>
      <c r="AV86" s="40">
        <v>42.110199999999999</v>
      </c>
      <c r="AW86" s="41"/>
      <c r="AX86" s="42">
        <v>1.9339999999999999</v>
      </c>
      <c r="AY86" s="42">
        <v>1.6220000000000001</v>
      </c>
      <c r="BA86" s="43">
        <f t="shared" si="21"/>
        <v>1.4077565844496653E-3</v>
      </c>
      <c r="BB86" s="43"/>
      <c r="BD86" s="44"/>
      <c r="BE86" s="44"/>
      <c r="BF86" s="44"/>
      <c r="BG86" s="45"/>
      <c r="BI86" s="44"/>
      <c r="BJ86" s="44"/>
      <c r="BK86" s="44"/>
      <c r="BL86" s="45"/>
      <c r="BN86" s="44"/>
      <c r="BO86" s="44"/>
      <c r="BP86" s="44"/>
      <c r="BQ86" s="45"/>
      <c r="BS86" s="44"/>
      <c r="BT86" s="44"/>
      <c r="BU86" s="44"/>
      <c r="BV86" s="45"/>
    </row>
    <row r="87" spans="1:74" outlineLevel="1" x14ac:dyDescent="0.15">
      <c r="A87" s="16"/>
      <c r="B87" s="16" t="s">
        <v>278</v>
      </c>
      <c r="C87" s="17" t="s">
        <v>227</v>
      </c>
      <c r="D87" s="16">
        <v>757691</v>
      </c>
      <c r="E87" s="18">
        <v>10</v>
      </c>
      <c r="F87" s="17">
        <v>1</v>
      </c>
      <c r="G87" s="17"/>
      <c r="I87" s="19" t="str">
        <f t="shared" si="11"/>
        <v>·</v>
      </c>
      <c r="J87" s="20">
        <f t="shared" si="12"/>
        <v>3.2019279627183113</v>
      </c>
      <c r="K87" s="20">
        <f t="shared" si="13"/>
        <v>1.1048936835728549</v>
      </c>
      <c r="L87" s="20">
        <f t="shared" si="14"/>
        <v>2.0963268667570287</v>
      </c>
      <c r="M87" s="21"/>
      <c r="N87" s="20">
        <f t="shared" si="15"/>
        <v>3.2019279627183113</v>
      </c>
      <c r="O87" s="22">
        <v>757691</v>
      </c>
      <c r="P87" s="23">
        <v>2426072</v>
      </c>
      <c r="Q87" s="23">
        <v>837168</v>
      </c>
      <c r="R87" s="23">
        <v>1588368</v>
      </c>
      <c r="S87" s="24"/>
      <c r="T87" s="25">
        <v>41.807200000000002</v>
      </c>
      <c r="U87" s="25">
        <v>45.5261</v>
      </c>
      <c r="V87" s="25">
        <v>44.843299999999999</v>
      </c>
      <c r="W87" s="26"/>
      <c r="X87" s="25">
        <v>34.151400000000002</v>
      </c>
      <c r="Y87" s="25">
        <v>34.151400000000002</v>
      </c>
      <c r="Z87" s="25">
        <v>34.151400000000002</v>
      </c>
      <c r="AA87" s="26"/>
      <c r="AB87" s="27"/>
      <c r="AC87" s="27"/>
      <c r="AE87" s="19" t="str">
        <f t="shared" si="16"/>
        <v>·</v>
      </c>
      <c r="AF87" s="20">
        <f t="shared" si="17"/>
        <v>3.1717520730746438</v>
      </c>
      <c r="AG87" s="20">
        <f t="shared" si="18"/>
        <v>1.1048936835728549</v>
      </c>
      <c r="AH87" s="20">
        <f t="shared" si="19"/>
        <v>2.0661509771133617</v>
      </c>
      <c r="AI87" s="21"/>
      <c r="AJ87" s="20">
        <f t="shared" si="20"/>
        <v>3.1717520730746438</v>
      </c>
      <c r="AK87" s="22">
        <v>757691</v>
      </c>
      <c r="AL87" s="23">
        <v>2403208</v>
      </c>
      <c r="AM87" s="23">
        <v>837168</v>
      </c>
      <c r="AN87" s="23">
        <v>1565504</v>
      </c>
      <c r="AO87" s="24"/>
      <c r="AP87" s="25">
        <v>41.918599999999998</v>
      </c>
      <c r="AQ87" s="25">
        <v>45.487200000000001</v>
      </c>
      <c r="AR87" s="25">
        <v>44.906999999999996</v>
      </c>
      <c r="AS87" s="26"/>
      <c r="AT87" s="25">
        <v>34.151400000000002</v>
      </c>
      <c r="AU87" s="25">
        <v>34.151400000000002</v>
      </c>
      <c r="AV87" s="25">
        <v>34.151400000000002</v>
      </c>
      <c r="AW87" s="26"/>
      <c r="AX87" s="27">
        <v>1.9650000000000001</v>
      </c>
      <c r="AY87" s="27">
        <v>1.544</v>
      </c>
      <c r="BA87" s="28">
        <f t="shared" si="21"/>
        <v>3.2829916967743733E-3</v>
      </c>
      <c r="BB87" s="28"/>
      <c r="BD87" s="29"/>
      <c r="BE87" s="29"/>
      <c r="BF87" s="29"/>
      <c r="BG87" s="30"/>
      <c r="BI87" s="29"/>
      <c r="BJ87" s="29"/>
      <c r="BK87" s="29"/>
      <c r="BL87" s="30"/>
      <c r="BN87" s="29"/>
      <c r="BO87" s="29"/>
      <c r="BP87" s="29"/>
      <c r="BQ87" s="30"/>
      <c r="BS87" s="29"/>
      <c r="BT87" s="29"/>
      <c r="BU87" s="29"/>
      <c r="BV87" s="30"/>
    </row>
    <row r="88" spans="1:74" outlineLevel="1" x14ac:dyDescent="0.15">
      <c r="A88" s="31"/>
      <c r="B88" s="31" t="s">
        <v>278</v>
      </c>
      <c r="C88" s="32" t="s">
        <v>228</v>
      </c>
      <c r="D88" s="31">
        <v>757691</v>
      </c>
      <c r="E88" s="33">
        <v>10</v>
      </c>
      <c r="F88" s="32">
        <v>1</v>
      </c>
      <c r="G88" s="32"/>
      <c r="I88" s="34" t="str">
        <f t="shared" si="11"/>
        <v>·</v>
      </c>
      <c r="J88" s="35">
        <f t="shared" si="12"/>
        <v>2.1500162995205168</v>
      </c>
      <c r="K88" s="35">
        <f t="shared" si="13"/>
        <v>1.1048936835728549</v>
      </c>
      <c r="L88" s="35">
        <f t="shared" si="14"/>
        <v>1.0444152035592347</v>
      </c>
      <c r="M88" s="36"/>
      <c r="N88" s="35">
        <f t="shared" si="15"/>
        <v>2.1500162995205168</v>
      </c>
      <c r="O88" s="37">
        <v>757691</v>
      </c>
      <c r="P88" s="38">
        <v>1629048</v>
      </c>
      <c r="Q88" s="38">
        <v>837168</v>
      </c>
      <c r="R88" s="38">
        <v>791344</v>
      </c>
      <c r="S88" s="39"/>
      <c r="T88" s="40">
        <v>36.422699999999999</v>
      </c>
      <c r="U88" s="40">
        <v>40.814</v>
      </c>
      <c r="V88" s="40">
        <v>39.511600000000001</v>
      </c>
      <c r="W88" s="41"/>
      <c r="X88" s="40">
        <v>28.130800000000001</v>
      </c>
      <c r="Y88" s="40">
        <v>28.130800000000001</v>
      </c>
      <c r="Z88" s="40">
        <v>28.130800000000001</v>
      </c>
      <c r="AA88" s="41"/>
      <c r="AB88" s="42"/>
      <c r="AC88" s="42"/>
      <c r="AE88" s="34" t="str">
        <f t="shared" si="16"/>
        <v>·</v>
      </c>
      <c r="AF88" s="35">
        <f t="shared" si="17"/>
        <v>2.1325527160808297</v>
      </c>
      <c r="AG88" s="35">
        <f t="shared" si="18"/>
        <v>1.1048936835728549</v>
      </c>
      <c r="AH88" s="35">
        <f t="shared" si="19"/>
        <v>1.0269516201195474</v>
      </c>
      <c r="AI88" s="36"/>
      <c r="AJ88" s="35">
        <f t="shared" si="20"/>
        <v>2.1325527160808297</v>
      </c>
      <c r="AK88" s="37">
        <v>757691</v>
      </c>
      <c r="AL88" s="38">
        <v>1615816</v>
      </c>
      <c r="AM88" s="38">
        <v>837168</v>
      </c>
      <c r="AN88" s="38">
        <v>778112</v>
      </c>
      <c r="AO88" s="39"/>
      <c r="AP88" s="40">
        <v>36.583100000000002</v>
      </c>
      <c r="AQ88" s="40">
        <v>40.616100000000003</v>
      </c>
      <c r="AR88" s="40">
        <v>39.554400000000001</v>
      </c>
      <c r="AS88" s="41"/>
      <c r="AT88" s="40">
        <v>28.130800000000001</v>
      </c>
      <c r="AU88" s="40">
        <v>28.130800000000001</v>
      </c>
      <c r="AV88" s="40">
        <v>28.130800000000001</v>
      </c>
      <c r="AW88" s="41"/>
      <c r="AX88" s="42">
        <v>1.9179999999999999</v>
      </c>
      <c r="AY88" s="42">
        <v>1.544</v>
      </c>
      <c r="BA88" s="43">
        <f t="shared" si="21"/>
        <v>4.2083545966410396E-3</v>
      </c>
      <c r="BB88" s="43"/>
      <c r="BD88" s="44"/>
      <c r="BE88" s="44"/>
      <c r="BF88" s="44"/>
      <c r="BG88" s="45"/>
      <c r="BI88" s="44"/>
      <c r="BJ88" s="44"/>
      <c r="BK88" s="44"/>
      <c r="BL88" s="45"/>
      <c r="BN88" s="44"/>
      <c r="BO88" s="44"/>
      <c r="BP88" s="44"/>
      <c r="BQ88" s="45"/>
      <c r="BS88" s="44"/>
      <c r="BT88" s="44"/>
      <c r="BU88" s="44"/>
      <c r="BV88" s="45"/>
    </row>
    <row r="89" spans="1:74" outlineLevel="1" x14ac:dyDescent="0.15">
      <c r="A89" s="16"/>
      <c r="B89" s="65" t="s">
        <v>278</v>
      </c>
      <c r="C89" s="67" t="s">
        <v>229</v>
      </c>
      <c r="D89" s="65">
        <v>757691</v>
      </c>
      <c r="E89" s="66">
        <v>10</v>
      </c>
      <c r="F89" s="67">
        <v>1</v>
      </c>
      <c r="G89" s="67"/>
      <c r="I89" s="69" t="str">
        <f t="shared" si="11"/>
        <v>·</v>
      </c>
      <c r="J89" s="70">
        <f t="shared" si="12"/>
        <v>1.5077280844038006</v>
      </c>
      <c r="K89" s="70">
        <f t="shared" si="13"/>
        <v>1.1048936835728549</v>
      </c>
      <c r="L89" s="70">
        <f t="shared" si="14"/>
        <v>0.40212698844251815</v>
      </c>
      <c r="M89" s="75"/>
      <c r="N89" s="70">
        <f t="shared" si="15"/>
        <v>1.5077280844038006</v>
      </c>
      <c r="O89" s="71">
        <v>757691</v>
      </c>
      <c r="P89" s="72">
        <v>1142392</v>
      </c>
      <c r="Q89" s="72">
        <v>837168</v>
      </c>
      <c r="R89" s="72">
        <v>304688</v>
      </c>
      <c r="S89" s="76"/>
      <c r="T89" s="77">
        <v>30.491299999999999</v>
      </c>
      <c r="U89" s="77">
        <v>35.317900000000002</v>
      </c>
      <c r="V89" s="77">
        <v>33.284799999999997</v>
      </c>
      <c r="W89" s="78"/>
      <c r="X89" s="77">
        <v>21.686399999999999</v>
      </c>
      <c r="Y89" s="77">
        <v>21.686399999999999</v>
      </c>
      <c r="Z89" s="77">
        <v>21.686399999999999</v>
      </c>
      <c r="AA89" s="78"/>
      <c r="AB89" s="73"/>
      <c r="AC89" s="73"/>
      <c r="AE89" s="69" t="str">
        <f t="shared" si="16"/>
        <v>·</v>
      </c>
      <c r="AF89" s="70">
        <f t="shared" si="17"/>
        <v>1.4964939533398181</v>
      </c>
      <c r="AG89" s="70">
        <f t="shared" si="18"/>
        <v>1.1048936835728549</v>
      </c>
      <c r="AH89" s="70">
        <f t="shared" si="19"/>
        <v>0.39089285737853557</v>
      </c>
      <c r="AI89" s="75"/>
      <c r="AJ89" s="70">
        <f t="shared" si="20"/>
        <v>1.4964939533398181</v>
      </c>
      <c r="AK89" s="71">
        <v>757691</v>
      </c>
      <c r="AL89" s="72">
        <v>1133880</v>
      </c>
      <c r="AM89" s="72">
        <v>837168</v>
      </c>
      <c r="AN89" s="72">
        <v>296176</v>
      </c>
      <c r="AO89" s="76"/>
      <c r="AP89" s="77">
        <v>30.745899999999999</v>
      </c>
      <c r="AQ89" s="77">
        <v>35.602899999999998</v>
      </c>
      <c r="AR89" s="77">
        <v>33.1509</v>
      </c>
      <c r="AS89" s="78"/>
      <c r="AT89" s="77">
        <v>21.686399999999999</v>
      </c>
      <c r="AU89" s="77">
        <v>21.686399999999999</v>
      </c>
      <c r="AV89" s="77">
        <v>21.686399999999999</v>
      </c>
      <c r="AW89" s="78"/>
      <c r="AX89" s="73">
        <v>1.887</v>
      </c>
      <c r="AY89" s="73">
        <v>1.466</v>
      </c>
      <c r="BA89" s="68">
        <f t="shared" si="21"/>
        <v>5.5012576593432838E-3</v>
      </c>
      <c r="BB89" s="68"/>
      <c r="BD89" s="74"/>
      <c r="BE89" s="74"/>
      <c r="BF89" s="74"/>
      <c r="BG89" s="79"/>
      <c r="BI89" s="74"/>
      <c r="BJ89" s="74"/>
      <c r="BK89" s="74"/>
      <c r="BL89" s="79"/>
      <c r="BN89" s="74"/>
      <c r="BO89" s="74"/>
      <c r="BP89" s="74"/>
      <c r="BQ89" s="79"/>
      <c r="BS89" s="74"/>
      <c r="BT89" s="74"/>
      <c r="BU89" s="74"/>
      <c r="BV89" s="79"/>
    </row>
    <row r="90" spans="1:74" x14ac:dyDescent="0.15">
      <c r="A90" s="31"/>
      <c r="B90" s="31" t="s">
        <v>281</v>
      </c>
      <c r="C90" s="32" t="s">
        <v>225</v>
      </c>
      <c r="D90" s="31">
        <v>1009132</v>
      </c>
      <c r="E90" s="33">
        <v>12</v>
      </c>
      <c r="F90" s="32">
        <v>1</v>
      </c>
      <c r="G90" s="32"/>
      <c r="I90" s="34" t="str">
        <f t="shared" si="11"/>
        <v>·</v>
      </c>
      <c r="J90" s="35">
        <f t="shared" si="12"/>
        <v>21.450371210109282</v>
      </c>
      <c r="K90" s="35">
        <f t="shared" si="13"/>
        <v>9.6524220815512738</v>
      </c>
      <c r="L90" s="35">
        <f t="shared" si="14"/>
        <v>11.797433834225849</v>
      </c>
      <c r="M90" s="36"/>
      <c r="N90" s="35">
        <f t="shared" si="15"/>
        <v>21.450371210109282</v>
      </c>
      <c r="O90" s="37">
        <v>1009132</v>
      </c>
      <c r="P90" s="38">
        <v>21646256</v>
      </c>
      <c r="Q90" s="38">
        <v>9740568</v>
      </c>
      <c r="R90" s="38">
        <v>11905168</v>
      </c>
      <c r="S90" s="39"/>
      <c r="T90" s="40">
        <v>53.526400000000002</v>
      </c>
      <c r="U90" s="40">
        <v>55.049199999999999</v>
      </c>
      <c r="V90" s="40">
        <v>54.758099999999999</v>
      </c>
      <c r="W90" s="41"/>
      <c r="X90" s="40">
        <v>48.130800000000001</v>
      </c>
      <c r="Y90" s="40">
        <v>48.130800000000001</v>
      </c>
      <c r="Z90" s="40">
        <v>48.130800000000001</v>
      </c>
      <c r="AA90" s="41"/>
      <c r="AB90" s="42"/>
      <c r="AC90" s="42"/>
      <c r="AE90" s="34" t="str">
        <f t="shared" si="16"/>
        <v>·</v>
      </c>
      <c r="AF90" s="35">
        <f t="shared" si="17"/>
        <v>21.39466392900037</v>
      </c>
      <c r="AG90" s="35">
        <f t="shared" si="18"/>
        <v>9.6524220815512738</v>
      </c>
      <c r="AH90" s="35">
        <f t="shared" si="19"/>
        <v>11.741726553116937</v>
      </c>
      <c r="AI90" s="36"/>
      <c r="AJ90" s="35">
        <f t="shared" si="20"/>
        <v>21.39466392900037</v>
      </c>
      <c r="AK90" s="37">
        <v>1009132</v>
      </c>
      <c r="AL90" s="38">
        <v>21590040</v>
      </c>
      <c r="AM90" s="38">
        <v>9740568</v>
      </c>
      <c r="AN90" s="38">
        <v>11848952</v>
      </c>
      <c r="AO90" s="39"/>
      <c r="AP90" s="40">
        <v>53.5124</v>
      </c>
      <c r="AQ90" s="40">
        <v>55.054400000000001</v>
      </c>
      <c r="AR90" s="40">
        <v>54.763800000000003</v>
      </c>
      <c r="AS90" s="41"/>
      <c r="AT90" s="40">
        <v>48.130800000000001</v>
      </c>
      <c r="AU90" s="40">
        <v>48.130800000000001</v>
      </c>
      <c r="AV90" s="40">
        <v>48.130800000000001</v>
      </c>
      <c r="AW90" s="41"/>
      <c r="AX90" s="42">
        <v>5.5220000000000002</v>
      </c>
      <c r="AY90" s="42">
        <v>3.8530000000000002</v>
      </c>
      <c r="BA90" s="43">
        <f t="shared" si="21"/>
        <v>1.171677218472611E-3</v>
      </c>
      <c r="BB90" s="43">
        <f t="array" ref="BB90">AVERAGE(AM90:AM94/AL90:AL94) - AVERAGE(Q90:Q94/P90:P94)</f>
        <v>2.0495450148205752E-3</v>
      </c>
      <c r="BD90" s="44">
        <f>IF( OR(ISBLANK(R90:R94),ISBLANK(AN90:AN94), ISBLANK(T90:T94),ISBLANK(AP90:AP94)), "·", bdRateExtend( R90:R94,T90:T94, AN90:AN94,AP90:AP94))</f>
        <v>-9.2071479396615974E-3</v>
      </c>
      <c r="BE90" s="44">
        <f>IF( OR(ISBLANK(R90:R94),ISBLANK(AN90:AN94), ISBLANK(U90:U94),ISBLANK(AQ90:AQ94)), "·", bdRateExtend( R90:R94,U90:U94, AN90:AN94,AQ90:AQ94))</f>
        <v>-1.1880153169484875E-2</v>
      </c>
      <c r="BF90" s="44">
        <f>IF( OR(ISBLANK(R90:R94),ISBLANK(AN90:AN94), ISBLANK(V90:V94),ISBLANK(AR90:AR94)), "·", bdRateExtend( R90:R94,V90:V94, AN90:AN94,AR90:AR94))</f>
        <v>-1.2662703058095803E-2</v>
      </c>
      <c r="BG90" s="45"/>
      <c r="BI90" s="44">
        <f>IF( OR(ISBLANK(R90:R94),ISBLANK(AN90:AN94), ISBLANK(X90:X94),ISBLANK(AT90:AT94)), "·", bdRateExtend( R90:R94,X90:X94, AN90:AN94,AT90:AT94))</f>
        <v>-9.3227222113513308E-3</v>
      </c>
      <c r="BJ90" s="44">
        <f>IF( OR(ISBLANK(R90:R94),ISBLANK(AN90:AN94), ISBLANK(Y90:Y94),ISBLANK(AU90:AU94)), "·", bdRateExtend( R90:R94,Y90:Y94, AN90:AN94,AU90:AU94))</f>
        <v>-9.3227222113513308E-3</v>
      </c>
      <c r="BK90" s="44">
        <f>IF( OR(ISBLANK(R90:R94),ISBLANK(AN90:AN94), ISBLANK(Z90:Z94),ISBLANK(AV90:AV94)), "·", bdRateExtend( R90:R94,Z90:Z94, AN90:AN94,AV90:AV94))</f>
        <v>-9.3227222113513308E-3</v>
      </c>
      <c r="BL90" s="45"/>
      <c r="BN90" s="44">
        <f>IF( OR(ISBLANK(P90:P94),ISBLANK(AL90:AL94), ISBLANK(T90:T94),ISBLANK(AP90:AP94)), "·", bdRateExtend( P90:P94,T90:T94, AL90:AL94,AP90:AP94))</f>
        <v>-3.0007894226875553E-3</v>
      </c>
      <c r="BO90" s="44">
        <f>IF( OR(ISBLANK(P90:P94),ISBLANK(AL90:AL94), ISBLANK(U90:U94),ISBLANK(AQ90:AQ94)), "·", bdRateExtend( P90:P94,U90:U94, AL90:AL94,AQ90:AQ94))</f>
        <v>-3.8592026349707487E-3</v>
      </c>
      <c r="BP90" s="44">
        <f>IF( OR(ISBLANK(P90:P94),ISBLANK(AL90:AL94), ISBLANK(V90:V94),ISBLANK(AR90:AR94)), "·", bdRateExtend( P90:P94,V90:V94, AL90:AL94,AR90:AR94))</f>
        <v>-4.0587189011624947E-3</v>
      </c>
      <c r="BQ90" s="45"/>
      <c r="BS90" s="44">
        <f>IF( OR(ISBLANK(P90:P94),ISBLANK(AL90:AL94), ISBLANK(X90:X94),ISBLANK(AT90:AT94)), "·", bdRateExtend( P90:P94,X90:X94, AL90:AL94,AT90:AT94))</f>
        <v>-3.1301856130259154E-3</v>
      </c>
      <c r="BT90" s="44">
        <f>IF( OR(ISBLANK(P90:P94),ISBLANK(AL90:AL94), ISBLANK(Y90:Y94),ISBLANK(AU90:AU94)), "·", bdRateExtend( P90:P94,Y90:Y94, AL90:AL94,AU90:AU94))</f>
        <v>-3.1301856130259154E-3</v>
      </c>
      <c r="BU90" s="44">
        <f>IF( OR(ISBLANK(P90:P94),ISBLANK(AL90:AL94), ISBLANK(Z90:Z94),ISBLANK(AV90:AV94)), "·", bdRateExtend( P90:P94,Z90:Z94, AL90:AL94,AV90:AV94))</f>
        <v>-3.1301856130259154E-3</v>
      </c>
      <c r="BV90" s="45"/>
    </row>
    <row r="91" spans="1:74" outlineLevel="1" x14ac:dyDescent="0.15">
      <c r="A91" s="16"/>
      <c r="B91" s="16" t="s">
        <v>281</v>
      </c>
      <c r="C91" s="17" t="s">
        <v>226</v>
      </c>
      <c r="D91" s="16">
        <v>1009132</v>
      </c>
      <c r="E91" s="18">
        <v>12</v>
      </c>
      <c r="F91" s="17">
        <v>1</v>
      </c>
      <c r="G91" s="17"/>
      <c r="I91" s="19" t="str">
        <f t="shared" si="11"/>
        <v>·</v>
      </c>
      <c r="J91" s="20">
        <f t="shared" si="12"/>
        <v>18.667076259597359</v>
      </c>
      <c r="K91" s="20">
        <f t="shared" si="13"/>
        <v>9.6524220815512738</v>
      </c>
      <c r="L91" s="20">
        <f t="shared" si="14"/>
        <v>9.0141388837139242</v>
      </c>
      <c r="M91" s="21"/>
      <c r="N91" s="20">
        <f t="shared" si="15"/>
        <v>18.667076259597359</v>
      </c>
      <c r="O91" s="22">
        <v>1009132</v>
      </c>
      <c r="P91" s="23">
        <v>18837544</v>
      </c>
      <c r="Q91" s="23">
        <v>9740568</v>
      </c>
      <c r="R91" s="23">
        <v>9096456</v>
      </c>
      <c r="S91" s="24"/>
      <c r="T91" s="25">
        <v>48.590600000000002</v>
      </c>
      <c r="U91" s="25">
        <v>50.481200000000001</v>
      </c>
      <c r="V91" s="25">
        <v>50.151800000000001</v>
      </c>
      <c r="W91" s="26"/>
      <c r="X91" s="25">
        <v>42.110199999999999</v>
      </c>
      <c r="Y91" s="25">
        <v>42.110199999999999</v>
      </c>
      <c r="Z91" s="25">
        <v>42.110199999999999</v>
      </c>
      <c r="AA91" s="26"/>
      <c r="AB91" s="27"/>
      <c r="AC91" s="27"/>
      <c r="AE91" s="19" t="str">
        <f t="shared" si="16"/>
        <v>·</v>
      </c>
      <c r="AF91" s="20">
        <f t="shared" si="17"/>
        <v>18.610845756551175</v>
      </c>
      <c r="AG91" s="20">
        <f t="shared" si="18"/>
        <v>9.6524220815512738</v>
      </c>
      <c r="AH91" s="20">
        <f t="shared" si="19"/>
        <v>8.9579083806677424</v>
      </c>
      <c r="AI91" s="21"/>
      <c r="AJ91" s="20">
        <f t="shared" si="20"/>
        <v>18.610845756551175</v>
      </c>
      <c r="AK91" s="22">
        <v>1009132</v>
      </c>
      <c r="AL91" s="23">
        <v>18780800</v>
      </c>
      <c r="AM91" s="23">
        <v>9740568</v>
      </c>
      <c r="AN91" s="23">
        <v>9039712</v>
      </c>
      <c r="AO91" s="24"/>
      <c r="AP91" s="25">
        <v>48.5869</v>
      </c>
      <c r="AQ91" s="25">
        <v>50.477800000000002</v>
      </c>
      <c r="AR91" s="25">
        <v>50.163200000000003</v>
      </c>
      <c r="AS91" s="26"/>
      <c r="AT91" s="25">
        <v>42.110199999999999</v>
      </c>
      <c r="AU91" s="25">
        <v>42.110199999999999</v>
      </c>
      <c r="AV91" s="25">
        <v>42.110199999999999</v>
      </c>
      <c r="AW91" s="26"/>
      <c r="AX91" s="27">
        <v>4.274</v>
      </c>
      <c r="AY91" s="27">
        <v>3.9780000000000002</v>
      </c>
      <c r="BA91" s="28">
        <f t="shared" si="21"/>
        <v>1.5623051408217847E-3</v>
      </c>
      <c r="BB91" s="28"/>
      <c r="BD91" s="29"/>
      <c r="BE91" s="29"/>
      <c r="BF91" s="29"/>
      <c r="BG91" s="30"/>
      <c r="BI91" s="29"/>
      <c r="BJ91" s="29"/>
      <c r="BK91" s="29"/>
      <c r="BL91" s="30"/>
      <c r="BN91" s="29"/>
      <c r="BO91" s="29"/>
      <c r="BP91" s="29"/>
      <c r="BQ91" s="30"/>
      <c r="BS91" s="29"/>
      <c r="BT91" s="29"/>
      <c r="BU91" s="29"/>
      <c r="BV91" s="30"/>
    </row>
    <row r="92" spans="1:74" outlineLevel="1" x14ac:dyDescent="0.15">
      <c r="A92" s="31"/>
      <c r="B92" s="31" t="s">
        <v>281</v>
      </c>
      <c r="C92" s="32" t="s">
        <v>227</v>
      </c>
      <c r="D92" s="31">
        <v>1009132</v>
      </c>
      <c r="E92" s="33">
        <v>12</v>
      </c>
      <c r="F92" s="32">
        <v>1</v>
      </c>
      <c r="G92" s="32"/>
      <c r="I92" s="34" t="str">
        <f t="shared" si="11"/>
        <v>·</v>
      </c>
      <c r="J92" s="35">
        <f t="shared" si="12"/>
        <v>15.714844044188471</v>
      </c>
      <c r="K92" s="35">
        <f t="shared" si="13"/>
        <v>9.6524220815512738</v>
      </c>
      <c r="L92" s="35">
        <f t="shared" si="14"/>
        <v>6.0619066683050384</v>
      </c>
      <c r="M92" s="36"/>
      <c r="N92" s="35">
        <f t="shared" si="15"/>
        <v>15.714844044188471</v>
      </c>
      <c r="O92" s="37">
        <v>1009132</v>
      </c>
      <c r="P92" s="38">
        <v>15858352</v>
      </c>
      <c r="Q92" s="38">
        <v>9740568</v>
      </c>
      <c r="R92" s="38">
        <v>6117264</v>
      </c>
      <c r="S92" s="39"/>
      <c r="T92" s="40">
        <v>41.3371</v>
      </c>
      <c r="U92" s="40">
        <v>44.135399999999997</v>
      </c>
      <c r="V92" s="40">
        <v>43.9955</v>
      </c>
      <c r="W92" s="41"/>
      <c r="X92" s="40">
        <v>34.151400000000002</v>
      </c>
      <c r="Y92" s="40">
        <v>34.151400000000002</v>
      </c>
      <c r="Z92" s="40">
        <v>34.151400000000002</v>
      </c>
      <c r="AA92" s="41"/>
      <c r="AB92" s="42"/>
      <c r="AC92" s="42"/>
      <c r="AE92" s="34" t="str">
        <f t="shared" si="16"/>
        <v>·</v>
      </c>
      <c r="AF92" s="35">
        <f t="shared" si="17"/>
        <v>15.666239897258238</v>
      </c>
      <c r="AG92" s="35">
        <f t="shared" si="18"/>
        <v>9.6524220815512738</v>
      </c>
      <c r="AH92" s="35">
        <f t="shared" si="19"/>
        <v>6.013302521374805</v>
      </c>
      <c r="AI92" s="36"/>
      <c r="AJ92" s="35">
        <f t="shared" si="20"/>
        <v>15.666239897258238</v>
      </c>
      <c r="AK92" s="37">
        <v>1009132</v>
      </c>
      <c r="AL92" s="38">
        <v>15809304</v>
      </c>
      <c r="AM92" s="38">
        <v>9740568</v>
      </c>
      <c r="AN92" s="38">
        <v>6068216</v>
      </c>
      <c r="AO92" s="39"/>
      <c r="AP92" s="40">
        <v>41.329700000000003</v>
      </c>
      <c r="AQ92" s="40">
        <v>44.1693</v>
      </c>
      <c r="AR92" s="40">
        <v>44.020699999999998</v>
      </c>
      <c r="AS92" s="41"/>
      <c r="AT92" s="40">
        <v>34.151400000000002</v>
      </c>
      <c r="AU92" s="40">
        <v>34.151400000000002</v>
      </c>
      <c r="AV92" s="40">
        <v>34.151400000000002</v>
      </c>
      <c r="AW92" s="41"/>
      <c r="AX92" s="42">
        <v>4.2119999999999997</v>
      </c>
      <c r="AY92" s="42">
        <v>3.931</v>
      </c>
      <c r="BA92" s="43">
        <f t="shared" si="21"/>
        <v>1.9056133276856846E-3</v>
      </c>
      <c r="BB92" s="43"/>
      <c r="BD92" s="44"/>
      <c r="BE92" s="44"/>
      <c r="BF92" s="44"/>
      <c r="BG92" s="45"/>
      <c r="BI92" s="44"/>
      <c r="BJ92" s="44"/>
      <c r="BK92" s="44"/>
      <c r="BL92" s="45"/>
      <c r="BN92" s="44"/>
      <c r="BO92" s="44"/>
      <c r="BP92" s="44"/>
      <c r="BQ92" s="45"/>
      <c r="BS92" s="44"/>
      <c r="BT92" s="44"/>
      <c r="BU92" s="44"/>
      <c r="BV92" s="45"/>
    </row>
    <row r="93" spans="1:74" outlineLevel="1" x14ac:dyDescent="0.15">
      <c r="A93" s="16"/>
      <c r="B93" s="16" t="s">
        <v>281</v>
      </c>
      <c r="C93" s="17" t="s">
        <v>228</v>
      </c>
      <c r="D93" s="16">
        <v>1009132</v>
      </c>
      <c r="E93" s="18">
        <v>12</v>
      </c>
      <c r="F93" s="17">
        <v>1</v>
      </c>
      <c r="G93" s="17"/>
      <c r="I93" s="19" t="str">
        <f t="shared" si="11"/>
        <v>·</v>
      </c>
      <c r="J93" s="20">
        <f t="shared" si="12"/>
        <v>13.577997724777333</v>
      </c>
      <c r="K93" s="20">
        <f t="shared" si="13"/>
        <v>9.6524220815512738</v>
      </c>
      <c r="L93" s="20">
        <f t="shared" si="14"/>
        <v>3.9250603488939011</v>
      </c>
      <c r="M93" s="21"/>
      <c r="N93" s="20">
        <f t="shared" si="15"/>
        <v>13.577997724777333</v>
      </c>
      <c r="O93" s="22">
        <v>1009132</v>
      </c>
      <c r="P93" s="23">
        <v>13701992</v>
      </c>
      <c r="Q93" s="23">
        <v>9740568</v>
      </c>
      <c r="R93" s="23">
        <v>3960904</v>
      </c>
      <c r="S93" s="24"/>
      <c r="T93" s="25">
        <v>35.461100000000002</v>
      </c>
      <c r="U93" s="25">
        <v>39.136200000000002</v>
      </c>
      <c r="V93" s="25">
        <v>39.127899999999997</v>
      </c>
      <c r="W93" s="26"/>
      <c r="X93" s="25">
        <v>28.130800000000001</v>
      </c>
      <c r="Y93" s="25">
        <v>28.130800000000001</v>
      </c>
      <c r="Z93" s="25">
        <v>28.130800000000001</v>
      </c>
      <c r="AA93" s="26"/>
      <c r="AB93" s="27"/>
      <c r="AC93" s="27"/>
      <c r="AE93" s="19" t="str">
        <f t="shared" si="16"/>
        <v>·</v>
      </c>
      <c r="AF93" s="20">
        <f t="shared" si="17"/>
        <v>13.535696023909656</v>
      </c>
      <c r="AG93" s="20">
        <f t="shared" si="18"/>
        <v>9.6524220815512738</v>
      </c>
      <c r="AH93" s="20">
        <f t="shared" si="19"/>
        <v>3.8827586480262246</v>
      </c>
      <c r="AI93" s="21"/>
      <c r="AJ93" s="20">
        <f t="shared" si="20"/>
        <v>13.535696023909656</v>
      </c>
      <c r="AK93" s="22">
        <v>1009132</v>
      </c>
      <c r="AL93" s="23">
        <v>13659304</v>
      </c>
      <c r="AM93" s="23">
        <v>9740568</v>
      </c>
      <c r="AN93" s="23">
        <v>3918216</v>
      </c>
      <c r="AO93" s="24"/>
      <c r="AP93" s="25">
        <v>35.452100000000002</v>
      </c>
      <c r="AQ93" s="25">
        <v>39.1815</v>
      </c>
      <c r="AR93" s="25">
        <v>39.162399999999998</v>
      </c>
      <c r="AS93" s="26"/>
      <c r="AT93" s="25">
        <v>28.130800000000001</v>
      </c>
      <c r="AU93" s="25">
        <v>28.130800000000001</v>
      </c>
      <c r="AV93" s="25">
        <v>28.130800000000001</v>
      </c>
      <c r="AW93" s="26"/>
      <c r="AX93" s="27">
        <v>4.3209999999999997</v>
      </c>
      <c r="AY93" s="27">
        <v>3.8679999999999999</v>
      </c>
      <c r="BA93" s="28">
        <f t="shared" si="21"/>
        <v>2.2216610961144356E-3</v>
      </c>
      <c r="BB93" s="28"/>
      <c r="BD93" s="29"/>
      <c r="BE93" s="29"/>
      <c r="BF93" s="29"/>
      <c r="BG93" s="30"/>
      <c r="BI93" s="29"/>
      <c r="BJ93" s="29"/>
      <c r="BK93" s="29"/>
      <c r="BL93" s="30"/>
      <c r="BN93" s="29"/>
      <c r="BO93" s="29"/>
      <c r="BP93" s="29"/>
      <c r="BQ93" s="30"/>
      <c r="BS93" s="29"/>
      <c r="BT93" s="29"/>
      <c r="BU93" s="29"/>
      <c r="BV93" s="30"/>
    </row>
    <row r="94" spans="1:74" outlineLevel="1" x14ac:dyDescent="0.15">
      <c r="A94" s="31"/>
      <c r="B94" s="46" t="s">
        <v>281</v>
      </c>
      <c r="C94" s="47" t="s">
        <v>229</v>
      </c>
      <c r="D94" s="46">
        <v>1009132</v>
      </c>
      <c r="E94" s="48">
        <v>12</v>
      </c>
      <c r="F94" s="47">
        <v>1</v>
      </c>
      <c r="G94" s="47"/>
      <c r="I94" s="49" t="str">
        <f t="shared" si="11"/>
        <v>·</v>
      </c>
      <c r="J94" s="50">
        <f t="shared" si="12"/>
        <v>11.800240206434838</v>
      </c>
      <c r="K94" s="50">
        <f t="shared" si="13"/>
        <v>9.6524220815512738</v>
      </c>
      <c r="L94" s="50">
        <f t="shared" si="14"/>
        <v>2.1473028305514044</v>
      </c>
      <c r="M94" s="51"/>
      <c r="N94" s="50">
        <f t="shared" si="15"/>
        <v>11.800240206434838</v>
      </c>
      <c r="O94" s="52">
        <v>1009132</v>
      </c>
      <c r="P94" s="53">
        <v>11908000</v>
      </c>
      <c r="Q94" s="53">
        <v>9740568</v>
      </c>
      <c r="R94" s="53">
        <v>2166912</v>
      </c>
      <c r="S94" s="54"/>
      <c r="T94" s="55">
        <v>29.061399999999999</v>
      </c>
      <c r="U94" s="55">
        <v>34.125300000000003</v>
      </c>
      <c r="V94" s="55">
        <v>34.431899999999999</v>
      </c>
      <c r="W94" s="56"/>
      <c r="X94" s="55">
        <v>21.686399999999999</v>
      </c>
      <c r="Y94" s="55">
        <v>21.686399999999999</v>
      </c>
      <c r="Z94" s="55">
        <v>21.686399999999999</v>
      </c>
      <c r="AA94" s="56"/>
      <c r="AB94" s="57"/>
      <c r="AC94" s="57"/>
      <c r="AE94" s="49" t="str">
        <f t="shared" si="16"/>
        <v>·</v>
      </c>
      <c r="AF94" s="50">
        <f t="shared" si="17"/>
        <v>11.751588493873943</v>
      </c>
      <c r="AG94" s="50">
        <f t="shared" si="18"/>
        <v>9.6524220815512738</v>
      </c>
      <c r="AH94" s="50">
        <f t="shared" si="19"/>
        <v>2.0986511179905105</v>
      </c>
      <c r="AI94" s="51"/>
      <c r="AJ94" s="50">
        <f t="shared" si="20"/>
        <v>11.751588493873943</v>
      </c>
      <c r="AK94" s="52">
        <v>1009132</v>
      </c>
      <c r="AL94" s="53">
        <v>11858904</v>
      </c>
      <c r="AM94" s="53">
        <v>9740568</v>
      </c>
      <c r="AN94" s="53">
        <v>2117816</v>
      </c>
      <c r="AO94" s="54"/>
      <c r="AP94" s="55">
        <v>29.070699999999999</v>
      </c>
      <c r="AQ94" s="55">
        <v>34.183199999999999</v>
      </c>
      <c r="AR94" s="55">
        <v>34.574300000000001</v>
      </c>
      <c r="AS94" s="56"/>
      <c r="AT94" s="55">
        <v>21.686399999999999</v>
      </c>
      <c r="AU94" s="55">
        <v>21.686399999999999</v>
      </c>
      <c r="AV94" s="55">
        <v>21.686399999999999</v>
      </c>
      <c r="AW94" s="56"/>
      <c r="AX94" s="57">
        <v>4.3209999999999997</v>
      </c>
      <c r="AY94" s="57">
        <v>3.79</v>
      </c>
      <c r="BA94" s="58">
        <f t="shared" si="21"/>
        <v>3.3864682910081934E-3</v>
      </c>
      <c r="BB94" s="58"/>
      <c r="BD94" s="59"/>
      <c r="BE94" s="59"/>
      <c r="BF94" s="59"/>
      <c r="BG94" s="60"/>
      <c r="BI94" s="59"/>
      <c r="BJ94" s="59"/>
      <c r="BK94" s="59"/>
      <c r="BL94" s="60"/>
      <c r="BN94" s="59"/>
      <c r="BO94" s="59"/>
      <c r="BP94" s="59"/>
      <c r="BQ94" s="60"/>
      <c r="BS94" s="59"/>
      <c r="BT94" s="59"/>
      <c r="BU94" s="59"/>
      <c r="BV94" s="60"/>
    </row>
    <row r="95" spans="1:74" x14ac:dyDescent="0.15">
      <c r="A95" s="16"/>
      <c r="B95" s="16" t="s">
        <v>284</v>
      </c>
      <c r="C95" s="17" t="s">
        <v>225</v>
      </c>
      <c r="D95" s="16">
        <v>4001754</v>
      </c>
      <c r="E95" s="18">
        <v>12</v>
      </c>
      <c r="F95" s="17">
        <v>1</v>
      </c>
      <c r="G95" s="17"/>
      <c r="I95" s="19" t="str">
        <f t="shared" si="11"/>
        <v>·</v>
      </c>
      <c r="J95" s="20">
        <f t="shared" si="12"/>
        <v>7.1652340448713243</v>
      </c>
      <c r="K95" s="20">
        <f t="shared" si="13"/>
        <v>3.8442702874789405</v>
      </c>
      <c r="L95" s="20">
        <f t="shared" si="14"/>
        <v>3.3207138669693341</v>
      </c>
      <c r="M95" s="21"/>
      <c r="N95" s="20">
        <f t="shared" si="15"/>
        <v>7.1652340448713243</v>
      </c>
      <c r="O95" s="22">
        <v>4001754</v>
      </c>
      <c r="P95" s="23">
        <v>28673504</v>
      </c>
      <c r="Q95" s="23">
        <v>15383824</v>
      </c>
      <c r="R95" s="23">
        <v>13288680</v>
      </c>
      <c r="S95" s="24"/>
      <c r="T95" s="25">
        <v>52.438499999999998</v>
      </c>
      <c r="U95" s="25">
        <v>57.095100000000002</v>
      </c>
      <c r="V95" s="25">
        <v>56.724499999999999</v>
      </c>
      <c r="W95" s="26"/>
      <c r="X95" s="25">
        <v>48.130800000000001</v>
      </c>
      <c r="Y95" s="25">
        <v>48.130800000000001</v>
      </c>
      <c r="Z95" s="25">
        <v>48.130800000000001</v>
      </c>
      <c r="AA95" s="26"/>
      <c r="AB95" s="27"/>
      <c r="AC95" s="27"/>
      <c r="AE95" s="19" t="str">
        <f t="shared" si="16"/>
        <v>·</v>
      </c>
      <c r="AF95" s="20">
        <f t="shared" si="17"/>
        <v>7.0526034333944567</v>
      </c>
      <c r="AG95" s="20">
        <f t="shared" si="18"/>
        <v>3.8442702874789405</v>
      </c>
      <c r="AH95" s="20">
        <f t="shared" si="19"/>
        <v>3.2080832554924665</v>
      </c>
      <c r="AI95" s="21"/>
      <c r="AJ95" s="20">
        <f t="shared" si="20"/>
        <v>7.0526034333944567</v>
      </c>
      <c r="AK95" s="22">
        <v>4001754</v>
      </c>
      <c r="AL95" s="23">
        <v>28222784</v>
      </c>
      <c r="AM95" s="23">
        <v>15383824</v>
      </c>
      <c r="AN95" s="23">
        <v>12837960</v>
      </c>
      <c r="AO95" s="24"/>
      <c r="AP95" s="25">
        <v>52.434899999999999</v>
      </c>
      <c r="AQ95" s="25">
        <v>57.142000000000003</v>
      </c>
      <c r="AR95" s="25">
        <v>56.7605</v>
      </c>
      <c r="AS95" s="26"/>
      <c r="AT95" s="25">
        <v>48.130800000000001</v>
      </c>
      <c r="AU95" s="25">
        <v>48.130800000000001</v>
      </c>
      <c r="AV95" s="25">
        <v>48.130800000000001</v>
      </c>
      <c r="AW95" s="26"/>
      <c r="AX95" s="27">
        <v>13.509</v>
      </c>
      <c r="AY95" s="27">
        <v>11.090999999999999</v>
      </c>
      <c r="BA95" s="28">
        <f t="shared" si="21"/>
        <v>8.5682180838745348E-3</v>
      </c>
      <c r="BB95" s="28">
        <f t="array" ref="BB95">AVERAGE(AM95:AM99/AL95:AL99) - AVERAGE(Q95:Q99/P95:P99)</f>
        <v>8.3272072146556297E-3</v>
      </c>
      <c r="BD95" s="29">
        <f>IF( OR(ISBLANK(R95:R99),ISBLANK(AN95:AN99), ISBLANK(T95:T99),ISBLANK(AP95:AP99)), "·", bdRateExtend( R95:R99,T95:T99, AN95:AN99,AP95:AP99))</f>
        <v>-7.558075411350329E-2</v>
      </c>
      <c r="BE95" s="29">
        <f>IF( OR(ISBLANK(R95:R99),ISBLANK(AN95:AN99), ISBLANK(U95:U99),ISBLANK(AQ95:AQ99)), "·", bdRateExtend( R95:R99,U95:U99, AN95:AN99,AQ95:AQ99))</f>
        <v>-6.858100924105659E-2</v>
      </c>
      <c r="BF95" s="29">
        <f>IF( OR(ISBLANK(R95:R99),ISBLANK(AN95:AN99), ISBLANK(V95:V99),ISBLANK(AR95:AR99)), "·", bdRateExtend( R95:R99,V95:V99, AN95:AN99,AR95:AR99))</f>
        <v>-6.7944748571603264E-2</v>
      </c>
      <c r="BG95" s="30"/>
      <c r="BI95" s="29">
        <f>IF( OR(ISBLANK(R95:R99),ISBLANK(AN95:AN99), ISBLANK(X95:X99),ISBLANK(AT95:AT99)), "·", bdRateExtend( R95:R99,X95:X99, AN95:AN99,AT95:AT99))</f>
        <v>-6.3053843322465331E-2</v>
      </c>
      <c r="BJ95" s="29">
        <f>IF( OR(ISBLANK(R95:R99),ISBLANK(AN95:AN99), ISBLANK(Y95:Y99),ISBLANK(AU95:AU99)), "·", bdRateExtend( R95:R99,Y95:Y99, AN95:AN99,AU95:AU99))</f>
        <v>-6.3053843322465331E-2</v>
      </c>
      <c r="BK95" s="29">
        <f>IF( OR(ISBLANK(R95:R99),ISBLANK(AN95:AN99), ISBLANK(Z95:Z99),ISBLANK(AV95:AV99)), "·", bdRateExtend( R95:R99,Z95:Z99, AN95:AN99,AV95:AV99))</f>
        <v>-6.3053843322465331E-2</v>
      </c>
      <c r="BL95" s="30"/>
      <c r="BN95" s="29">
        <f>IF( OR(ISBLANK(P95:P99),ISBLANK(AL95:AL99), ISBLANK(T95:T99),ISBLANK(AP95:AP99)), "·", bdRateExtend( P95:P99,T95:T99, AL95:AL99,AP95:AP99))</f>
        <v>-1.4238027750939519E-2</v>
      </c>
      <c r="BO95" s="29">
        <f>IF( OR(ISBLANK(P95:P99),ISBLANK(AL95:AL99), ISBLANK(U95:U99),ISBLANK(AQ95:AQ99)), "·", bdRateExtend( P95:P99,U95:U99, AL95:AL99,AQ95:AQ99))</f>
        <v>-1.4790636522858502E-2</v>
      </c>
      <c r="BP95" s="29">
        <f>IF( OR(ISBLANK(P95:P99),ISBLANK(AL95:AL99), ISBLANK(V95:V99),ISBLANK(AR95:AR99)), "·", bdRateExtend( P95:P99,V95:V99, AL95:AL99,AR95:AR99))</f>
        <v>-1.3800982049662736E-2</v>
      </c>
      <c r="BQ95" s="30"/>
      <c r="BS95" s="29">
        <f>IF( OR(ISBLANK(P95:P99),ISBLANK(AL95:AL99), ISBLANK(X95:X99),ISBLANK(AT95:AT99)), "·", bdRateExtend( P95:P99,X95:X99, AL95:AL99,AT95:AT99))</f>
        <v>-1.2571483181174403E-2</v>
      </c>
      <c r="BT95" s="29">
        <f>IF( OR(ISBLANK(P95:P99),ISBLANK(AL95:AL99), ISBLANK(Y95:Y99),ISBLANK(AU95:AU99)), "·", bdRateExtend( P95:P99,Y95:Y99, AL95:AL99,AU95:AU99))</f>
        <v>-1.2571483181174403E-2</v>
      </c>
      <c r="BU95" s="29">
        <f>IF( OR(ISBLANK(P95:P99),ISBLANK(AL95:AL99), ISBLANK(Z95:Z99),ISBLANK(AV95:AV99)), "·", bdRateExtend( P95:P99,Z95:Z99, AL95:AL99,AV95:AV99))</f>
        <v>-1.2571483181174403E-2</v>
      </c>
      <c r="BV95" s="30"/>
    </row>
    <row r="96" spans="1:74" outlineLevel="1" x14ac:dyDescent="0.15">
      <c r="A96" s="31"/>
      <c r="B96" s="31" t="s">
        <v>284</v>
      </c>
      <c r="C96" s="32" t="s">
        <v>226</v>
      </c>
      <c r="D96" s="31">
        <v>4001754</v>
      </c>
      <c r="E96" s="33">
        <v>12</v>
      </c>
      <c r="F96" s="32">
        <v>1</v>
      </c>
      <c r="G96" s="32"/>
      <c r="I96" s="34" t="str">
        <f t="shared" si="11"/>
        <v>·</v>
      </c>
      <c r="J96" s="35">
        <f t="shared" si="12"/>
        <v>6.058359409398979</v>
      </c>
      <c r="K96" s="35">
        <f t="shared" si="13"/>
        <v>3.8442702874789405</v>
      </c>
      <c r="L96" s="35">
        <f t="shared" si="14"/>
        <v>2.2138392314969884</v>
      </c>
      <c r="M96" s="36"/>
      <c r="N96" s="35">
        <f t="shared" si="15"/>
        <v>6.058359409398979</v>
      </c>
      <c r="O96" s="37">
        <v>4001754</v>
      </c>
      <c r="P96" s="38">
        <v>24244064</v>
      </c>
      <c r="Q96" s="38">
        <v>15383824</v>
      </c>
      <c r="R96" s="38">
        <v>8859240</v>
      </c>
      <c r="S96" s="39"/>
      <c r="T96" s="40">
        <v>47.724400000000003</v>
      </c>
      <c r="U96" s="40">
        <v>52.87</v>
      </c>
      <c r="V96" s="40">
        <v>52.886699999999998</v>
      </c>
      <c r="W96" s="41"/>
      <c r="X96" s="40">
        <v>42.110199999999999</v>
      </c>
      <c r="Y96" s="40">
        <v>42.110199999999999</v>
      </c>
      <c r="Z96" s="40">
        <v>42.110199999999999</v>
      </c>
      <c r="AA96" s="41"/>
      <c r="AB96" s="42"/>
      <c r="AC96" s="42"/>
      <c r="AE96" s="34" t="str">
        <f t="shared" si="16"/>
        <v>·</v>
      </c>
      <c r="AF96" s="35">
        <f t="shared" si="17"/>
        <v>5.9585291849523987</v>
      </c>
      <c r="AG96" s="35">
        <f t="shared" si="18"/>
        <v>3.8442702874789405</v>
      </c>
      <c r="AH96" s="35">
        <f t="shared" si="19"/>
        <v>2.1140090070504085</v>
      </c>
      <c r="AI96" s="36"/>
      <c r="AJ96" s="35">
        <f t="shared" si="20"/>
        <v>5.9585291849523987</v>
      </c>
      <c r="AK96" s="37">
        <v>4001754</v>
      </c>
      <c r="AL96" s="38">
        <v>23844568</v>
      </c>
      <c r="AM96" s="38">
        <v>15383824</v>
      </c>
      <c r="AN96" s="38">
        <v>8459744</v>
      </c>
      <c r="AO96" s="39"/>
      <c r="AP96" s="40">
        <v>47.779000000000003</v>
      </c>
      <c r="AQ96" s="40">
        <v>52.9758</v>
      </c>
      <c r="AR96" s="40">
        <v>52.965200000000003</v>
      </c>
      <c r="AS96" s="41"/>
      <c r="AT96" s="40">
        <v>42.110199999999999</v>
      </c>
      <c r="AU96" s="40">
        <v>42.110199999999999</v>
      </c>
      <c r="AV96" s="40">
        <v>42.110199999999999</v>
      </c>
      <c r="AW96" s="41"/>
      <c r="AX96" s="42">
        <v>13.321999999999999</v>
      </c>
      <c r="AY96" s="42">
        <v>10.404999999999999</v>
      </c>
      <c r="BA96" s="43">
        <f t="shared" si="21"/>
        <v>1.0631189452519951E-2</v>
      </c>
      <c r="BB96" s="43"/>
      <c r="BD96" s="44"/>
      <c r="BE96" s="44"/>
      <c r="BF96" s="44"/>
      <c r="BG96" s="45"/>
      <c r="BI96" s="44"/>
      <c r="BJ96" s="44"/>
      <c r="BK96" s="44"/>
      <c r="BL96" s="45"/>
      <c r="BN96" s="44"/>
      <c r="BO96" s="44"/>
      <c r="BP96" s="44"/>
      <c r="BQ96" s="45"/>
      <c r="BS96" s="44"/>
      <c r="BT96" s="44"/>
      <c r="BU96" s="44"/>
      <c r="BV96" s="45"/>
    </row>
    <row r="97" spans="1:74" outlineLevel="1" x14ac:dyDescent="0.15">
      <c r="A97" s="16"/>
      <c r="B97" s="16" t="s">
        <v>284</v>
      </c>
      <c r="C97" s="17" t="s">
        <v>227</v>
      </c>
      <c r="D97" s="16">
        <v>4001754</v>
      </c>
      <c r="E97" s="18">
        <v>12</v>
      </c>
      <c r="F97" s="17">
        <v>1</v>
      </c>
      <c r="G97" s="17"/>
      <c r="I97" s="19" t="str">
        <f t="shared" si="11"/>
        <v>·</v>
      </c>
      <c r="J97" s="20">
        <f t="shared" si="12"/>
        <v>4.8828248812895545</v>
      </c>
      <c r="K97" s="20">
        <f t="shared" si="13"/>
        <v>3.8442702874789405</v>
      </c>
      <c r="L97" s="20">
        <f t="shared" si="14"/>
        <v>1.0383047033875645</v>
      </c>
      <c r="M97" s="21"/>
      <c r="N97" s="20">
        <f t="shared" si="15"/>
        <v>4.8828248812895545</v>
      </c>
      <c r="O97" s="22">
        <v>4001754</v>
      </c>
      <c r="P97" s="23">
        <v>19539864</v>
      </c>
      <c r="Q97" s="23">
        <v>15383824</v>
      </c>
      <c r="R97" s="23">
        <v>4155040</v>
      </c>
      <c r="S97" s="24"/>
      <c r="T97" s="25">
        <v>40.820099999999996</v>
      </c>
      <c r="U97" s="25">
        <v>48.0929</v>
      </c>
      <c r="V97" s="25">
        <v>48.212200000000003</v>
      </c>
      <c r="W97" s="26"/>
      <c r="X97" s="25">
        <v>34.151400000000002</v>
      </c>
      <c r="Y97" s="25">
        <v>34.151400000000002</v>
      </c>
      <c r="Z97" s="25">
        <v>34.151400000000002</v>
      </c>
      <c r="AA97" s="26"/>
      <c r="AB97" s="27"/>
      <c r="AC97" s="27"/>
      <c r="AE97" s="19" t="str">
        <f t="shared" si="16"/>
        <v>·</v>
      </c>
      <c r="AF97" s="20">
        <f t="shared" si="17"/>
        <v>4.8137931517029786</v>
      </c>
      <c r="AG97" s="20">
        <f t="shared" si="18"/>
        <v>3.8442702874789405</v>
      </c>
      <c r="AH97" s="20">
        <f t="shared" si="19"/>
        <v>0.96927297380098831</v>
      </c>
      <c r="AI97" s="21"/>
      <c r="AJ97" s="20">
        <f t="shared" si="20"/>
        <v>4.8137931517029786</v>
      </c>
      <c r="AK97" s="22">
        <v>4001754</v>
      </c>
      <c r="AL97" s="23">
        <v>19263616</v>
      </c>
      <c r="AM97" s="23">
        <v>15383824</v>
      </c>
      <c r="AN97" s="23">
        <v>3878792</v>
      </c>
      <c r="AO97" s="24"/>
      <c r="AP97" s="25">
        <v>40.927500000000002</v>
      </c>
      <c r="AQ97" s="25">
        <v>48.179600000000001</v>
      </c>
      <c r="AR97" s="25">
        <v>48.293199999999999</v>
      </c>
      <c r="AS97" s="26"/>
      <c r="AT97" s="25">
        <v>34.151400000000002</v>
      </c>
      <c r="AU97" s="25">
        <v>34.151400000000002</v>
      </c>
      <c r="AV97" s="25">
        <v>34.151400000000002</v>
      </c>
      <c r="AW97" s="26"/>
      <c r="AX97" s="27">
        <v>13.321999999999999</v>
      </c>
      <c r="AY97" s="27">
        <v>10.67</v>
      </c>
      <c r="BA97" s="28">
        <f t="shared" si="21"/>
        <v>1.1290263971269643E-2</v>
      </c>
      <c r="BB97" s="28"/>
      <c r="BD97" s="29"/>
      <c r="BE97" s="29"/>
      <c r="BF97" s="29"/>
      <c r="BG97" s="30"/>
      <c r="BI97" s="29"/>
      <c r="BJ97" s="29"/>
      <c r="BK97" s="29"/>
      <c r="BL97" s="30"/>
      <c r="BN97" s="29"/>
      <c r="BO97" s="29"/>
      <c r="BP97" s="29"/>
      <c r="BQ97" s="30"/>
      <c r="BS97" s="29"/>
      <c r="BT97" s="29"/>
      <c r="BU97" s="29"/>
      <c r="BV97" s="30"/>
    </row>
    <row r="98" spans="1:74" outlineLevel="1" x14ac:dyDescent="0.15">
      <c r="A98" s="31"/>
      <c r="B98" s="31" t="s">
        <v>284</v>
      </c>
      <c r="C98" s="32" t="s">
        <v>228</v>
      </c>
      <c r="D98" s="31">
        <v>4001754</v>
      </c>
      <c r="E98" s="33">
        <v>12</v>
      </c>
      <c r="F98" s="32">
        <v>1</v>
      </c>
      <c r="G98" s="32"/>
      <c r="I98" s="34" t="str">
        <f t="shared" si="11"/>
        <v>·</v>
      </c>
      <c r="J98" s="35">
        <f t="shared" si="12"/>
        <v>4.325911087987917</v>
      </c>
      <c r="K98" s="35">
        <f t="shared" si="13"/>
        <v>3.8442702874789405</v>
      </c>
      <c r="L98" s="35">
        <f t="shared" si="14"/>
        <v>0.48139091008592733</v>
      </c>
      <c r="M98" s="36"/>
      <c r="N98" s="35">
        <f t="shared" si="15"/>
        <v>4.325911087987917</v>
      </c>
      <c r="O98" s="37">
        <v>4001754</v>
      </c>
      <c r="P98" s="38">
        <v>17311232</v>
      </c>
      <c r="Q98" s="38">
        <v>15383824</v>
      </c>
      <c r="R98" s="38">
        <v>1926408</v>
      </c>
      <c r="S98" s="39"/>
      <c r="T98" s="40">
        <v>35.389699999999998</v>
      </c>
      <c r="U98" s="40">
        <v>43.611800000000002</v>
      </c>
      <c r="V98" s="40">
        <v>43.589199999999998</v>
      </c>
      <c r="W98" s="41"/>
      <c r="X98" s="40">
        <v>28.130800000000001</v>
      </c>
      <c r="Y98" s="40">
        <v>28.130800000000001</v>
      </c>
      <c r="Z98" s="40">
        <v>28.130800000000001</v>
      </c>
      <c r="AA98" s="41"/>
      <c r="AB98" s="42"/>
      <c r="AC98" s="42"/>
      <c r="AE98" s="34" t="str">
        <f t="shared" si="16"/>
        <v>·</v>
      </c>
      <c r="AF98" s="35">
        <f t="shared" si="17"/>
        <v>4.28747994004629</v>
      </c>
      <c r="AG98" s="35">
        <f t="shared" si="18"/>
        <v>3.8442702874789405</v>
      </c>
      <c r="AH98" s="35">
        <f t="shared" si="19"/>
        <v>0.44295976214429972</v>
      </c>
      <c r="AI98" s="36"/>
      <c r="AJ98" s="35">
        <f t="shared" si="20"/>
        <v>4.28747994004629</v>
      </c>
      <c r="AK98" s="37">
        <v>4001754</v>
      </c>
      <c r="AL98" s="38">
        <v>17157440</v>
      </c>
      <c r="AM98" s="38">
        <v>15383824</v>
      </c>
      <c r="AN98" s="38">
        <v>1772616</v>
      </c>
      <c r="AO98" s="39"/>
      <c r="AP98" s="40">
        <v>35.527299999999997</v>
      </c>
      <c r="AQ98" s="40">
        <v>43.643099999999997</v>
      </c>
      <c r="AR98" s="40">
        <v>43.590299999999999</v>
      </c>
      <c r="AS98" s="41"/>
      <c r="AT98" s="40">
        <v>28.130800000000001</v>
      </c>
      <c r="AU98" s="40">
        <v>28.130800000000001</v>
      </c>
      <c r="AV98" s="40">
        <v>28.130800000000001</v>
      </c>
      <c r="AW98" s="41"/>
      <c r="AX98" s="42">
        <v>13.071999999999999</v>
      </c>
      <c r="AY98" s="42">
        <v>10.483000000000001</v>
      </c>
      <c r="BA98" s="43">
        <f t="shared" si="21"/>
        <v>7.9655832691998274E-3</v>
      </c>
      <c r="BB98" s="43"/>
      <c r="BD98" s="44"/>
      <c r="BE98" s="44"/>
      <c r="BF98" s="44"/>
      <c r="BG98" s="45"/>
      <c r="BI98" s="44"/>
      <c r="BJ98" s="44"/>
      <c r="BK98" s="44"/>
      <c r="BL98" s="45"/>
      <c r="BN98" s="44"/>
      <c r="BO98" s="44"/>
      <c r="BP98" s="44"/>
      <c r="BQ98" s="45"/>
      <c r="BS98" s="44"/>
      <c r="BT98" s="44"/>
      <c r="BU98" s="44"/>
      <c r="BV98" s="45"/>
    </row>
    <row r="99" spans="1:74" outlineLevel="1" x14ac:dyDescent="0.15">
      <c r="A99" s="16"/>
      <c r="B99" s="65" t="s">
        <v>284</v>
      </c>
      <c r="C99" s="67" t="s">
        <v>229</v>
      </c>
      <c r="D99" s="65">
        <v>4001754</v>
      </c>
      <c r="E99" s="66">
        <v>12</v>
      </c>
      <c r="F99" s="67">
        <v>1</v>
      </c>
      <c r="G99" s="67"/>
      <c r="I99" s="69" t="str">
        <f t="shared" si="11"/>
        <v>·</v>
      </c>
      <c r="J99" s="70">
        <f t="shared" si="12"/>
        <v>3.9953460407611261</v>
      </c>
      <c r="K99" s="70">
        <f t="shared" si="13"/>
        <v>3.8442702874789405</v>
      </c>
      <c r="L99" s="70">
        <f t="shared" si="14"/>
        <v>0.15082586285913627</v>
      </c>
      <c r="M99" s="75"/>
      <c r="N99" s="70">
        <f t="shared" si="15"/>
        <v>3.9953460407611261</v>
      </c>
      <c r="O99" s="71">
        <v>4001754</v>
      </c>
      <c r="P99" s="72">
        <v>15988392</v>
      </c>
      <c r="Q99" s="72">
        <v>15383824</v>
      </c>
      <c r="R99" s="72">
        <v>603568</v>
      </c>
      <c r="S99" s="76"/>
      <c r="T99" s="77">
        <v>29.303799999999999</v>
      </c>
      <c r="U99" s="77">
        <v>39.352699999999999</v>
      </c>
      <c r="V99" s="77">
        <v>38.635800000000003</v>
      </c>
      <c r="W99" s="78"/>
      <c r="X99" s="77">
        <v>21.686399999999999</v>
      </c>
      <c r="Y99" s="77">
        <v>21.686399999999999</v>
      </c>
      <c r="Z99" s="77">
        <v>21.686399999999999</v>
      </c>
      <c r="AA99" s="78"/>
      <c r="AB99" s="73"/>
      <c r="AC99" s="73"/>
      <c r="AE99" s="69" t="str">
        <f t="shared" si="16"/>
        <v>·</v>
      </c>
      <c r="AF99" s="70">
        <f t="shared" si="17"/>
        <v>3.9821818132748787</v>
      </c>
      <c r="AG99" s="70">
        <f t="shared" si="18"/>
        <v>3.8442702874789405</v>
      </c>
      <c r="AH99" s="70">
        <f t="shared" si="19"/>
        <v>0.137661635372889</v>
      </c>
      <c r="AI99" s="75"/>
      <c r="AJ99" s="70">
        <f t="shared" si="20"/>
        <v>3.9821818132748787</v>
      </c>
      <c r="AK99" s="71">
        <v>4001754</v>
      </c>
      <c r="AL99" s="72">
        <v>15935712</v>
      </c>
      <c r="AM99" s="72">
        <v>15383824</v>
      </c>
      <c r="AN99" s="72">
        <v>550888</v>
      </c>
      <c r="AO99" s="76"/>
      <c r="AP99" s="77">
        <v>29.330200000000001</v>
      </c>
      <c r="AQ99" s="77">
        <v>39.2042</v>
      </c>
      <c r="AR99" s="77">
        <v>38.521900000000002</v>
      </c>
      <c r="AS99" s="78"/>
      <c r="AT99" s="77">
        <v>21.686399999999999</v>
      </c>
      <c r="AU99" s="77">
        <v>21.686399999999999</v>
      </c>
      <c r="AV99" s="77">
        <v>21.686399999999999</v>
      </c>
      <c r="AW99" s="78"/>
      <c r="AX99" s="73">
        <v>13.305999999999999</v>
      </c>
      <c r="AY99" s="73">
        <v>10.608000000000001</v>
      </c>
      <c r="BA99" s="68">
        <f t="shared" si="21"/>
        <v>3.1807812964144144E-3</v>
      </c>
      <c r="BB99" s="68"/>
      <c r="BD99" s="74"/>
      <c r="BE99" s="74"/>
      <c r="BF99" s="74"/>
      <c r="BG99" s="79"/>
      <c r="BI99" s="74"/>
      <c r="BJ99" s="74"/>
      <c r="BK99" s="74"/>
      <c r="BL99" s="79"/>
      <c r="BN99" s="74"/>
      <c r="BO99" s="74"/>
      <c r="BP99" s="74"/>
      <c r="BQ99" s="79"/>
      <c r="BS99" s="74"/>
      <c r="BT99" s="74"/>
      <c r="BU99" s="74"/>
      <c r="BV99" s="79"/>
    </row>
    <row r="100" spans="1:74" x14ac:dyDescent="0.15">
      <c r="A100" s="31"/>
      <c r="B100" s="31" t="s">
        <v>287</v>
      </c>
      <c r="C100" s="32" t="s">
        <v>225</v>
      </c>
      <c r="D100" s="31">
        <v>1089091</v>
      </c>
      <c r="E100" s="33">
        <v>10</v>
      </c>
      <c r="F100" s="32">
        <v>1</v>
      </c>
      <c r="G100" s="32"/>
      <c r="I100" s="34" t="str">
        <f t="shared" si="11"/>
        <v>·</v>
      </c>
      <c r="J100" s="35">
        <f t="shared" si="12"/>
        <v>5.1977364609568895</v>
      </c>
      <c r="K100" s="35">
        <f t="shared" si="13"/>
        <v>1.0349474929092244</v>
      </c>
      <c r="L100" s="35">
        <f t="shared" si="14"/>
        <v>4.162296814499431</v>
      </c>
      <c r="M100" s="36"/>
      <c r="N100" s="35">
        <f t="shared" si="15"/>
        <v>5.1977364609568895</v>
      </c>
      <c r="O100" s="37">
        <v>1089091</v>
      </c>
      <c r="P100" s="38">
        <v>5660808</v>
      </c>
      <c r="Q100" s="38">
        <v>1127152</v>
      </c>
      <c r="R100" s="38">
        <v>4533120</v>
      </c>
      <c r="S100" s="39"/>
      <c r="T100" s="40">
        <v>52.467100000000002</v>
      </c>
      <c r="U100" s="40">
        <v>56.989199999999997</v>
      </c>
      <c r="V100" s="40">
        <v>56.630299999999998</v>
      </c>
      <c r="W100" s="41"/>
      <c r="X100" s="40">
        <v>48.130800000000001</v>
      </c>
      <c r="Y100" s="40">
        <v>48.130800000000001</v>
      </c>
      <c r="Z100" s="40">
        <v>48.130800000000001</v>
      </c>
      <c r="AA100" s="41"/>
      <c r="AB100" s="42"/>
      <c r="AC100" s="42"/>
      <c r="AE100" s="34" t="str">
        <f t="shared" si="16"/>
        <v>·</v>
      </c>
      <c r="AF100" s="35">
        <f t="shared" si="17"/>
        <v>5.1894212696643347</v>
      </c>
      <c r="AG100" s="35">
        <f t="shared" si="18"/>
        <v>1.0349474929092244</v>
      </c>
      <c r="AH100" s="35">
        <f t="shared" si="19"/>
        <v>4.1539816232068763</v>
      </c>
      <c r="AI100" s="36"/>
      <c r="AJ100" s="35">
        <f t="shared" si="20"/>
        <v>5.1894212696643347</v>
      </c>
      <c r="AK100" s="37">
        <v>1089091</v>
      </c>
      <c r="AL100" s="38">
        <v>5651752</v>
      </c>
      <c r="AM100" s="38">
        <v>1127152</v>
      </c>
      <c r="AN100" s="38">
        <v>4524064</v>
      </c>
      <c r="AO100" s="39"/>
      <c r="AP100" s="40">
        <v>52.475499999999997</v>
      </c>
      <c r="AQ100" s="40">
        <v>57.024999999999999</v>
      </c>
      <c r="AR100" s="40">
        <v>56.632100000000001</v>
      </c>
      <c r="AS100" s="41"/>
      <c r="AT100" s="40">
        <v>48.130800000000001</v>
      </c>
      <c r="AU100" s="40">
        <v>48.130800000000001</v>
      </c>
      <c r="AV100" s="40">
        <v>48.130800000000001</v>
      </c>
      <c r="AW100" s="41"/>
      <c r="AX100" s="42">
        <v>2.7759999999999998</v>
      </c>
      <c r="AY100" s="42">
        <v>2.1989999999999998</v>
      </c>
      <c r="BA100" s="43">
        <f t="shared" si="21"/>
        <v>3.1904899296342215E-4</v>
      </c>
      <c r="BB100" s="43">
        <f t="array" ref="BB100">AVERAGE(AM100:AM104/AL100:AL104) - AVERAGE(Q100:Q104/P100:P104)</f>
        <v>4.3318762957045842E-3</v>
      </c>
      <c r="BD100" s="44">
        <f>IF( OR(ISBLANK(R100:R104),ISBLANK(AN100:AN104), ISBLANK(T100:T104),ISBLANK(AP100:AP104)), "·", bdRateExtend( R100:R104,T100:T104, AN100:AN104,AP100:AP104))</f>
        <v>-2.9884054126998238E-2</v>
      </c>
      <c r="BE100" s="44">
        <f>IF( OR(ISBLANK(R100:R104),ISBLANK(AN100:AN104), ISBLANK(U100:U104),ISBLANK(AQ100:AQ104)), "·", bdRateExtend( R100:R104,U100:U104, AN100:AN104,AQ100:AQ104))</f>
        <v>-2.4651964466220422E-2</v>
      </c>
      <c r="BF100" s="44">
        <f>IF( OR(ISBLANK(R100:R104),ISBLANK(AN100:AN104), ISBLANK(V100:V104),ISBLANK(AR100:AR104)), "·", bdRateExtend( R100:R104,V100:V104, AN100:AN104,AR100:AR104))</f>
        <v>-2.0307309510738447E-2</v>
      </c>
      <c r="BG100" s="45"/>
      <c r="BI100" s="44">
        <f>IF( OR(ISBLANK(R100:R104),ISBLANK(AN100:AN104), ISBLANK(X100:X104),ISBLANK(AT100:AT104)), "·", bdRateExtend( R100:R104,X100:X104, AN100:AN104,AT100:AT104))</f>
        <v>-1.827011859821992E-2</v>
      </c>
      <c r="BJ100" s="44">
        <f>IF( OR(ISBLANK(R100:R104),ISBLANK(AN100:AN104), ISBLANK(Y100:Y104),ISBLANK(AU100:AU104)), "·", bdRateExtend( R100:R104,Y100:Y104, AN100:AN104,AU100:AU104))</f>
        <v>-1.827011859821992E-2</v>
      </c>
      <c r="BK100" s="44">
        <f>IF( OR(ISBLANK(R100:R104),ISBLANK(AN100:AN104), ISBLANK(Z100:Z104),ISBLANK(AV100:AV104)), "·", bdRateExtend( R100:R104,Z100:Z104, AN100:AN104,AV100:AV104))</f>
        <v>-1.827011859821992E-2</v>
      </c>
      <c r="BL100" s="45"/>
      <c r="BN100" s="44">
        <f>IF( OR(ISBLANK(P100:P104),ISBLANK(AL100:AL104), ISBLANK(T100:T104),ISBLANK(AP100:AP104)), "·", bdRateExtend( P100:P104,T100:T104, AL100:AL104,AP100:AP104))</f>
        <v>-1.3052199241517348E-2</v>
      </c>
      <c r="BO100" s="44">
        <f>IF( OR(ISBLANK(P100:P104),ISBLANK(AL100:AL104), ISBLANK(U100:U104),ISBLANK(AQ100:AQ104)), "·", bdRateExtend( P100:P104,U100:U104, AL100:AL104,AQ100:AQ104))</f>
        <v>-9.40596654420911E-3</v>
      </c>
      <c r="BP100" s="44">
        <f>IF( OR(ISBLANK(P100:P104),ISBLANK(AL100:AL104), ISBLANK(V100:V104),ISBLANK(AR100:AR104)), "·", bdRateExtend( P100:P104,V100:V104, AL100:AL104,AR100:AR104))</f>
        <v>-8.0308777077131577E-3</v>
      </c>
      <c r="BQ100" s="45"/>
      <c r="BS100" s="44">
        <f>IF( OR(ISBLANK(P100:P104),ISBLANK(AL100:AL104), ISBLANK(X100:X104),ISBLANK(AT100:AT104)), "·", bdRateExtend( P100:P104,X100:X104, AL100:AL104,AT100:AT104))</f>
        <v>-7.6751958948054755E-3</v>
      </c>
      <c r="BT100" s="44">
        <f>IF( OR(ISBLANK(P100:P104),ISBLANK(AL100:AL104), ISBLANK(Y100:Y104),ISBLANK(AU100:AU104)), "·", bdRateExtend( P100:P104,Y100:Y104, AL100:AL104,AU100:AU104))</f>
        <v>-7.6751958948054755E-3</v>
      </c>
      <c r="BU100" s="44">
        <f>IF( OR(ISBLANK(P100:P104),ISBLANK(AL100:AL104), ISBLANK(Z100:Z104),ISBLANK(AV100:AV104)), "·", bdRateExtend( P100:P104,Z100:Z104, AL100:AL104,AV100:AV104))</f>
        <v>-7.6751958948054755E-3</v>
      </c>
      <c r="BV100" s="45"/>
    </row>
    <row r="101" spans="1:74" outlineLevel="1" x14ac:dyDescent="0.15">
      <c r="A101" s="16"/>
      <c r="B101" s="16" t="s">
        <v>287</v>
      </c>
      <c r="C101" s="17" t="s">
        <v>226</v>
      </c>
      <c r="D101" s="16">
        <v>1089091</v>
      </c>
      <c r="E101" s="18">
        <v>10</v>
      </c>
      <c r="F101" s="17">
        <v>1</v>
      </c>
      <c r="G101" s="17"/>
      <c r="I101" s="19" t="str">
        <f t="shared" si="11"/>
        <v>·</v>
      </c>
      <c r="J101" s="20">
        <f t="shared" si="12"/>
        <v>3.9400417412319082</v>
      </c>
      <c r="K101" s="20">
        <f t="shared" si="13"/>
        <v>1.0349474929092244</v>
      </c>
      <c r="L101" s="20">
        <f t="shared" si="14"/>
        <v>2.9046020947744493</v>
      </c>
      <c r="M101" s="21"/>
      <c r="N101" s="20">
        <f t="shared" si="15"/>
        <v>3.9400417412319082</v>
      </c>
      <c r="O101" s="22">
        <v>1089091</v>
      </c>
      <c r="P101" s="23">
        <v>4291064</v>
      </c>
      <c r="Q101" s="23">
        <v>1127152</v>
      </c>
      <c r="R101" s="23">
        <v>3163376</v>
      </c>
      <c r="S101" s="24"/>
      <c r="T101" s="25">
        <v>47.655500000000004</v>
      </c>
      <c r="U101" s="25">
        <v>52.6541</v>
      </c>
      <c r="V101" s="25">
        <v>52.572800000000001</v>
      </c>
      <c r="W101" s="26"/>
      <c r="X101" s="25">
        <v>42.110199999999999</v>
      </c>
      <c r="Y101" s="25">
        <v>42.110199999999999</v>
      </c>
      <c r="Z101" s="25">
        <v>42.110199999999999</v>
      </c>
      <c r="AA101" s="26"/>
      <c r="AB101" s="27"/>
      <c r="AC101" s="27"/>
      <c r="AE101" s="19" t="str">
        <f t="shared" si="16"/>
        <v>·</v>
      </c>
      <c r="AF101" s="20">
        <f t="shared" si="17"/>
        <v>3.9274367339368337</v>
      </c>
      <c r="AG101" s="20">
        <f t="shared" si="18"/>
        <v>1.0349474929092244</v>
      </c>
      <c r="AH101" s="20">
        <f t="shared" si="19"/>
        <v>2.8919970874793748</v>
      </c>
      <c r="AI101" s="21"/>
      <c r="AJ101" s="20">
        <f t="shared" si="20"/>
        <v>3.9274367339368337</v>
      </c>
      <c r="AK101" s="22">
        <v>1089091</v>
      </c>
      <c r="AL101" s="23">
        <v>4277336</v>
      </c>
      <c r="AM101" s="23">
        <v>1127152</v>
      </c>
      <c r="AN101" s="23">
        <v>3149648</v>
      </c>
      <c r="AO101" s="24"/>
      <c r="AP101" s="25">
        <v>47.697699999999998</v>
      </c>
      <c r="AQ101" s="25">
        <v>52.625599999999999</v>
      </c>
      <c r="AR101" s="25">
        <v>52.592399999999998</v>
      </c>
      <c r="AS101" s="26"/>
      <c r="AT101" s="25">
        <v>42.110199999999999</v>
      </c>
      <c r="AU101" s="25">
        <v>42.110199999999999</v>
      </c>
      <c r="AV101" s="25">
        <v>42.110199999999999</v>
      </c>
      <c r="AW101" s="26"/>
      <c r="AX101" s="27">
        <v>2.9009999999999998</v>
      </c>
      <c r="AY101" s="27">
        <v>2.2149999999999999</v>
      </c>
      <c r="BA101" s="28">
        <f t="shared" si="21"/>
        <v>8.4304624343933821E-4</v>
      </c>
      <c r="BB101" s="28"/>
      <c r="BD101" s="29"/>
      <c r="BE101" s="29"/>
      <c r="BF101" s="29"/>
      <c r="BG101" s="30"/>
      <c r="BI101" s="29"/>
      <c r="BJ101" s="29"/>
      <c r="BK101" s="29"/>
      <c r="BL101" s="30"/>
      <c r="BN101" s="29"/>
      <c r="BO101" s="29"/>
      <c r="BP101" s="29"/>
      <c r="BQ101" s="30"/>
      <c r="BS101" s="29"/>
      <c r="BT101" s="29"/>
      <c r="BU101" s="29"/>
      <c r="BV101" s="30"/>
    </row>
    <row r="102" spans="1:74" outlineLevel="1" x14ac:dyDescent="0.15">
      <c r="A102" s="31"/>
      <c r="B102" s="31" t="s">
        <v>287</v>
      </c>
      <c r="C102" s="32" t="s">
        <v>227</v>
      </c>
      <c r="D102" s="31">
        <v>1089091</v>
      </c>
      <c r="E102" s="33">
        <v>10</v>
      </c>
      <c r="F102" s="32">
        <v>1</v>
      </c>
      <c r="G102" s="32"/>
      <c r="I102" s="34" t="str">
        <f t="shared" si="11"/>
        <v>·</v>
      </c>
      <c r="J102" s="35">
        <f t="shared" si="12"/>
        <v>2.5804565458717406</v>
      </c>
      <c r="K102" s="35">
        <f t="shared" si="13"/>
        <v>1.0349474929092244</v>
      </c>
      <c r="L102" s="35">
        <f t="shared" si="14"/>
        <v>1.5450168994142821</v>
      </c>
      <c r="M102" s="36"/>
      <c r="N102" s="35">
        <f t="shared" si="15"/>
        <v>2.5804565458717406</v>
      </c>
      <c r="O102" s="37">
        <v>1089091</v>
      </c>
      <c r="P102" s="38">
        <v>2810352</v>
      </c>
      <c r="Q102" s="38">
        <v>1127152</v>
      </c>
      <c r="R102" s="38">
        <v>1682664</v>
      </c>
      <c r="S102" s="39"/>
      <c r="T102" s="40">
        <v>40.593200000000003</v>
      </c>
      <c r="U102" s="40">
        <v>47.7575</v>
      </c>
      <c r="V102" s="40">
        <v>47.870899999999999</v>
      </c>
      <c r="W102" s="41"/>
      <c r="X102" s="40">
        <v>34.151400000000002</v>
      </c>
      <c r="Y102" s="40">
        <v>34.151400000000002</v>
      </c>
      <c r="Z102" s="40">
        <v>34.151400000000002</v>
      </c>
      <c r="AA102" s="41"/>
      <c r="AB102" s="42"/>
      <c r="AC102" s="42"/>
      <c r="AE102" s="34" t="str">
        <f t="shared" si="16"/>
        <v>·</v>
      </c>
      <c r="AF102" s="35">
        <f t="shared" si="17"/>
        <v>2.5620705707787503</v>
      </c>
      <c r="AG102" s="35">
        <f t="shared" si="18"/>
        <v>1.0349474929092244</v>
      </c>
      <c r="AH102" s="35">
        <f t="shared" si="19"/>
        <v>1.5266309243212919</v>
      </c>
      <c r="AI102" s="36"/>
      <c r="AJ102" s="35">
        <f t="shared" si="20"/>
        <v>2.5620705707787503</v>
      </c>
      <c r="AK102" s="37">
        <v>1089091</v>
      </c>
      <c r="AL102" s="38">
        <v>2790328</v>
      </c>
      <c r="AM102" s="38">
        <v>1127152</v>
      </c>
      <c r="AN102" s="38">
        <v>1662640</v>
      </c>
      <c r="AO102" s="39"/>
      <c r="AP102" s="40">
        <v>40.7044</v>
      </c>
      <c r="AQ102" s="40">
        <v>47.747500000000002</v>
      </c>
      <c r="AR102" s="40">
        <v>47.845199999999998</v>
      </c>
      <c r="AS102" s="41"/>
      <c r="AT102" s="40">
        <v>34.151400000000002</v>
      </c>
      <c r="AU102" s="40">
        <v>34.151400000000002</v>
      </c>
      <c r="AV102" s="40">
        <v>34.151400000000002</v>
      </c>
      <c r="AW102" s="41"/>
      <c r="AX102" s="42">
        <v>2.8079999999999998</v>
      </c>
      <c r="AY102" s="42">
        <v>2.1680000000000001</v>
      </c>
      <c r="BA102" s="43">
        <f t="shared" si="21"/>
        <v>2.878175991960441E-3</v>
      </c>
      <c r="BB102" s="43"/>
      <c r="BD102" s="44"/>
      <c r="BE102" s="44"/>
      <c r="BF102" s="44"/>
      <c r="BG102" s="45"/>
      <c r="BI102" s="44"/>
      <c r="BJ102" s="44"/>
      <c r="BK102" s="44"/>
      <c r="BL102" s="45"/>
      <c r="BN102" s="44"/>
      <c r="BO102" s="44"/>
      <c r="BP102" s="44"/>
      <c r="BQ102" s="45"/>
      <c r="BS102" s="44"/>
      <c r="BT102" s="44"/>
      <c r="BU102" s="44"/>
      <c r="BV102" s="45"/>
    </row>
    <row r="103" spans="1:74" outlineLevel="1" x14ac:dyDescent="0.15">
      <c r="A103" s="16"/>
      <c r="B103" s="16" t="s">
        <v>287</v>
      </c>
      <c r="C103" s="17" t="s">
        <v>228</v>
      </c>
      <c r="D103" s="16">
        <v>1089091</v>
      </c>
      <c r="E103" s="18">
        <v>10</v>
      </c>
      <c r="F103" s="17">
        <v>1</v>
      </c>
      <c r="G103" s="17"/>
      <c r="I103" s="19" t="str">
        <f t="shared" si="11"/>
        <v>·</v>
      </c>
      <c r="J103" s="20">
        <f t="shared" si="12"/>
        <v>1.8350936698586253</v>
      </c>
      <c r="K103" s="20">
        <f t="shared" si="13"/>
        <v>1.0349474929092244</v>
      </c>
      <c r="L103" s="20">
        <f t="shared" si="14"/>
        <v>0.79965402340116665</v>
      </c>
      <c r="M103" s="21"/>
      <c r="N103" s="20">
        <f t="shared" si="15"/>
        <v>1.8350936698586253</v>
      </c>
      <c r="O103" s="22">
        <v>1089091</v>
      </c>
      <c r="P103" s="23">
        <v>1998584</v>
      </c>
      <c r="Q103" s="23">
        <v>1127152</v>
      </c>
      <c r="R103" s="23">
        <v>870896</v>
      </c>
      <c r="S103" s="24"/>
      <c r="T103" s="25">
        <v>35.143300000000004</v>
      </c>
      <c r="U103" s="25">
        <v>43.241300000000003</v>
      </c>
      <c r="V103" s="25">
        <v>43.429200000000002</v>
      </c>
      <c r="W103" s="26"/>
      <c r="X103" s="25">
        <v>28.130800000000001</v>
      </c>
      <c r="Y103" s="25">
        <v>28.130800000000001</v>
      </c>
      <c r="Z103" s="25">
        <v>28.130800000000001</v>
      </c>
      <c r="AA103" s="26"/>
      <c r="AB103" s="27"/>
      <c r="AC103" s="27"/>
      <c r="AE103" s="19" t="str">
        <f t="shared" si="16"/>
        <v>·</v>
      </c>
      <c r="AF103" s="20">
        <f t="shared" si="17"/>
        <v>1.8107137052826623</v>
      </c>
      <c r="AG103" s="20">
        <f t="shared" si="18"/>
        <v>1.0349474929092244</v>
      </c>
      <c r="AH103" s="20">
        <f t="shared" si="19"/>
        <v>0.77527405882520373</v>
      </c>
      <c r="AI103" s="21"/>
      <c r="AJ103" s="20">
        <f t="shared" si="20"/>
        <v>1.8107137052826623</v>
      </c>
      <c r="AK103" s="22">
        <v>1089091</v>
      </c>
      <c r="AL103" s="23">
        <v>1972032</v>
      </c>
      <c r="AM103" s="23">
        <v>1127152</v>
      </c>
      <c r="AN103" s="23">
        <v>844344</v>
      </c>
      <c r="AO103" s="24"/>
      <c r="AP103" s="25">
        <v>35.271799999999999</v>
      </c>
      <c r="AQ103" s="25">
        <v>43.294499999999999</v>
      </c>
      <c r="AR103" s="25">
        <v>43.407899999999998</v>
      </c>
      <c r="AS103" s="26"/>
      <c r="AT103" s="25">
        <v>28.130800000000001</v>
      </c>
      <c r="AU103" s="25">
        <v>28.130800000000001</v>
      </c>
      <c r="AV103" s="25">
        <v>28.130800000000001</v>
      </c>
      <c r="AW103" s="26"/>
      <c r="AX103" s="27">
        <v>3.0880000000000001</v>
      </c>
      <c r="AY103" s="27">
        <v>2.1840000000000002</v>
      </c>
      <c r="BA103" s="28">
        <f t="shared" si="21"/>
        <v>7.5935238473767708E-3</v>
      </c>
      <c r="BB103" s="28"/>
      <c r="BD103" s="29"/>
      <c r="BE103" s="29"/>
      <c r="BF103" s="29"/>
      <c r="BG103" s="30"/>
      <c r="BI103" s="29"/>
      <c r="BJ103" s="29"/>
      <c r="BK103" s="29"/>
      <c r="BL103" s="30"/>
      <c r="BN103" s="29"/>
      <c r="BO103" s="29"/>
      <c r="BP103" s="29"/>
      <c r="BQ103" s="30"/>
      <c r="BS103" s="29"/>
      <c r="BT103" s="29"/>
      <c r="BU103" s="29"/>
      <c r="BV103" s="30"/>
    </row>
    <row r="104" spans="1:74" outlineLevel="1" x14ac:dyDescent="0.15">
      <c r="A104" s="31"/>
      <c r="B104" s="46" t="s">
        <v>287</v>
      </c>
      <c r="C104" s="47" t="s">
        <v>229</v>
      </c>
      <c r="D104" s="46">
        <v>1089091</v>
      </c>
      <c r="E104" s="48">
        <v>10</v>
      </c>
      <c r="F104" s="47">
        <v>1</v>
      </c>
      <c r="G104" s="47"/>
      <c r="I104" s="49" t="str">
        <f t="shared" si="11"/>
        <v>·</v>
      </c>
      <c r="J104" s="50">
        <f t="shared" si="12"/>
        <v>1.3232760164210338</v>
      </c>
      <c r="K104" s="50">
        <f t="shared" si="13"/>
        <v>1.0349474929092244</v>
      </c>
      <c r="L104" s="50">
        <f t="shared" si="14"/>
        <v>0.28783636996357514</v>
      </c>
      <c r="M104" s="51"/>
      <c r="N104" s="50">
        <f t="shared" si="15"/>
        <v>1.3232760164210338</v>
      </c>
      <c r="O104" s="52">
        <v>1089091</v>
      </c>
      <c r="P104" s="53">
        <v>1441168</v>
      </c>
      <c r="Q104" s="53">
        <v>1127152</v>
      </c>
      <c r="R104" s="53">
        <v>313480</v>
      </c>
      <c r="S104" s="54"/>
      <c r="T104" s="55">
        <v>29.213699999999999</v>
      </c>
      <c r="U104" s="55">
        <v>39.076999999999998</v>
      </c>
      <c r="V104" s="55">
        <v>38.042200000000001</v>
      </c>
      <c r="W104" s="56"/>
      <c r="X104" s="55">
        <v>21.686399999999999</v>
      </c>
      <c r="Y104" s="55">
        <v>21.686399999999999</v>
      </c>
      <c r="Z104" s="55">
        <v>21.686399999999999</v>
      </c>
      <c r="AA104" s="56"/>
      <c r="AB104" s="57"/>
      <c r="AC104" s="57"/>
      <c r="AE104" s="49" t="str">
        <f t="shared" si="16"/>
        <v>·</v>
      </c>
      <c r="AF104" s="50">
        <f t="shared" si="17"/>
        <v>1.3065281046303752</v>
      </c>
      <c r="AG104" s="50">
        <f t="shared" si="18"/>
        <v>1.0349474929092244</v>
      </c>
      <c r="AH104" s="50">
        <f t="shared" si="19"/>
        <v>0.27108845817291666</v>
      </c>
      <c r="AI104" s="51"/>
      <c r="AJ104" s="50">
        <f t="shared" si="20"/>
        <v>1.3065281046303752</v>
      </c>
      <c r="AK104" s="52">
        <v>1089091</v>
      </c>
      <c r="AL104" s="53">
        <v>1422928</v>
      </c>
      <c r="AM104" s="53">
        <v>1127152</v>
      </c>
      <c r="AN104" s="53">
        <v>295240</v>
      </c>
      <c r="AO104" s="54"/>
      <c r="AP104" s="55">
        <v>29.3141</v>
      </c>
      <c r="AQ104" s="55">
        <v>39.293999999999997</v>
      </c>
      <c r="AR104" s="55">
        <v>38.106999999999999</v>
      </c>
      <c r="AS104" s="56"/>
      <c r="AT104" s="55">
        <v>21.686399999999999</v>
      </c>
      <c r="AU104" s="55">
        <v>21.686399999999999</v>
      </c>
      <c r="AV104" s="55">
        <v>21.686399999999999</v>
      </c>
      <c r="AW104" s="56"/>
      <c r="AX104" s="57">
        <v>2.8079999999999998</v>
      </c>
      <c r="AY104" s="57">
        <v>2.262</v>
      </c>
      <c r="BA104" s="58">
        <f t="shared" si="21"/>
        <v>1.0025586402783171E-2</v>
      </c>
      <c r="BB104" s="58"/>
      <c r="BD104" s="59"/>
      <c r="BE104" s="59"/>
      <c r="BF104" s="59"/>
      <c r="BG104" s="60"/>
      <c r="BI104" s="59"/>
      <c r="BJ104" s="59"/>
      <c r="BK104" s="59"/>
      <c r="BL104" s="60"/>
      <c r="BN104" s="59"/>
      <c r="BO104" s="59"/>
      <c r="BP104" s="59"/>
      <c r="BQ104" s="60"/>
      <c r="BS104" s="59"/>
      <c r="BT104" s="59"/>
      <c r="BU104" s="59"/>
      <c r="BV104" s="60"/>
    </row>
    <row r="105" spans="1:74" x14ac:dyDescent="0.15">
      <c r="A105" s="16"/>
      <c r="B105" s="16" t="s">
        <v>290</v>
      </c>
      <c r="C105" s="17" t="s">
        <v>225</v>
      </c>
      <c r="D105" s="16">
        <v>3130215</v>
      </c>
      <c r="E105" s="18">
        <v>12</v>
      </c>
      <c r="F105" s="17">
        <v>1</v>
      </c>
      <c r="G105" s="17"/>
      <c r="I105" s="19" t="str">
        <f t="shared" si="11"/>
        <v>·</v>
      </c>
      <c r="J105" s="20">
        <f t="shared" si="12"/>
        <v>5.6907733174877766</v>
      </c>
      <c r="K105" s="20">
        <f t="shared" si="13"/>
        <v>1.0974786076994711</v>
      </c>
      <c r="L105" s="20">
        <f t="shared" si="14"/>
        <v>4.592990577324561</v>
      </c>
      <c r="M105" s="21"/>
      <c r="N105" s="20">
        <f t="shared" si="15"/>
        <v>5.6907733174877766</v>
      </c>
      <c r="O105" s="22">
        <v>3130215</v>
      </c>
      <c r="P105" s="23">
        <v>17813344</v>
      </c>
      <c r="Q105" s="23">
        <v>3435344</v>
      </c>
      <c r="R105" s="23">
        <v>14377048</v>
      </c>
      <c r="S105" s="24"/>
      <c r="T105" s="25">
        <v>52.790100000000002</v>
      </c>
      <c r="U105" s="25">
        <v>55.270699999999998</v>
      </c>
      <c r="V105" s="25">
        <v>56.254100000000001</v>
      </c>
      <c r="W105" s="26"/>
      <c r="X105" s="25">
        <v>48.130800000000001</v>
      </c>
      <c r="Y105" s="25">
        <v>48.130800000000001</v>
      </c>
      <c r="Z105" s="25">
        <v>48.130800000000001</v>
      </c>
      <c r="AA105" s="26"/>
      <c r="AB105" s="27"/>
      <c r="AC105" s="27"/>
      <c r="AE105" s="19" t="str">
        <f t="shared" si="16"/>
        <v>·</v>
      </c>
      <c r="AF105" s="20">
        <f t="shared" si="17"/>
        <v>5.6142673905786022</v>
      </c>
      <c r="AG105" s="20">
        <f t="shared" si="18"/>
        <v>1.0974786076994711</v>
      </c>
      <c r="AH105" s="20">
        <f t="shared" si="19"/>
        <v>4.5164846504153866</v>
      </c>
      <c r="AI105" s="21"/>
      <c r="AJ105" s="20">
        <f t="shared" si="20"/>
        <v>5.6142673905786022</v>
      </c>
      <c r="AK105" s="22">
        <v>3130215</v>
      </c>
      <c r="AL105" s="23">
        <v>17573864</v>
      </c>
      <c r="AM105" s="23">
        <v>3435344</v>
      </c>
      <c r="AN105" s="23">
        <v>14137568</v>
      </c>
      <c r="AO105" s="24"/>
      <c r="AP105" s="25">
        <v>52.825299999999999</v>
      </c>
      <c r="AQ105" s="25">
        <v>55.317599999999999</v>
      </c>
      <c r="AR105" s="25">
        <v>56.279600000000002</v>
      </c>
      <c r="AS105" s="26"/>
      <c r="AT105" s="25">
        <v>48.130800000000001</v>
      </c>
      <c r="AU105" s="25">
        <v>48.130800000000001</v>
      </c>
      <c r="AV105" s="25">
        <v>48.130800000000001</v>
      </c>
      <c r="AW105" s="26"/>
      <c r="AX105" s="27">
        <v>8.5329999999999995</v>
      </c>
      <c r="AY105" s="27">
        <v>6.7389999999999999</v>
      </c>
      <c r="BA105" s="28">
        <f t="shared" si="21"/>
        <v>2.628008498844786E-3</v>
      </c>
      <c r="BB105" s="28">
        <f t="array" ref="BB105">AVERAGE(AM105:AM109/AL105:AL109) - AVERAGE(Q105:Q109/P105:P109)</f>
        <v>6.6551288863063718E-3</v>
      </c>
      <c r="BD105" s="29">
        <f>IF( OR(ISBLANK(R105:R109),ISBLANK(AN105:AN109), ISBLANK(T105:T109),ISBLANK(AP105:AP109)), "·", bdRateExtend( R105:R109,T105:T109, AN105:AN109,AP105:AP109))</f>
        <v>-4.196075463881821E-2</v>
      </c>
      <c r="BE105" s="29">
        <f>IF( OR(ISBLANK(R105:R109),ISBLANK(AN105:AN109), ISBLANK(U105:U109),ISBLANK(AQ105:AQ109)), "·", bdRateExtend( R105:R109,U105:U109, AN105:AN109,AQ105:AQ109))</f>
        <v>-4.4095098239807728E-2</v>
      </c>
      <c r="BF105" s="29">
        <f>IF( OR(ISBLANK(R105:R109),ISBLANK(AN105:AN109), ISBLANK(V105:V109),ISBLANK(AR105:AR109)), "·", bdRateExtend( R105:R109,V105:V109, AN105:AN109,AR105:AR109))</f>
        <v>-4.1226022680586838E-2</v>
      </c>
      <c r="BG105" s="30"/>
      <c r="BI105" s="29">
        <f>IF( OR(ISBLANK(R105:R109),ISBLANK(AN105:AN109), ISBLANK(X105:X109),ISBLANK(AT105:AT109)), "·", bdRateExtend( R105:R109,X105:X109, AN105:AN109,AT105:AT109))</f>
        <v>-3.0218810960781606E-2</v>
      </c>
      <c r="BJ105" s="29">
        <f>IF( OR(ISBLANK(R105:R109),ISBLANK(AN105:AN109), ISBLANK(Y105:Y109),ISBLANK(AU105:AU109)), "·", bdRateExtend( R105:R109,Y105:Y109, AN105:AN109,AU105:AU109))</f>
        <v>-3.0218810960781606E-2</v>
      </c>
      <c r="BK105" s="29">
        <f>IF( OR(ISBLANK(R105:R109),ISBLANK(AN105:AN109), ISBLANK(Z105:Z109),ISBLANK(AV105:AV109)), "·", bdRateExtend( R105:R109,Z105:Z109, AN105:AN109,AV105:AV109))</f>
        <v>-3.0218810960781606E-2</v>
      </c>
      <c r="BL105" s="30"/>
      <c r="BN105" s="29">
        <f>IF( OR(ISBLANK(P105:P109),ISBLANK(AL105:AL109), ISBLANK(T105:T109),ISBLANK(AP105:AP109)), "·", bdRateExtend( P105:P109,T105:T109, AL105:AL109,AP105:AP109))</f>
        <v>-2.0989571335788271E-2</v>
      </c>
      <c r="BO105" s="29">
        <f>IF( OR(ISBLANK(P105:P109),ISBLANK(AL105:AL109), ISBLANK(U105:U109),ISBLANK(AQ105:AQ109)), "·", bdRateExtend( P105:P109,U105:U109, AL105:AL109,AQ105:AQ109))</f>
        <v>-2.0778322877528455E-2</v>
      </c>
      <c r="BP105" s="29">
        <f>IF( OR(ISBLANK(P105:P109),ISBLANK(AL105:AL109), ISBLANK(V105:V109),ISBLANK(AR105:AR109)), "·", bdRateExtend( P105:P109,V105:V109, AL105:AL109,AR105:AR109))</f>
        <v>-2.0229735360366874E-2</v>
      </c>
      <c r="BQ105" s="30"/>
      <c r="BS105" s="29">
        <f>IF( OR(ISBLANK(P105:P109),ISBLANK(AL105:AL109), ISBLANK(X105:X109),ISBLANK(AT105:AT109)), "·", bdRateExtend( P105:P109,X105:X109, AL105:AL109,AT105:AT109))</f>
        <v>-1.5696428496892234E-2</v>
      </c>
      <c r="BT105" s="29">
        <f>IF( OR(ISBLANK(P105:P109),ISBLANK(AL105:AL109), ISBLANK(Y105:Y109),ISBLANK(AU105:AU109)), "·", bdRateExtend( P105:P109,Y105:Y109, AL105:AL109,AU105:AU109))</f>
        <v>-1.5696428496892234E-2</v>
      </c>
      <c r="BU105" s="29">
        <f>IF( OR(ISBLANK(P105:P109),ISBLANK(AL105:AL109), ISBLANK(Z105:Z109),ISBLANK(AV105:AV109)), "·", bdRateExtend( P105:P109,Z105:Z109, AL105:AL109,AV105:AV109))</f>
        <v>-1.5696428496892234E-2</v>
      </c>
      <c r="BV105" s="30"/>
    </row>
    <row r="106" spans="1:74" outlineLevel="1" x14ac:dyDescent="0.15">
      <c r="A106" s="31"/>
      <c r="B106" s="31" t="s">
        <v>290</v>
      </c>
      <c r="C106" s="32" t="s">
        <v>226</v>
      </c>
      <c r="D106" s="31">
        <v>3130215</v>
      </c>
      <c r="E106" s="33">
        <v>12</v>
      </c>
      <c r="F106" s="32">
        <v>1</v>
      </c>
      <c r="G106" s="32"/>
      <c r="I106" s="34" t="str">
        <f t="shared" si="11"/>
        <v>·</v>
      </c>
      <c r="J106" s="35">
        <f t="shared" si="12"/>
        <v>4.1468538103612689</v>
      </c>
      <c r="K106" s="35">
        <f t="shared" si="13"/>
        <v>1.0974786076994711</v>
      </c>
      <c r="L106" s="35">
        <f t="shared" si="14"/>
        <v>3.0490710701980537</v>
      </c>
      <c r="M106" s="36"/>
      <c r="N106" s="35">
        <f t="shared" si="15"/>
        <v>4.1468538103612689</v>
      </c>
      <c r="O106" s="37">
        <v>3130215</v>
      </c>
      <c r="P106" s="38">
        <v>12980544</v>
      </c>
      <c r="Q106" s="38">
        <v>3435344</v>
      </c>
      <c r="R106" s="38">
        <v>9544248</v>
      </c>
      <c r="S106" s="39"/>
      <c r="T106" s="40">
        <v>48.2864</v>
      </c>
      <c r="U106" s="40">
        <v>51.717399999999998</v>
      </c>
      <c r="V106" s="40">
        <v>51.6128</v>
      </c>
      <c r="W106" s="41"/>
      <c r="X106" s="40">
        <v>42.110199999999999</v>
      </c>
      <c r="Y106" s="40">
        <v>42.110199999999999</v>
      </c>
      <c r="Z106" s="40">
        <v>42.110199999999999</v>
      </c>
      <c r="AA106" s="41"/>
      <c r="AB106" s="42"/>
      <c r="AC106" s="42"/>
      <c r="AE106" s="34" t="str">
        <f t="shared" si="16"/>
        <v>·</v>
      </c>
      <c r="AF106" s="35">
        <f t="shared" si="17"/>
        <v>4.089201540469265</v>
      </c>
      <c r="AG106" s="35">
        <f t="shared" si="18"/>
        <v>1.0974786076994711</v>
      </c>
      <c r="AH106" s="35">
        <f t="shared" si="19"/>
        <v>2.9914188003060493</v>
      </c>
      <c r="AI106" s="36"/>
      <c r="AJ106" s="35">
        <f t="shared" si="20"/>
        <v>4.089201540469265</v>
      </c>
      <c r="AK106" s="37">
        <v>3130215</v>
      </c>
      <c r="AL106" s="38">
        <v>12800080</v>
      </c>
      <c r="AM106" s="38">
        <v>3435344</v>
      </c>
      <c r="AN106" s="38">
        <v>9363784</v>
      </c>
      <c r="AO106" s="39"/>
      <c r="AP106" s="40">
        <v>48.335999999999999</v>
      </c>
      <c r="AQ106" s="40">
        <v>51.740499999999997</v>
      </c>
      <c r="AR106" s="40">
        <v>51.654600000000002</v>
      </c>
      <c r="AS106" s="41"/>
      <c r="AT106" s="40">
        <v>42.110199999999999</v>
      </c>
      <c r="AU106" s="40">
        <v>42.110199999999999</v>
      </c>
      <c r="AV106" s="40">
        <v>42.110199999999999</v>
      </c>
      <c r="AW106" s="41"/>
      <c r="AX106" s="42">
        <v>8.4860000000000007</v>
      </c>
      <c r="AY106" s="42">
        <v>6.5359999999999996</v>
      </c>
      <c r="BA106" s="43">
        <f t="shared" si="21"/>
        <v>3.7312576043839751E-3</v>
      </c>
      <c r="BB106" s="43"/>
      <c r="BD106" s="44"/>
      <c r="BE106" s="44"/>
      <c r="BF106" s="44"/>
      <c r="BG106" s="45"/>
      <c r="BI106" s="44"/>
      <c r="BJ106" s="44"/>
      <c r="BK106" s="44"/>
      <c r="BL106" s="45"/>
      <c r="BN106" s="44"/>
      <c r="BO106" s="44"/>
      <c r="BP106" s="44"/>
      <c r="BQ106" s="45"/>
      <c r="BS106" s="44"/>
      <c r="BT106" s="44"/>
      <c r="BU106" s="44"/>
      <c r="BV106" s="45"/>
    </row>
    <row r="107" spans="1:74" outlineLevel="1" x14ac:dyDescent="0.15">
      <c r="A107" s="16"/>
      <c r="B107" s="16" t="s">
        <v>290</v>
      </c>
      <c r="C107" s="17" t="s">
        <v>227</v>
      </c>
      <c r="D107" s="16">
        <v>3130215</v>
      </c>
      <c r="E107" s="18">
        <v>12</v>
      </c>
      <c r="F107" s="17">
        <v>1</v>
      </c>
      <c r="G107" s="17"/>
      <c r="I107" s="19" t="str">
        <f t="shared" si="11"/>
        <v>·</v>
      </c>
      <c r="J107" s="20">
        <f t="shared" si="12"/>
        <v>2.7399498117541445</v>
      </c>
      <c r="K107" s="20">
        <f t="shared" si="13"/>
        <v>1.0974786076994711</v>
      </c>
      <c r="L107" s="20">
        <f t="shared" si="14"/>
        <v>1.6421670715909291</v>
      </c>
      <c r="M107" s="21"/>
      <c r="N107" s="20">
        <f t="shared" si="15"/>
        <v>2.7399498117541445</v>
      </c>
      <c r="O107" s="22">
        <v>3130215</v>
      </c>
      <c r="P107" s="23">
        <v>8576632</v>
      </c>
      <c r="Q107" s="23">
        <v>3435344</v>
      </c>
      <c r="R107" s="23">
        <v>5140336</v>
      </c>
      <c r="S107" s="24"/>
      <c r="T107" s="25">
        <v>41.237499999999997</v>
      </c>
      <c r="U107" s="25">
        <v>45.7361</v>
      </c>
      <c r="V107" s="25">
        <v>46.255899999999997</v>
      </c>
      <c r="W107" s="26"/>
      <c r="X107" s="25">
        <v>34.151400000000002</v>
      </c>
      <c r="Y107" s="25">
        <v>34.151400000000002</v>
      </c>
      <c r="Z107" s="25">
        <v>34.151400000000002</v>
      </c>
      <c r="AA107" s="26"/>
      <c r="AB107" s="27"/>
      <c r="AC107" s="27"/>
      <c r="AE107" s="19" t="str">
        <f t="shared" si="16"/>
        <v>·</v>
      </c>
      <c r="AF107" s="20">
        <f t="shared" si="17"/>
        <v>2.6920962298116904</v>
      </c>
      <c r="AG107" s="20">
        <f t="shared" si="18"/>
        <v>1.0974786076994711</v>
      </c>
      <c r="AH107" s="20">
        <f t="shared" si="19"/>
        <v>1.5943134896484745</v>
      </c>
      <c r="AI107" s="21"/>
      <c r="AJ107" s="20">
        <f t="shared" si="20"/>
        <v>2.6920962298116904</v>
      </c>
      <c r="AK107" s="22">
        <v>3130215</v>
      </c>
      <c r="AL107" s="23">
        <v>8426840</v>
      </c>
      <c r="AM107" s="23">
        <v>3435344</v>
      </c>
      <c r="AN107" s="23">
        <v>4990544</v>
      </c>
      <c r="AO107" s="24"/>
      <c r="AP107" s="25">
        <v>41.3187</v>
      </c>
      <c r="AQ107" s="25">
        <v>45.665199999999999</v>
      </c>
      <c r="AR107" s="25">
        <v>46.321100000000001</v>
      </c>
      <c r="AS107" s="26"/>
      <c r="AT107" s="25">
        <v>34.151400000000002</v>
      </c>
      <c r="AU107" s="25">
        <v>34.151400000000002</v>
      </c>
      <c r="AV107" s="25">
        <v>34.151400000000002</v>
      </c>
      <c r="AW107" s="26"/>
      <c r="AX107" s="27">
        <v>8.4239999999999995</v>
      </c>
      <c r="AY107" s="27">
        <v>6.3330000000000002</v>
      </c>
      <c r="BA107" s="28">
        <f t="shared" si="21"/>
        <v>7.1199562851283482E-3</v>
      </c>
      <c r="BB107" s="28"/>
      <c r="BD107" s="29"/>
      <c r="BE107" s="29"/>
      <c r="BF107" s="29"/>
      <c r="BG107" s="30"/>
      <c r="BI107" s="29"/>
      <c r="BJ107" s="29"/>
      <c r="BK107" s="29"/>
      <c r="BL107" s="30"/>
      <c r="BN107" s="29"/>
      <c r="BO107" s="29"/>
      <c r="BP107" s="29"/>
      <c r="BQ107" s="30"/>
      <c r="BS107" s="29"/>
      <c r="BT107" s="29"/>
      <c r="BU107" s="29"/>
      <c r="BV107" s="30"/>
    </row>
    <row r="108" spans="1:74" outlineLevel="1" x14ac:dyDescent="0.15">
      <c r="A108" s="31"/>
      <c r="B108" s="31" t="s">
        <v>290</v>
      </c>
      <c r="C108" s="32" t="s">
        <v>228</v>
      </c>
      <c r="D108" s="31">
        <v>3130215</v>
      </c>
      <c r="E108" s="33">
        <v>12</v>
      </c>
      <c r="F108" s="32">
        <v>1</v>
      </c>
      <c r="G108" s="32"/>
      <c r="I108" s="34" t="str">
        <f t="shared" si="11"/>
        <v>·</v>
      </c>
      <c r="J108" s="35">
        <f t="shared" si="12"/>
        <v>1.9587306303241152</v>
      </c>
      <c r="K108" s="35">
        <f t="shared" si="13"/>
        <v>1.0974786076994711</v>
      </c>
      <c r="L108" s="35">
        <f t="shared" si="14"/>
        <v>0.86094789016089945</v>
      </c>
      <c r="M108" s="36"/>
      <c r="N108" s="35">
        <f t="shared" si="15"/>
        <v>1.9587306303241152</v>
      </c>
      <c r="O108" s="37">
        <v>3130215</v>
      </c>
      <c r="P108" s="38">
        <v>6131248</v>
      </c>
      <c r="Q108" s="38">
        <v>3435344</v>
      </c>
      <c r="R108" s="38">
        <v>2694952</v>
      </c>
      <c r="S108" s="39"/>
      <c r="T108" s="40">
        <v>35.708100000000002</v>
      </c>
      <c r="U108" s="40">
        <v>40.893099999999997</v>
      </c>
      <c r="V108" s="40">
        <v>41.252400000000002</v>
      </c>
      <c r="W108" s="41"/>
      <c r="X108" s="40">
        <v>28.130800000000001</v>
      </c>
      <c r="Y108" s="40">
        <v>28.130800000000001</v>
      </c>
      <c r="Z108" s="40">
        <v>28.130800000000001</v>
      </c>
      <c r="AA108" s="41"/>
      <c r="AB108" s="42"/>
      <c r="AC108" s="42"/>
      <c r="AE108" s="34" t="str">
        <f t="shared" si="16"/>
        <v>·</v>
      </c>
      <c r="AF108" s="35">
        <f t="shared" si="17"/>
        <v>1.923918964032822</v>
      </c>
      <c r="AG108" s="35">
        <f t="shared" si="18"/>
        <v>1.0974786076994711</v>
      </c>
      <c r="AH108" s="35">
        <f t="shared" si="19"/>
        <v>0.82613622386960639</v>
      </c>
      <c r="AI108" s="36"/>
      <c r="AJ108" s="35">
        <f t="shared" si="20"/>
        <v>1.923918964032822</v>
      </c>
      <c r="AK108" s="37">
        <v>3130215</v>
      </c>
      <c r="AL108" s="38">
        <v>6022280</v>
      </c>
      <c r="AM108" s="38">
        <v>3435344</v>
      </c>
      <c r="AN108" s="38">
        <v>2585984</v>
      </c>
      <c r="AO108" s="39"/>
      <c r="AP108" s="40">
        <v>35.8611</v>
      </c>
      <c r="AQ108" s="40">
        <v>41.155799999999999</v>
      </c>
      <c r="AR108" s="40">
        <v>41.308199999999999</v>
      </c>
      <c r="AS108" s="41"/>
      <c r="AT108" s="40">
        <v>28.130800000000001</v>
      </c>
      <c r="AU108" s="40">
        <v>28.130800000000001</v>
      </c>
      <c r="AV108" s="40">
        <v>28.130800000000001</v>
      </c>
      <c r="AW108" s="41"/>
      <c r="AX108" s="42">
        <v>8.5020000000000007</v>
      </c>
      <c r="AY108" s="42">
        <v>6.2859999999999996</v>
      </c>
      <c r="BA108" s="43">
        <f t="shared" si="21"/>
        <v>1.0138165697052615E-2</v>
      </c>
      <c r="BB108" s="43"/>
      <c r="BD108" s="44"/>
      <c r="BE108" s="44"/>
      <c r="BF108" s="44"/>
      <c r="BG108" s="45"/>
      <c r="BI108" s="44"/>
      <c r="BJ108" s="44"/>
      <c r="BK108" s="44"/>
      <c r="BL108" s="45"/>
      <c r="BN108" s="44"/>
      <c r="BO108" s="44"/>
      <c r="BP108" s="44"/>
      <c r="BQ108" s="45"/>
      <c r="BS108" s="44"/>
      <c r="BT108" s="44"/>
      <c r="BU108" s="44"/>
      <c r="BV108" s="45"/>
    </row>
    <row r="109" spans="1:74" outlineLevel="1" x14ac:dyDescent="0.15">
      <c r="A109" s="16"/>
      <c r="B109" s="65" t="s">
        <v>290</v>
      </c>
      <c r="C109" s="67" t="s">
        <v>229</v>
      </c>
      <c r="D109" s="65">
        <v>3130215</v>
      </c>
      <c r="E109" s="66">
        <v>12</v>
      </c>
      <c r="F109" s="67">
        <v>1</v>
      </c>
      <c r="G109" s="67"/>
      <c r="I109" s="69" t="str">
        <f t="shared" si="11"/>
        <v>·</v>
      </c>
      <c r="J109" s="70">
        <f t="shared" si="12"/>
        <v>1.4540240846076069</v>
      </c>
      <c r="K109" s="70">
        <f t="shared" si="13"/>
        <v>1.0974786076994711</v>
      </c>
      <c r="L109" s="70">
        <f t="shared" si="14"/>
        <v>0.35624134444439121</v>
      </c>
      <c r="M109" s="75"/>
      <c r="N109" s="70">
        <f t="shared" si="15"/>
        <v>1.4540240846076069</v>
      </c>
      <c r="O109" s="71">
        <v>3130215</v>
      </c>
      <c r="P109" s="72">
        <v>4551408</v>
      </c>
      <c r="Q109" s="72">
        <v>3435344</v>
      </c>
      <c r="R109" s="72">
        <v>1115112</v>
      </c>
      <c r="S109" s="76"/>
      <c r="T109" s="77">
        <v>29.461300000000001</v>
      </c>
      <c r="U109" s="77">
        <v>35.177199999999999</v>
      </c>
      <c r="V109" s="77">
        <v>35.7166</v>
      </c>
      <c r="W109" s="78"/>
      <c r="X109" s="77">
        <v>21.686399999999999</v>
      </c>
      <c r="Y109" s="77">
        <v>21.686399999999999</v>
      </c>
      <c r="Z109" s="77">
        <v>21.686399999999999</v>
      </c>
      <c r="AA109" s="78"/>
      <c r="AB109" s="73"/>
      <c r="AC109" s="73"/>
      <c r="AE109" s="69" t="str">
        <f t="shared" si="16"/>
        <v>·</v>
      </c>
      <c r="AF109" s="70">
        <f t="shared" si="17"/>
        <v>1.4356534615034431</v>
      </c>
      <c r="AG109" s="70">
        <f t="shared" si="18"/>
        <v>1.0974786076994711</v>
      </c>
      <c r="AH109" s="70">
        <f t="shared" si="19"/>
        <v>0.33787072134022744</v>
      </c>
      <c r="AI109" s="75"/>
      <c r="AJ109" s="70">
        <f t="shared" si="20"/>
        <v>1.4356534615034431</v>
      </c>
      <c r="AK109" s="71">
        <v>3130215</v>
      </c>
      <c r="AL109" s="72">
        <v>4493904</v>
      </c>
      <c r="AM109" s="72">
        <v>3435344</v>
      </c>
      <c r="AN109" s="72">
        <v>1057608</v>
      </c>
      <c r="AO109" s="76"/>
      <c r="AP109" s="77">
        <v>29.577999999999999</v>
      </c>
      <c r="AQ109" s="77">
        <v>35.282699999999998</v>
      </c>
      <c r="AR109" s="77">
        <v>36.012900000000002</v>
      </c>
      <c r="AS109" s="78"/>
      <c r="AT109" s="77">
        <v>21.686399999999999</v>
      </c>
      <c r="AU109" s="77">
        <v>21.686399999999999</v>
      </c>
      <c r="AV109" s="77">
        <v>21.686399999999999</v>
      </c>
      <c r="AW109" s="78"/>
      <c r="AX109" s="73">
        <v>8.2210000000000001</v>
      </c>
      <c r="AY109" s="73">
        <v>6.3959999999999999</v>
      </c>
      <c r="BA109" s="68">
        <f t="shared" si="21"/>
        <v>9.6582563461220516E-3</v>
      </c>
      <c r="BB109" s="68"/>
      <c r="BD109" s="74"/>
      <c r="BE109" s="74"/>
      <c r="BF109" s="74"/>
      <c r="BG109" s="79"/>
      <c r="BI109" s="74"/>
      <c r="BJ109" s="74"/>
      <c r="BK109" s="74"/>
      <c r="BL109" s="79"/>
      <c r="BN109" s="74"/>
      <c r="BO109" s="74"/>
      <c r="BP109" s="74"/>
      <c r="BQ109" s="79"/>
      <c r="BS109" s="74"/>
      <c r="BT109" s="74"/>
      <c r="BU109" s="74"/>
      <c r="BV109" s="79"/>
    </row>
    <row r="110" spans="1:74" x14ac:dyDescent="0.15">
      <c r="A110" s="31"/>
      <c r="B110" s="31" t="s">
        <v>293</v>
      </c>
      <c r="C110" s="32" t="s">
        <v>225</v>
      </c>
      <c r="D110" s="31">
        <v>1995189</v>
      </c>
      <c r="E110" s="33">
        <v>13</v>
      </c>
      <c r="F110" s="32">
        <v>1</v>
      </c>
      <c r="G110" s="32"/>
      <c r="I110" s="34" t="str">
        <f t="shared" si="11"/>
        <v>·</v>
      </c>
      <c r="J110" s="35">
        <f t="shared" si="12"/>
        <v>15.796470409570221</v>
      </c>
      <c r="K110" s="35">
        <f t="shared" si="13"/>
        <v>11.243005048644514</v>
      </c>
      <c r="L110" s="35">
        <f t="shared" si="14"/>
        <v>4.5531646375355921</v>
      </c>
      <c r="M110" s="36"/>
      <c r="N110" s="35">
        <f t="shared" si="15"/>
        <v>15.796470409570221</v>
      </c>
      <c r="O110" s="37">
        <v>1995189</v>
      </c>
      <c r="P110" s="38">
        <v>31516944</v>
      </c>
      <c r="Q110" s="38">
        <v>22431920</v>
      </c>
      <c r="R110" s="38">
        <v>9084424</v>
      </c>
      <c r="S110" s="39"/>
      <c r="T110" s="40">
        <v>53.42</v>
      </c>
      <c r="U110" s="40">
        <v>56.096800000000002</v>
      </c>
      <c r="V110" s="40">
        <v>55.376199999999997</v>
      </c>
      <c r="W110" s="41"/>
      <c r="X110" s="40">
        <v>48.130800000000001</v>
      </c>
      <c r="Y110" s="40">
        <v>48.130800000000001</v>
      </c>
      <c r="Z110" s="40">
        <v>48.130800000000001</v>
      </c>
      <c r="AA110" s="41"/>
      <c r="AB110" s="42"/>
      <c r="AC110" s="42"/>
      <c r="AE110" s="34" t="str">
        <f t="shared" si="16"/>
        <v>·</v>
      </c>
      <c r="AF110" s="35">
        <f t="shared" si="17"/>
        <v>15.838082507471723</v>
      </c>
      <c r="AG110" s="35">
        <f t="shared" si="18"/>
        <v>11.243005048644514</v>
      </c>
      <c r="AH110" s="35">
        <f t="shared" si="19"/>
        <v>4.5947767354370939</v>
      </c>
      <c r="AI110" s="36"/>
      <c r="AJ110" s="35">
        <f t="shared" si="20"/>
        <v>15.838082507471723</v>
      </c>
      <c r="AK110" s="37">
        <v>1995189</v>
      </c>
      <c r="AL110" s="38">
        <v>31599968</v>
      </c>
      <c r="AM110" s="38">
        <v>22431920</v>
      </c>
      <c r="AN110" s="38">
        <v>9167448</v>
      </c>
      <c r="AO110" s="39"/>
      <c r="AP110" s="40">
        <v>53.649000000000001</v>
      </c>
      <c r="AQ110" s="40">
        <v>56.100999999999999</v>
      </c>
      <c r="AR110" s="40">
        <v>55.5139</v>
      </c>
      <c r="AS110" s="41"/>
      <c r="AT110" s="40">
        <v>48.130800000000001</v>
      </c>
      <c r="AU110" s="40">
        <v>48.130800000000001</v>
      </c>
      <c r="AV110" s="40">
        <v>48.130800000000001</v>
      </c>
      <c r="AW110" s="41"/>
      <c r="AX110" s="42">
        <v>11.324999999999999</v>
      </c>
      <c r="AY110" s="42">
        <v>9.5310000000000006</v>
      </c>
      <c r="BA110" s="43">
        <f t="shared" si="21"/>
        <v>-1.8699903178422961E-3</v>
      </c>
      <c r="BB110" s="43">
        <f t="array" ref="BB110">AVERAGE(AM110:AM114/AL110:AL114) - AVERAGE(Q110:Q114/P110:P114)</f>
        <v>-3.6306273804542766E-4</v>
      </c>
      <c r="BD110" s="44">
        <f>IF( OR(ISBLANK(R110:R114),ISBLANK(AN110:AN114), ISBLANK(T110:T114),ISBLANK(AP110:AP114)), "·", bdRateExtend( R110:R114,T110:T114, AN110:AN114,AP110:AP114))</f>
        <v>-3.1020666219944149E-3</v>
      </c>
      <c r="BE110" s="44">
        <f>IF( OR(ISBLANK(R110:R114),ISBLANK(AN110:AN114), ISBLANK(U110:U114),ISBLANK(AQ110:AQ114)), "·", bdRateExtend( R110:R114,U110:U114, AN110:AN114,AQ110:AQ114))</f>
        <v>-1.1368821564132103E-2</v>
      </c>
      <c r="BF110" s="44">
        <f>IF( OR(ISBLANK(R110:R114),ISBLANK(AN110:AN114), ISBLANK(V110:V114),ISBLANK(AR110:AR114)), "·", bdRateExtend( R110:R114,V110:V114, AN110:AN114,AR110:AR114))</f>
        <v>4.409598244077495E-3</v>
      </c>
      <c r="BG110" s="45"/>
      <c r="BI110" s="44">
        <f>IF( OR(ISBLANK(R110:R114),ISBLANK(AN110:AN114), ISBLANK(X110:X114),ISBLANK(AT110:AT114)), "·", bdRateExtend( R110:R114,X110:X114, AN110:AN114,AT110:AT114))</f>
        <v>3.5100716620695138E-4</v>
      </c>
      <c r="BJ110" s="44">
        <f>IF( OR(ISBLANK(R110:R114),ISBLANK(AN110:AN114), ISBLANK(Y110:Y114),ISBLANK(AU110:AU114)), "·", bdRateExtend( R110:R114,Y110:Y114, AN110:AN114,AU110:AU114))</f>
        <v>3.5100716620695138E-4</v>
      </c>
      <c r="BK110" s="44">
        <f>IF( OR(ISBLANK(R110:R114),ISBLANK(AN110:AN114), ISBLANK(Z110:Z114),ISBLANK(AV110:AV114)), "·", bdRateExtend( R110:R114,Z110:Z114, AN110:AN114,AV110:AV114))</f>
        <v>3.5100716620695138E-4</v>
      </c>
      <c r="BL110" s="45"/>
      <c r="BN110" s="44">
        <f>IF( OR(ISBLANK(P110:P114),ISBLANK(AL110:AL114), ISBLANK(T110:T114),ISBLANK(AP110:AP114)), "·", bdRateExtend( P110:P114,T110:T114, AL110:AL114,AP110:AP114))</f>
        <v>2.0059042434850127E-5</v>
      </c>
      <c r="BO110" s="44">
        <f>IF( OR(ISBLANK(P110:P114),ISBLANK(AL110:AL114), ISBLANK(U110:U114),ISBLANK(AQ110:AQ114)), "·", bdRateExtend( P110:P114,U110:U114, AL110:AL114,AQ110:AQ114))</f>
        <v>-7.1894971905084315E-4</v>
      </c>
      <c r="BP110" s="44">
        <f>IF( OR(ISBLANK(P110:P114),ISBLANK(AL110:AL114), ISBLANK(V110:V114),ISBLANK(AR110:AR114)), "·", bdRateExtend( P110:P114,V110:V114, AL110:AL114,AR110:AR114))</f>
        <v>9.2583139984658835E-4</v>
      </c>
      <c r="BQ110" s="45"/>
      <c r="BS110" s="44">
        <f>IF( OR(ISBLANK(P110:P114),ISBLANK(AL110:AL114), ISBLANK(X110:X114),ISBLANK(AT110:AT114)), "·", bdRateExtend( P110:P114,X110:X114, AL110:AL114,AT110:AT114))</f>
        <v>4.2444126025142914E-4</v>
      </c>
      <c r="BT110" s="44">
        <f>IF( OR(ISBLANK(P110:P114),ISBLANK(AL110:AL114), ISBLANK(Y110:Y114),ISBLANK(AU110:AU114)), "·", bdRateExtend( P110:P114,Y110:Y114, AL110:AL114,AU110:AU114))</f>
        <v>4.2444126025142914E-4</v>
      </c>
      <c r="BU110" s="44">
        <f>IF( OR(ISBLANK(P110:P114),ISBLANK(AL110:AL114), ISBLANK(Z110:Z114),ISBLANK(AV110:AV114)), "·", bdRateExtend( P110:P114,Z110:Z114, AL110:AL114,AV110:AV114))</f>
        <v>4.2444126025142914E-4</v>
      </c>
      <c r="BV110" s="45"/>
    </row>
    <row r="111" spans="1:74" outlineLevel="1" x14ac:dyDescent="0.15">
      <c r="A111" s="16"/>
      <c r="B111" s="16" t="s">
        <v>293</v>
      </c>
      <c r="C111" s="17" t="s">
        <v>226</v>
      </c>
      <c r="D111" s="16">
        <v>1995189</v>
      </c>
      <c r="E111" s="18">
        <v>13</v>
      </c>
      <c r="F111" s="17">
        <v>1</v>
      </c>
      <c r="G111" s="17"/>
      <c r="I111" s="19" t="str">
        <f t="shared" si="11"/>
        <v>·</v>
      </c>
      <c r="J111" s="20">
        <f t="shared" si="12"/>
        <v>14.646211461671049</v>
      </c>
      <c r="K111" s="20">
        <f t="shared" si="13"/>
        <v>11.243005048644514</v>
      </c>
      <c r="L111" s="20">
        <f t="shared" si="14"/>
        <v>3.4029056896364205</v>
      </c>
      <c r="M111" s="21"/>
      <c r="N111" s="20">
        <f t="shared" si="15"/>
        <v>14.646211461671049</v>
      </c>
      <c r="O111" s="22">
        <v>1995189</v>
      </c>
      <c r="P111" s="23">
        <v>29221960</v>
      </c>
      <c r="Q111" s="23">
        <v>22431920</v>
      </c>
      <c r="R111" s="23">
        <v>6789440</v>
      </c>
      <c r="S111" s="24"/>
      <c r="T111" s="25">
        <v>49.158900000000003</v>
      </c>
      <c r="U111" s="25">
        <v>51.991</v>
      </c>
      <c r="V111" s="25">
        <v>51.523600000000002</v>
      </c>
      <c r="W111" s="26"/>
      <c r="X111" s="25">
        <v>42.110199999999999</v>
      </c>
      <c r="Y111" s="25">
        <v>42.110199999999999</v>
      </c>
      <c r="Z111" s="25">
        <v>42.110199999999999</v>
      </c>
      <c r="AA111" s="26"/>
      <c r="AB111" s="27"/>
      <c r="AC111" s="27"/>
      <c r="AE111" s="19" t="str">
        <f t="shared" si="16"/>
        <v>·</v>
      </c>
      <c r="AF111" s="20">
        <f t="shared" si="17"/>
        <v>14.660517875750116</v>
      </c>
      <c r="AG111" s="20">
        <f t="shared" si="18"/>
        <v>11.243005048644514</v>
      </c>
      <c r="AH111" s="20">
        <f t="shared" si="19"/>
        <v>3.4172121037154874</v>
      </c>
      <c r="AI111" s="21"/>
      <c r="AJ111" s="20">
        <f t="shared" si="20"/>
        <v>14.660517875750116</v>
      </c>
      <c r="AK111" s="22">
        <v>1995189</v>
      </c>
      <c r="AL111" s="23">
        <v>29250504</v>
      </c>
      <c r="AM111" s="23">
        <v>22431920</v>
      </c>
      <c r="AN111" s="23">
        <v>6817984</v>
      </c>
      <c r="AO111" s="24"/>
      <c r="AP111" s="25">
        <v>49.141500000000001</v>
      </c>
      <c r="AQ111" s="25">
        <v>52.130299999999998</v>
      </c>
      <c r="AR111" s="25">
        <v>51.543900000000001</v>
      </c>
      <c r="AS111" s="26"/>
      <c r="AT111" s="25">
        <v>42.110199999999999</v>
      </c>
      <c r="AU111" s="25">
        <v>42.110199999999999</v>
      </c>
      <c r="AV111" s="25">
        <v>42.110199999999999</v>
      </c>
      <c r="AW111" s="26"/>
      <c r="AX111" s="27">
        <v>10.856999999999999</v>
      </c>
      <c r="AY111" s="27">
        <v>9.5779999999999994</v>
      </c>
      <c r="BA111" s="28">
        <f t="shared" si="21"/>
        <v>-7.490979086820504E-4</v>
      </c>
      <c r="BB111" s="28"/>
      <c r="BD111" s="29"/>
      <c r="BE111" s="29"/>
      <c r="BF111" s="29"/>
      <c r="BG111" s="30"/>
      <c r="BI111" s="29"/>
      <c r="BJ111" s="29"/>
      <c r="BK111" s="29"/>
      <c r="BL111" s="30"/>
      <c r="BN111" s="29"/>
      <c r="BO111" s="29"/>
      <c r="BP111" s="29"/>
      <c r="BQ111" s="30"/>
      <c r="BS111" s="29"/>
      <c r="BT111" s="29"/>
      <c r="BU111" s="29"/>
      <c r="BV111" s="30"/>
    </row>
    <row r="112" spans="1:74" outlineLevel="1" x14ac:dyDescent="0.15">
      <c r="A112" s="31"/>
      <c r="B112" s="31" t="s">
        <v>293</v>
      </c>
      <c r="C112" s="32" t="s">
        <v>227</v>
      </c>
      <c r="D112" s="31">
        <v>1995189</v>
      </c>
      <c r="E112" s="33">
        <v>13</v>
      </c>
      <c r="F112" s="32">
        <v>1</v>
      </c>
      <c r="G112" s="32"/>
      <c r="I112" s="34" t="str">
        <f t="shared" si="11"/>
        <v>·</v>
      </c>
      <c r="J112" s="35">
        <f t="shared" si="12"/>
        <v>13.387339244552772</v>
      </c>
      <c r="K112" s="35">
        <f t="shared" si="13"/>
        <v>11.243005048644514</v>
      </c>
      <c r="L112" s="35">
        <f t="shared" si="14"/>
        <v>2.1440334725181422</v>
      </c>
      <c r="M112" s="36"/>
      <c r="N112" s="35">
        <f t="shared" si="15"/>
        <v>13.387339244552772</v>
      </c>
      <c r="O112" s="37">
        <v>1995189</v>
      </c>
      <c r="P112" s="38">
        <v>26710272</v>
      </c>
      <c r="Q112" s="38">
        <v>22431920</v>
      </c>
      <c r="R112" s="38">
        <v>4277752</v>
      </c>
      <c r="S112" s="39"/>
      <c r="T112" s="40">
        <v>42.008800000000001</v>
      </c>
      <c r="U112" s="40">
        <v>45.976799999999997</v>
      </c>
      <c r="V112" s="40">
        <v>45.4756</v>
      </c>
      <c r="W112" s="41"/>
      <c r="X112" s="40">
        <v>34.151400000000002</v>
      </c>
      <c r="Y112" s="40">
        <v>34.151400000000002</v>
      </c>
      <c r="Z112" s="40">
        <v>34.151400000000002</v>
      </c>
      <c r="AA112" s="41"/>
      <c r="AB112" s="42"/>
      <c r="AC112" s="42"/>
      <c r="AE112" s="34" t="str">
        <f t="shared" si="16"/>
        <v>·</v>
      </c>
      <c r="AF112" s="35">
        <f t="shared" si="17"/>
        <v>13.392431493958718</v>
      </c>
      <c r="AG112" s="35">
        <f t="shared" si="18"/>
        <v>11.243005048644514</v>
      </c>
      <c r="AH112" s="35">
        <f t="shared" si="19"/>
        <v>2.1491257219240882</v>
      </c>
      <c r="AI112" s="36"/>
      <c r="AJ112" s="35">
        <f t="shared" si="20"/>
        <v>13.392431493958718</v>
      </c>
      <c r="AK112" s="37">
        <v>1995189</v>
      </c>
      <c r="AL112" s="38">
        <v>26720432</v>
      </c>
      <c r="AM112" s="38">
        <v>22431920</v>
      </c>
      <c r="AN112" s="38">
        <v>4287912</v>
      </c>
      <c r="AO112" s="39"/>
      <c r="AP112" s="40">
        <v>41.891100000000002</v>
      </c>
      <c r="AQ112" s="40">
        <v>45.802799999999998</v>
      </c>
      <c r="AR112" s="40">
        <v>45.3827</v>
      </c>
      <c r="AS112" s="41"/>
      <c r="AT112" s="40">
        <v>34.151400000000002</v>
      </c>
      <c r="AU112" s="40">
        <v>34.151400000000002</v>
      </c>
      <c r="AV112" s="40">
        <v>34.151400000000002</v>
      </c>
      <c r="AW112" s="41"/>
      <c r="AX112" s="42">
        <v>11.388</v>
      </c>
      <c r="AY112" s="42">
        <v>9.5310000000000006</v>
      </c>
      <c r="BA112" s="43">
        <f t="shared" si="21"/>
        <v>-3.1932900627373861E-4</v>
      </c>
      <c r="BB112" s="43"/>
      <c r="BD112" s="44"/>
      <c r="BE112" s="44"/>
      <c r="BF112" s="44"/>
      <c r="BG112" s="45"/>
      <c r="BI112" s="44"/>
      <c r="BJ112" s="44"/>
      <c r="BK112" s="44"/>
      <c r="BL112" s="45"/>
      <c r="BN112" s="44"/>
      <c r="BO112" s="44"/>
      <c r="BP112" s="44"/>
      <c r="BQ112" s="45"/>
      <c r="BS112" s="44"/>
      <c r="BT112" s="44"/>
      <c r="BU112" s="44"/>
      <c r="BV112" s="45"/>
    </row>
    <row r="113" spans="1:74" outlineLevel="1" x14ac:dyDescent="0.15">
      <c r="A113" s="16"/>
      <c r="B113" s="16" t="s">
        <v>293</v>
      </c>
      <c r="C113" s="17" t="s">
        <v>228</v>
      </c>
      <c r="D113" s="16">
        <v>1995189</v>
      </c>
      <c r="E113" s="18">
        <v>13</v>
      </c>
      <c r="F113" s="17">
        <v>1</v>
      </c>
      <c r="G113" s="17"/>
      <c r="I113" s="19" t="str">
        <f t="shared" si="11"/>
        <v>·</v>
      </c>
      <c r="J113" s="20">
        <f t="shared" si="12"/>
        <v>12.589103087476925</v>
      </c>
      <c r="K113" s="20">
        <f t="shared" si="13"/>
        <v>11.243005048644514</v>
      </c>
      <c r="L113" s="20">
        <f t="shared" si="14"/>
        <v>1.3457973154422964</v>
      </c>
      <c r="M113" s="21"/>
      <c r="N113" s="20">
        <f t="shared" si="15"/>
        <v>12.589103087476925</v>
      </c>
      <c r="O113" s="22">
        <v>1995189</v>
      </c>
      <c r="P113" s="23">
        <v>25117640</v>
      </c>
      <c r="Q113" s="23">
        <v>22431920</v>
      </c>
      <c r="R113" s="23">
        <v>2685120</v>
      </c>
      <c r="S113" s="24"/>
      <c r="T113" s="25">
        <v>36.417999999999999</v>
      </c>
      <c r="U113" s="25">
        <v>40.5976</v>
      </c>
      <c r="V113" s="25">
        <v>40.418900000000001</v>
      </c>
      <c r="W113" s="26"/>
      <c r="X113" s="25">
        <v>28.130800000000001</v>
      </c>
      <c r="Y113" s="25">
        <v>28.130800000000001</v>
      </c>
      <c r="Z113" s="25">
        <v>28.130800000000001</v>
      </c>
      <c r="AA113" s="26"/>
      <c r="AB113" s="27"/>
      <c r="AC113" s="27"/>
      <c r="AE113" s="19" t="str">
        <f t="shared" si="16"/>
        <v>·</v>
      </c>
      <c r="AF113" s="20">
        <f t="shared" si="17"/>
        <v>12.584339628977505</v>
      </c>
      <c r="AG113" s="20">
        <f t="shared" si="18"/>
        <v>11.243005048644514</v>
      </c>
      <c r="AH113" s="20">
        <f t="shared" si="19"/>
        <v>1.3410338569428761</v>
      </c>
      <c r="AI113" s="21"/>
      <c r="AJ113" s="20">
        <f t="shared" si="20"/>
        <v>12.584339628977505</v>
      </c>
      <c r="AK113" s="22">
        <v>1995189</v>
      </c>
      <c r="AL113" s="23">
        <v>25108136</v>
      </c>
      <c r="AM113" s="23">
        <v>22431920</v>
      </c>
      <c r="AN113" s="23">
        <v>2675616</v>
      </c>
      <c r="AO113" s="24"/>
      <c r="AP113" s="25">
        <v>36.581699999999998</v>
      </c>
      <c r="AQ113" s="25">
        <v>40.808199999999999</v>
      </c>
      <c r="AR113" s="25">
        <v>40.160299999999999</v>
      </c>
      <c r="AS113" s="26"/>
      <c r="AT113" s="25">
        <v>28.130800000000001</v>
      </c>
      <c r="AU113" s="25">
        <v>28.130800000000001</v>
      </c>
      <c r="AV113" s="25">
        <v>28.130800000000001</v>
      </c>
      <c r="AW113" s="26"/>
      <c r="AX113" s="27">
        <v>11.263</v>
      </c>
      <c r="AY113" s="27">
        <v>9.36</v>
      </c>
      <c r="BA113" s="28">
        <f t="shared" si="21"/>
        <v>3.3804893426347959E-4</v>
      </c>
      <c r="BB113" s="28"/>
      <c r="BD113" s="29"/>
      <c r="BE113" s="29"/>
      <c r="BF113" s="29"/>
      <c r="BG113" s="30"/>
      <c r="BI113" s="29"/>
      <c r="BJ113" s="29"/>
      <c r="BK113" s="29"/>
      <c r="BL113" s="30"/>
      <c r="BN113" s="29"/>
      <c r="BO113" s="29"/>
      <c r="BP113" s="29"/>
      <c r="BQ113" s="30"/>
      <c r="BS113" s="29"/>
      <c r="BT113" s="29"/>
      <c r="BU113" s="29"/>
      <c r="BV113" s="30"/>
    </row>
    <row r="114" spans="1:74" outlineLevel="1" x14ac:dyDescent="0.15">
      <c r="A114" s="46"/>
      <c r="B114" s="46" t="s">
        <v>293</v>
      </c>
      <c r="C114" s="47" t="s">
        <v>229</v>
      </c>
      <c r="D114" s="46">
        <v>1995189</v>
      </c>
      <c r="E114" s="48">
        <v>13</v>
      </c>
      <c r="F114" s="47">
        <v>1</v>
      </c>
      <c r="G114" s="47"/>
      <c r="I114" s="49" t="str">
        <f t="shared" si="11"/>
        <v>·</v>
      </c>
      <c r="J114" s="50">
        <f t="shared" si="12"/>
        <v>11.969797347519458</v>
      </c>
      <c r="K114" s="50">
        <f t="shared" si="13"/>
        <v>11.243005048644514</v>
      </c>
      <c r="L114" s="50">
        <f t="shared" si="14"/>
        <v>0.72649157548482879</v>
      </c>
      <c r="M114" s="51"/>
      <c r="N114" s="50">
        <f t="shared" si="15"/>
        <v>11.969797347519458</v>
      </c>
      <c r="O114" s="52">
        <v>1995189</v>
      </c>
      <c r="P114" s="53">
        <v>23882008</v>
      </c>
      <c r="Q114" s="53">
        <v>22431920</v>
      </c>
      <c r="R114" s="53">
        <v>1449488</v>
      </c>
      <c r="S114" s="54"/>
      <c r="T114" s="55">
        <v>29.818000000000001</v>
      </c>
      <c r="U114" s="55">
        <v>34.976199999999999</v>
      </c>
      <c r="V114" s="55">
        <v>34.218499999999999</v>
      </c>
      <c r="W114" s="56"/>
      <c r="X114" s="55">
        <v>21.686399999999999</v>
      </c>
      <c r="Y114" s="55">
        <v>21.686399999999999</v>
      </c>
      <c r="Z114" s="55">
        <v>21.686399999999999</v>
      </c>
      <c r="AA114" s="56"/>
      <c r="AB114" s="57"/>
      <c r="AC114" s="57"/>
      <c r="AE114" s="49" t="str">
        <f t="shared" si="16"/>
        <v>·</v>
      </c>
      <c r="AF114" s="50">
        <f t="shared" si="17"/>
        <v>11.959801302032037</v>
      </c>
      <c r="AG114" s="50">
        <f t="shared" si="18"/>
        <v>11.243005048644514</v>
      </c>
      <c r="AH114" s="50">
        <f t="shared" si="19"/>
        <v>0.71649552999740873</v>
      </c>
      <c r="AI114" s="51"/>
      <c r="AJ114" s="50">
        <f t="shared" si="20"/>
        <v>11.959801302032037</v>
      </c>
      <c r="AK114" s="52">
        <v>1995189</v>
      </c>
      <c r="AL114" s="53">
        <v>23862064</v>
      </c>
      <c r="AM114" s="53">
        <v>22431920</v>
      </c>
      <c r="AN114" s="53">
        <v>1429544</v>
      </c>
      <c r="AO114" s="54"/>
      <c r="AP114" s="55">
        <v>29.806100000000001</v>
      </c>
      <c r="AQ114" s="55">
        <v>35.516199999999998</v>
      </c>
      <c r="AR114" s="55">
        <v>34.601199999999999</v>
      </c>
      <c r="AS114" s="56"/>
      <c r="AT114" s="55">
        <v>21.686399999999999</v>
      </c>
      <c r="AU114" s="55">
        <v>21.686399999999999</v>
      </c>
      <c r="AV114" s="55">
        <v>21.686399999999999</v>
      </c>
      <c r="AW114" s="56"/>
      <c r="AX114" s="57">
        <v>11.169</v>
      </c>
      <c r="AY114" s="57">
        <v>9.516</v>
      </c>
      <c r="BA114" s="58">
        <f t="shared" si="21"/>
        <v>7.8505460830713414E-4</v>
      </c>
      <c r="BB114" s="58"/>
      <c r="BD114" s="59"/>
      <c r="BE114" s="59"/>
      <c r="BF114" s="59"/>
      <c r="BG114" s="60"/>
      <c r="BI114" s="59"/>
      <c r="BJ114" s="59"/>
      <c r="BK114" s="59"/>
      <c r="BL114" s="60"/>
      <c r="BN114" s="59"/>
      <c r="BO114" s="59"/>
      <c r="BP114" s="59"/>
      <c r="BQ114" s="60"/>
      <c r="BS114" s="59"/>
      <c r="BT114" s="59"/>
      <c r="BU114" s="59"/>
      <c r="BV114" s="60"/>
    </row>
    <row r="115" spans="1:74" x14ac:dyDescent="0.15">
      <c r="A115" s="16" t="s">
        <v>297</v>
      </c>
      <c r="B115" s="16" t="s">
        <v>296</v>
      </c>
      <c r="C115" s="17" t="s">
        <v>225</v>
      </c>
      <c r="D115" s="16">
        <v>1481746</v>
      </c>
      <c r="E115" s="18">
        <v>12</v>
      </c>
      <c r="F115" s="17">
        <v>1</v>
      </c>
      <c r="G115" s="17"/>
      <c r="I115" s="19" t="str">
        <f t="shared" si="11"/>
        <v>·</v>
      </c>
      <c r="J115" s="20">
        <f t="shared" si="12"/>
        <v>22.236696437851023</v>
      </c>
      <c r="K115" s="20">
        <f t="shared" si="13"/>
        <v>10.003965591943558</v>
      </c>
      <c r="L115" s="20">
        <f t="shared" si="14"/>
        <v>12.232217937487261</v>
      </c>
      <c r="M115" s="21"/>
      <c r="N115" s="20">
        <f t="shared" si="15"/>
        <v>22.236696437851023</v>
      </c>
      <c r="O115" s="22">
        <v>1481746</v>
      </c>
      <c r="P115" s="23">
        <v>32949136</v>
      </c>
      <c r="Q115" s="23">
        <v>14823336</v>
      </c>
      <c r="R115" s="23">
        <v>18125040</v>
      </c>
      <c r="S115" s="24"/>
      <c r="T115" s="25">
        <v>53.360999999999997</v>
      </c>
      <c r="U115" s="25">
        <v>54.907400000000003</v>
      </c>
      <c r="V115" s="25">
        <v>54.918900000000001</v>
      </c>
      <c r="W115" s="26"/>
      <c r="X115" s="25">
        <v>48.130800000000001</v>
      </c>
      <c r="Y115" s="25">
        <v>48.130800000000001</v>
      </c>
      <c r="Z115" s="25">
        <v>48.130800000000001</v>
      </c>
      <c r="AA115" s="26"/>
      <c r="AB115" s="27"/>
      <c r="AC115" s="27"/>
      <c r="AE115" s="19" t="str">
        <f t="shared" si="16"/>
        <v>·</v>
      </c>
      <c r="AF115" s="20">
        <f t="shared" si="17"/>
        <v>22.202990256089777</v>
      </c>
      <c r="AG115" s="20">
        <f t="shared" si="18"/>
        <v>10.003965591943558</v>
      </c>
      <c r="AH115" s="20">
        <f t="shared" si="19"/>
        <v>12.198511755726015</v>
      </c>
      <c r="AI115" s="21"/>
      <c r="AJ115" s="20">
        <f t="shared" si="20"/>
        <v>22.202990256089777</v>
      </c>
      <c r="AK115" s="22">
        <v>1481746</v>
      </c>
      <c r="AL115" s="23">
        <v>32899192</v>
      </c>
      <c r="AM115" s="23">
        <v>14823336</v>
      </c>
      <c r="AN115" s="23">
        <v>18075096</v>
      </c>
      <c r="AO115" s="24"/>
      <c r="AP115" s="25">
        <v>53.373100000000001</v>
      </c>
      <c r="AQ115" s="25">
        <v>54.903599999999997</v>
      </c>
      <c r="AR115" s="25">
        <v>54.933100000000003</v>
      </c>
      <c r="AS115" s="26"/>
      <c r="AT115" s="25">
        <v>48.130800000000001</v>
      </c>
      <c r="AU115" s="25">
        <v>48.130800000000001</v>
      </c>
      <c r="AV115" s="25">
        <v>48.130800000000001</v>
      </c>
      <c r="AW115" s="26"/>
      <c r="AX115" s="27">
        <v>6.9420000000000002</v>
      </c>
      <c r="AY115" s="27">
        <v>6.1459999999999999</v>
      </c>
      <c r="BA115" s="28">
        <f t="shared" si="21"/>
        <v>6.8296745969481654E-4</v>
      </c>
      <c r="BB115" s="28">
        <f t="array" ref="BB115">AVERAGE(AM115:AM119/AL115:AL119) - AVERAGE(Q115:Q119/P115:P119)</f>
        <v>1.8204295463516429E-3</v>
      </c>
      <c r="BD115" s="29">
        <f>IF( OR(ISBLANK(R115:R119),ISBLANK(AN115:AN119), ISBLANK(T115:T119),ISBLANK(AP115:AP119)), "·", bdRateExtend( R115:R119,T115:T119, AN115:AN119,AP115:AP119))</f>
        <v>-7.8802115700138398E-3</v>
      </c>
      <c r="BE115" s="29">
        <f>IF( OR(ISBLANK(R115:R119),ISBLANK(AN115:AN119), ISBLANK(U115:U119),ISBLANK(AQ115:AQ119)), "·", bdRateExtend( R115:R119,U115:U119, AN115:AN119,AQ115:AQ119))</f>
        <v>-1.2467954662511382E-2</v>
      </c>
      <c r="BF115" s="29">
        <f>IF( OR(ISBLANK(R115:R119),ISBLANK(AN115:AN119), ISBLANK(V115:V119),ISBLANK(AR115:AR119)), "·", bdRateExtend( R115:R119,V115:V119, AN115:AN119,AR115:AR119))</f>
        <v>-1.1653465224364168E-2</v>
      </c>
      <c r="BG115" s="30"/>
      <c r="BI115" s="29">
        <f>IF( OR(ISBLANK(R115:R119),ISBLANK(AN115:AN119), ISBLANK(X115:X119),ISBLANK(AT115:AT119)), "·", bdRateExtend( R115:R119,X115:X119, AN115:AN119,AT115:AT119))</f>
        <v>-8.2206107710375287E-3</v>
      </c>
      <c r="BJ115" s="29">
        <f>IF( OR(ISBLANK(R115:R119),ISBLANK(AN115:AN119), ISBLANK(Y115:Y119),ISBLANK(AU115:AU119)), "·", bdRateExtend( R115:R119,Y115:Y119, AN115:AN119,AU115:AU119))</f>
        <v>-8.2206107710375287E-3</v>
      </c>
      <c r="BK115" s="29">
        <f>IF( OR(ISBLANK(R115:R119),ISBLANK(AN115:AN119), ISBLANK(Z115:Z119),ISBLANK(AV115:AV119)), "·", bdRateExtend( R115:R119,Z115:Z119, AN115:AN119,AV115:AV119))</f>
        <v>-8.2206107710375287E-3</v>
      </c>
      <c r="BL115" s="30"/>
      <c r="BN115" s="29">
        <f>IF( OR(ISBLANK(P115:P119),ISBLANK(AL115:AL119), ISBLANK(T115:T119),ISBLANK(AP115:AP119)), "·", bdRateExtend( P115:P119,T115:T119, AL115:AL119,AP115:AP119))</f>
        <v>-2.6635954036017262E-3</v>
      </c>
      <c r="BO115" s="29">
        <f>IF( OR(ISBLANK(P115:P119),ISBLANK(AL115:AL119), ISBLANK(U115:U119),ISBLANK(AQ115:AQ119)), "·", bdRateExtend( P115:P119,U115:U119, AL115:AL119,AQ115:AQ119))</f>
        <v>-4.0234417839718484E-3</v>
      </c>
      <c r="BP115" s="29">
        <f>IF( OR(ISBLANK(P115:P119),ISBLANK(AL115:AL119), ISBLANK(V115:V119),ISBLANK(AR115:AR119)), "·", bdRateExtend( P115:P119,V115:V119, AL115:AL119,AR115:AR119))</f>
        <v>-3.787460653183583E-3</v>
      </c>
      <c r="BQ115" s="30"/>
      <c r="BS115" s="29">
        <f>IF( OR(ISBLANK(P115:P119),ISBLANK(AL115:AL119), ISBLANK(X115:X119),ISBLANK(AT115:AT119)), "·", bdRateExtend( P115:P119,X115:X119, AL115:AL119,AT115:AT119))</f>
        <v>-2.7566314538821635E-3</v>
      </c>
      <c r="BT115" s="29">
        <f>IF( OR(ISBLANK(P115:P119),ISBLANK(AL115:AL119), ISBLANK(Y115:Y119),ISBLANK(AU115:AU119)), "·", bdRateExtend( P115:P119,Y115:Y119, AL115:AL119,AU115:AU119))</f>
        <v>-2.7566314538821635E-3</v>
      </c>
      <c r="BU115" s="29">
        <f>IF( OR(ISBLANK(P115:P119),ISBLANK(AL115:AL119), ISBLANK(Z115:Z119),ISBLANK(AV115:AV119)), "·", bdRateExtend( P115:P119,Z115:Z119, AL115:AL119,AV115:AV119))</f>
        <v>-2.7566314538821635E-3</v>
      </c>
      <c r="BV115" s="30"/>
    </row>
    <row r="116" spans="1:74" outlineLevel="1" x14ac:dyDescent="0.15">
      <c r="A116" s="31"/>
      <c r="B116" s="31" t="s">
        <v>296</v>
      </c>
      <c r="C116" s="32" t="s">
        <v>226</v>
      </c>
      <c r="D116" s="31">
        <v>1481746</v>
      </c>
      <c r="E116" s="33">
        <v>12</v>
      </c>
      <c r="F116" s="32">
        <v>1</v>
      </c>
      <c r="G116" s="32"/>
      <c r="I116" s="34" t="str">
        <f t="shared" si="11"/>
        <v>·</v>
      </c>
      <c r="J116" s="35">
        <f t="shared" si="12"/>
        <v>19.419214899179753</v>
      </c>
      <c r="K116" s="35">
        <f t="shared" si="13"/>
        <v>10.003965591943558</v>
      </c>
      <c r="L116" s="35">
        <f t="shared" si="14"/>
        <v>9.4147363988159913</v>
      </c>
      <c r="M116" s="36"/>
      <c r="N116" s="35">
        <f t="shared" si="15"/>
        <v>19.419214899179753</v>
      </c>
      <c r="O116" s="37">
        <v>1481746</v>
      </c>
      <c r="P116" s="38">
        <v>28774344</v>
      </c>
      <c r="Q116" s="38">
        <v>14823336</v>
      </c>
      <c r="R116" s="38">
        <v>13950248</v>
      </c>
      <c r="S116" s="39"/>
      <c r="T116" s="40">
        <v>48.5672</v>
      </c>
      <c r="U116" s="40">
        <v>50.4467</v>
      </c>
      <c r="V116" s="40">
        <v>50.107500000000002</v>
      </c>
      <c r="W116" s="41"/>
      <c r="X116" s="40">
        <v>42.110199999999999</v>
      </c>
      <c r="Y116" s="40">
        <v>42.110199999999999</v>
      </c>
      <c r="Z116" s="40">
        <v>42.110199999999999</v>
      </c>
      <c r="AA116" s="41"/>
      <c r="AB116" s="42"/>
      <c r="AC116" s="42"/>
      <c r="AE116" s="34" t="str">
        <f t="shared" si="16"/>
        <v>·</v>
      </c>
      <c r="AF116" s="35">
        <f t="shared" si="17"/>
        <v>19.380476815864526</v>
      </c>
      <c r="AG116" s="35">
        <f t="shared" si="18"/>
        <v>10.003965591943558</v>
      </c>
      <c r="AH116" s="35">
        <f t="shared" si="19"/>
        <v>9.3759983155007678</v>
      </c>
      <c r="AI116" s="36"/>
      <c r="AJ116" s="35">
        <f t="shared" si="20"/>
        <v>19.380476815864526</v>
      </c>
      <c r="AK116" s="37">
        <v>1481746</v>
      </c>
      <c r="AL116" s="38">
        <v>28716944</v>
      </c>
      <c r="AM116" s="38">
        <v>14823336</v>
      </c>
      <c r="AN116" s="38">
        <v>13892848</v>
      </c>
      <c r="AO116" s="39"/>
      <c r="AP116" s="40">
        <v>48.57</v>
      </c>
      <c r="AQ116" s="40">
        <v>50.461599999999997</v>
      </c>
      <c r="AR116" s="40">
        <v>50.112299999999998</v>
      </c>
      <c r="AS116" s="41"/>
      <c r="AT116" s="40">
        <v>42.110199999999999</v>
      </c>
      <c r="AU116" s="40">
        <v>42.110199999999999</v>
      </c>
      <c r="AV116" s="40">
        <v>42.110199999999999</v>
      </c>
      <c r="AW116" s="41"/>
      <c r="AX116" s="42">
        <v>7.1289999999999996</v>
      </c>
      <c r="AY116" s="42">
        <v>6.0839999999999996</v>
      </c>
      <c r="BA116" s="43">
        <f t="shared" si="21"/>
        <v>1.0297082507947364E-3</v>
      </c>
      <c r="BB116" s="43"/>
      <c r="BD116" s="44"/>
      <c r="BE116" s="44"/>
      <c r="BF116" s="44"/>
      <c r="BG116" s="45"/>
      <c r="BI116" s="44"/>
      <c r="BJ116" s="44"/>
      <c r="BK116" s="44"/>
      <c r="BL116" s="45"/>
      <c r="BN116" s="44"/>
      <c r="BO116" s="44"/>
      <c r="BP116" s="44"/>
      <c r="BQ116" s="45"/>
      <c r="BS116" s="44"/>
      <c r="BT116" s="44"/>
      <c r="BU116" s="44"/>
      <c r="BV116" s="45"/>
    </row>
    <row r="117" spans="1:74" outlineLevel="1" x14ac:dyDescent="0.15">
      <c r="A117" s="16"/>
      <c r="B117" s="16" t="s">
        <v>296</v>
      </c>
      <c r="C117" s="17" t="s">
        <v>227</v>
      </c>
      <c r="D117" s="16">
        <v>1481746</v>
      </c>
      <c r="E117" s="18">
        <v>12</v>
      </c>
      <c r="F117" s="17">
        <v>1</v>
      </c>
      <c r="G117" s="17"/>
      <c r="I117" s="19" t="str">
        <f t="shared" si="11"/>
        <v>·</v>
      </c>
      <c r="J117" s="20">
        <f t="shared" si="12"/>
        <v>16.523582314377769</v>
      </c>
      <c r="K117" s="20">
        <f t="shared" si="13"/>
        <v>10.003965591943558</v>
      </c>
      <c r="L117" s="20">
        <f t="shared" si="14"/>
        <v>6.5191038140140076</v>
      </c>
      <c r="M117" s="21"/>
      <c r="N117" s="20">
        <f t="shared" si="15"/>
        <v>16.523582314377769</v>
      </c>
      <c r="O117" s="22">
        <v>1481746</v>
      </c>
      <c r="P117" s="23">
        <v>24483752</v>
      </c>
      <c r="Q117" s="23">
        <v>14823336</v>
      </c>
      <c r="R117" s="23">
        <v>9659656</v>
      </c>
      <c r="S117" s="24"/>
      <c r="T117" s="25">
        <v>41.215000000000003</v>
      </c>
      <c r="U117" s="25">
        <v>44.312100000000001</v>
      </c>
      <c r="V117" s="25">
        <v>43.895400000000002</v>
      </c>
      <c r="W117" s="26"/>
      <c r="X117" s="25">
        <v>34.151400000000002</v>
      </c>
      <c r="Y117" s="25">
        <v>34.151400000000002</v>
      </c>
      <c r="Z117" s="25">
        <v>34.151400000000002</v>
      </c>
      <c r="AA117" s="26"/>
      <c r="AB117" s="27"/>
      <c r="AC117" s="27"/>
      <c r="AE117" s="19" t="str">
        <f t="shared" si="16"/>
        <v>·</v>
      </c>
      <c r="AF117" s="20">
        <f t="shared" si="17"/>
        <v>16.480012093840646</v>
      </c>
      <c r="AG117" s="20">
        <f t="shared" si="18"/>
        <v>10.003965591943558</v>
      </c>
      <c r="AH117" s="20">
        <f t="shared" si="19"/>
        <v>6.475533593476885</v>
      </c>
      <c r="AI117" s="21"/>
      <c r="AJ117" s="20">
        <f t="shared" si="20"/>
        <v>16.480012093840646</v>
      </c>
      <c r="AK117" s="22">
        <v>1481746</v>
      </c>
      <c r="AL117" s="23">
        <v>24419192</v>
      </c>
      <c r="AM117" s="23">
        <v>14823336</v>
      </c>
      <c r="AN117" s="23">
        <v>9595096</v>
      </c>
      <c r="AO117" s="24"/>
      <c r="AP117" s="25">
        <v>41.217700000000001</v>
      </c>
      <c r="AQ117" s="25">
        <v>44.335000000000001</v>
      </c>
      <c r="AR117" s="25">
        <v>43.921599999999998</v>
      </c>
      <c r="AS117" s="26"/>
      <c r="AT117" s="25">
        <v>34.151400000000002</v>
      </c>
      <c r="AU117" s="25">
        <v>34.151400000000002</v>
      </c>
      <c r="AV117" s="25">
        <v>34.151400000000002</v>
      </c>
      <c r="AW117" s="26"/>
      <c r="AX117" s="27">
        <v>6.8319999999999999</v>
      </c>
      <c r="AY117" s="27">
        <v>7.0819999999999999</v>
      </c>
      <c r="BA117" s="28">
        <f t="shared" si="21"/>
        <v>1.600664131542584E-3</v>
      </c>
      <c r="BB117" s="28"/>
      <c r="BD117" s="29"/>
      <c r="BE117" s="29"/>
      <c r="BF117" s="29"/>
      <c r="BG117" s="30"/>
      <c r="BI117" s="29"/>
      <c r="BJ117" s="29"/>
      <c r="BK117" s="29"/>
      <c r="BL117" s="30"/>
      <c r="BN117" s="29"/>
      <c r="BO117" s="29"/>
      <c r="BP117" s="29"/>
      <c r="BQ117" s="30"/>
      <c r="BS117" s="29"/>
      <c r="BT117" s="29"/>
      <c r="BU117" s="29"/>
      <c r="BV117" s="30"/>
    </row>
    <row r="118" spans="1:74" outlineLevel="1" x14ac:dyDescent="0.15">
      <c r="A118" s="31"/>
      <c r="B118" s="31" t="s">
        <v>296</v>
      </c>
      <c r="C118" s="32" t="s">
        <v>228</v>
      </c>
      <c r="D118" s="31">
        <v>1481746</v>
      </c>
      <c r="E118" s="33">
        <v>12</v>
      </c>
      <c r="F118" s="32">
        <v>1</v>
      </c>
      <c r="G118" s="32"/>
      <c r="I118" s="34" t="str">
        <f t="shared" si="11"/>
        <v>·</v>
      </c>
      <c r="J118" s="35">
        <f t="shared" si="12"/>
        <v>14.431326286691512</v>
      </c>
      <c r="K118" s="35">
        <f t="shared" si="13"/>
        <v>10.003965591943558</v>
      </c>
      <c r="L118" s="35">
        <f t="shared" si="14"/>
        <v>4.4268477863277509</v>
      </c>
      <c r="M118" s="36"/>
      <c r="N118" s="35">
        <f t="shared" si="15"/>
        <v>14.431326286691512</v>
      </c>
      <c r="O118" s="37">
        <v>1481746</v>
      </c>
      <c r="P118" s="38">
        <v>21383560</v>
      </c>
      <c r="Q118" s="38">
        <v>14823336</v>
      </c>
      <c r="R118" s="38">
        <v>6559464</v>
      </c>
      <c r="S118" s="39"/>
      <c r="T118" s="40">
        <v>35.300800000000002</v>
      </c>
      <c r="U118" s="40">
        <v>39.534399999999998</v>
      </c>
      <c r="V118" s="40">
        <v>38.860399999999998</v>
      </c>
      <c r="W118" s="41"/>
      <c r="X118" s="40">
        <v>28.130800000000001</v>
      </c>
      <c r="Y118" s="40">
        <v>28.130800000000001</v>
      </c>
      <c r="Z118" s="40">
        <v>28.130800000000001</v>
      </c>
      <c r="AA118" s="41"/>
      <c r="AB118" s="42"/>
      <c r="AC118" s="42"/>
      <c r="AE118" s="34" t="str">
        <f t="shared" si="16"/>
        <v>·</v>
      </c>
      <c r="AF118" s="35">
        <f t="shared" si="17"/>
        <v>14.378869252894896</v>
      </c>
      <c r="AG118" s="35">
        <f t="shared" si="18"/>
        <v>10.003965591943558</v>
      </c>
      <c r="AH118" s="35">
        <f t="shared" si="19"/>
        <v>4.3743907525311352</v>
      </c>
      <c r="AI118" s="36"/>
      <c r="AJ118" s="35">
        <f t="shared" si="20"/>
        <v>14.378869252894896</v>
      </c>
      <c r="AK118" s="37">
        <v>1481746</v>
      </c>
      <c r="AL118" s="38">
        <v>21305832</v>
      </c>
      <c r="AM118" s="38">
        <v>14823336</v>
      </c>
      <c r="AN118" s="38">
        <v>6481736</v>
      </c>
      <c r="AO118" s="39"/>
      <c r="AP118" s="40">
        <v>35.277000000000001</v>
      </c>
      <c r="AQ118" s="40">
        <v>39.613599999999998</v>
      </c>
      <c r="AR118" s="40">
        <v>38.924199999999999</v>
      </c>
      <c r="AS118" s="41"/>
      <c r="AT118" s="40">
        <v>28.130800000000001</v>
      </c>
      <c r="AU118" s="40">
        <v>28.130800000000001</v>
      </c>
      <c r="AV118" s="40">
        <v>28.130800000000001</v>
      </c>
      <c r="AW118" s="41"/>
      <c r="AX118" s="42">
        <v>9.141</v>
      </c>
      <c r="AY118" s="42">
        <v>7.8929999999999998</v>
      </c>
      <c r="BA118" s="43">
        <f t="shared" si="21"/>
        <v>2.5289773411076855E-3</v>
      </c>
      <c r="BB118" s="43"/>
      <c r="BD118" s="44"/>
      <c r="BE118" s="44"/>
      <c r="BF118" s="44"/>
      <c r="BG118" s="45"/>
      <c r="BI118" s="44"/>
      <c r="BJ118" s="44"/>
      <c r="BK118" s="44"/>
      <c r="BL118" s="45"/>
      <c r="BN118" s="44"/>
      <c r="BO118" s="44"/>
      <c r="BP118" s="44"/>
      <c r="BQ118" s="45"/>
      <c r="BS118" s="44"/>
      <c r="BT118" s="44"/>
      <c r="BU118" s="44"/>
      <c r="BV118" s="45"/>
    </row>
    <row r="119" spans="1:74" outlineLevel="1" x14ac:dyDescent="0.15">
      <c r="A119" s="16"/>
      <c r="B119" s="65" t="s">
        <v>296</v>
      </c>
      <c r="C119" s="67" t="s">
        <v>229</v>
      </c>
      <c r="D119" s="65">
        <v>1481746</v>
      </c>
      <c r="E119" s="66">
        <v>12</v>
      </c>
      <c r="F119" s="67">
        <v>1</v>
      </c>
      <c r="G119" s="67"/>
      <c r="I119" s="69" t="str">
        <f t="shared" si="11"/>
        <v>·</v>
      </c>
      <c r="J119" s="70">
        <f t="shared" si="12"/>
        <v>12.595610853682075</v>
      </c>
      <c r="K119" s="70">
        <f t="shared" si="13"/>
        <v>10.003965591943558</v>
      </c>
      <c r="L119" s="70">
        <f t="shared" si="14"/>
        <v>2.591132353318315</v>
      </c>
      <c r="M119" s="75"/>
      <c r="N119" s="70">
        <f t="shared" si="15"/>
        <v>12.595610853682075</v>
      </c>
      <c r="O119" s="71">
        <v>1481746</v>
      </c>
      <c r="P119" s="72">
        <v>18663496</v>
      </c>
      <c r="Q119" s="72">
        <v>14823336</v>
      </c>
      <c r="R119" s="72">
        <v>3839400</v>
      </c>
      <c r="S119" s="76"/>
      <c r="T119" s="77">
        <v>28.7028</v>
      </c>
      <c r="U119" s="77">
        <v>35.239899999999999</v>
      </c>
      <c r="V119" s="77">
        <v>34.3065</v>
      </c>
      <c r="W119" s="78"/>
      <c r="X119" s="77">
        <v>21.686399999999999</v>
      </c>
      <c r="Y119" s="77">
        <v>21.686399999999999</v>
      </c>
      <c r="Z119" s="77">
        <v>21.686399999999999</v>
      </c>
      <c r="AA119" s="78"/>
      <c r="AB119" s="73"/>
      <c r="AC119" s="73"/>
      <c r="AE119" s="69" t="str">
        <f t="shared" si="16"/>
        <v>·</v>
      </c>
      <c r="AF119" s="70">
        <f t="shared" si="17"/>
        <v>12.544125646365842</v>
      </c>
      <c r="AG119" s="70">
        <f t="shared" si="18"/>
        <v>10.003965591943558</v>
      </c>
      <c r="AH119" s="70">
        <f t="shared" si="19"/>
        <v>2.5396471460020815</v>
      </c>
      <c r="AI119" s="75"/>
      <c r="AJ119" s="70">
        <f t="shared" si="20"/>
        <v>12.544125646365842</v>
      </c>
      <c r="AK119" s="71">
        <v>1481746</v>
      </c>
      <c r="AL119" s="72">
        <v>18587208</v>
      </c>
      <c r="AM119" s="72">
        <v>14823336</v>
      </c>
      <c r="AN119" s="72">
        <v>3763112</v>
      </c>
      <c r="AO119" s="76"/>
      <c r="AP119" s="77">
        <v>28.6678</v>
      </c>
      <c r="AQ119" s="77">
        <v>35.395499999999998</v>
      </c>
      <c r="AR119" s="77">
        <v>34.442100000000003</v>
      </c>
      <c r="AS119" s="78"/>
      <c r="AT119" s="77">
        <v>21.686399999999999</v>
      </c>
      <c r="AU119" s="77">
        <v>21.686399999999999</v>
      </c>
      <c r="AV119" s="77">
        <v>21.686399999999999</v>
      </c>
      <c r="AW119" s="78"/>
      <c r="AX119" s="73">
        <v>8.4550000000000001</v>
      </c>
      <c r="AY119" s="73">
        <v>7.5970000000000004</v>
      </c>
      <c r="BA119" s="68">
        <f t="shared" si="21"/>
        <v>3.2598305486187806E-3</v>
      </c>
      <c r="BB119" s="68"/>
      <c r="BD119" s="74"/>
      <c r="BE119" s="74"/>
      <c r="BF119" s="74"/>
      <c r="BG119" s="79"/>
      <c r="BI119" s="74"/>
      <c r="BJ119" s="74"/>
      <c r="BK119" s="74"/>
      <c r="BL119" s="79"/>
      <c r="BN119" s="74"/>
      <c r="BO119" s="74"/>
      <c r="BP119" s="74"/>
      <c r="BQ119" s="79"/>
      <c r="BS119" s="74"/>
      <c r="BT119" s="74"/>
      <c r="BU119" s="74"/>
      <c r="BV119" s="79"/>
    </row>
    <row r="120" spans="1:74" x14ac:dyDescent="0.15">
      <c r="A120" s="31"/>
      <c r="B120" s="31" t="s">
        <v>300</v>
      </c>
      <c r="C120" s="32" t="s">
        <v>225</v>
      </c>
      <c r="D120" s="31">
        <v>1530552</v>
      </c>
      <c r="E120" s="33">
        <v>20</v>
      </c>
      <c r="F120" s="32">
        <v>1</v>
      </c>
      <c r="G120" s="32"/>
      <c r="I120" s="34" t="str">
        <f t="shared" si="11"/>
        <v>·</v>
      </c>
      <c r="J120" s="35">
        <f t="shared" si="12"/>
        <v>46.636491932322457</v>
      </c>
      <c r="K120" s="35">
        <f t="shared" si="13"/>
        <v>34.420867765355247</v>
      </c>
      <c r="L120" s="35">
        <f t="shared" si="14"/>
        <v>12.215111933472368</v>
      </c>
      <c r="M120" s="36"/>
      <c r="N120" s="35">
        <f t="shared" si="15"/>
        <v>46.636491932322457</v>
      </c>
      <c r="O120" s="37">
        <v>1530552</v>
      </c>
      <c r="P120" s="38">
        <v>71379576</v>
      </c>
      <c r="Q120" s="38">
        <v>52682928</v>
      </c>
      <c r="R120" s="38">
        <v>18695864</v>
      </c>
      <c r="S120" s="39"/>
      <c r="T120" s="40">
        <v>53.366</v>
      </c>
      <c r="U120" s="40">
        <v>54.908200000000001</v>
      </c>
      <c r="V120" s="40">
        <v>54.924900000000001</v>
      </c>
      <c r="W120" s="41"/>
      <c r="X120" s="40">
        <v>48.130800000000001</v>
      </c>
      <c r="Y120" s="40">
        <v>48.130800000000001</v>
      </c>
      <c r="Z120" s="40">
        <v>48.130800000000001</v>
      </c>
      <c r="AA120" s="41"/>
      <c r="AB120" s="42"/>
      <c r="AC120" s="42"/>
      <c r="AE120" s="34" t="str">
        <f t="shared" si="16"/>
        <v>·</v>
      </c>
      <c r="AF120" s="35">
        <f t="shared" si="17"/>
        <v>46.604592330087442</v>
      </c>
      <c r="AG120" s="35">
        <f t="shared" si="18"/>
        <v>34.420867765355247</v>
      </c>
      <c r="AH120" s="35">
        <f t="shared" si="19"/>
        <v>12.183212331237357</v>
      </c>
      <c r="AI120" s="36"/>
      <c r="AJ120" s="35">
        <f t="shared" si="20"/>
        <v>46.604592330087442</v>
      </c>
      <c r="AK120" s="37">
        <v>1530552</v>
      </c>
      <c r="AL120" s="38">
        <v>71330752</v>
      </c>
      <c r="AM120" s="38">
        <v>52682928</v>
      </c>
      <c r="AN120" s="38">
        <v>18647040</v>
      </c>
      <c r="AO120" s="39"/>
      <c r="AP120" s="40">
        <v>53.373600000000003</v>
      </c>
      <c r="AQ120" s="40">
        <v>54.908700000000003</v>
      </c>
      <c r="AR120" s="40">
        <v>54.930900000000001</v>
      </c>
      <c r="AS120" s="41"/>
      <c r="AT120" s="40">
        <v>48.130800000000001</v>
      </c>
      <c r="AU120" s="40">
        <v>48.130800000000001</v>
      </c>
      <c r="AV120" s="40">
        <v>48.130800000000001</v>
      </c>
      <c r="AW120" s="41"/>
      <c r="AX120" s="42">
        <v>17.097000000000001</v>
      </c>
      <c r="AY120" s="42">
        <v>15.334</v>
      </c>
      <c r="BA120" s="43">
        <f t="shared" si="21"/>
        <v>5.0518738185600931E-4</v>
      </c>
      <c r="BB120" s="43">
        <f t="array" ref="BB120">AVERAGE(AM120:AM124/AL120:AL124) - AVERAGE(Q120:Q124/P120:P124)</f>
        <v>9.621982466498924E-4</v>
      </c>
      <c r="BD120" s="44">
        <f>IF( OR(ISBLANK(R120:R124),ISBLANK(AN120:AN124), ISBLANK(T120:T124),ISBLANK(AP120:AP124)), "·", bdRateExtend( R120:R124,T120:T124, AN120:AN124,AP120:AP124))</f>
        <v>-8.2346367125616382E-3</v>
      </c>
      <c r="BE120" s="44">
        <f>IF( OR(ISBLANK(R120:R124),ISBLANK(AN120:AN124), ISBLANK(U120:U124),ISBLANK(AQ120:AQ124)), "·", bdRateExtend( R120:R124,U120:U124, AN120:AN124,AQ120:AQ124))</f>
        <v>-1.25690275838789E-2</v>
      </c>
      <c r="BF120" s="44">
        <f>IF( OR(ISBLANK(R120:R124),ISBLANK(AN120:AN124), ISBLANK(V120:V124),ISBLANK(AR120:AR124)), "·", bdRateExtend( R120:R124,V120:V124, AN120:AN124,AR120:AR124))</f>
        <v>-1.2277491436381682E-2</v>
      </c>
      <c r="BG120" s="45"/>
      <c r="BI120" s="44">
        <f>IF( OR(ISBLANK(R120:R124),ISBLANK(AN120:AN124), ISBLANK(X120:X124),ISBLANK(AT120:AT124)), "·", bdRateExtend( R120:R124,X120:X124, AN120:AN124,AT120:AT124))</f>
        <v>-8.7163910673890843E-3</v>
      </c>
      <c r="BJ120" s="44">
        <f>IF( OR(ISBLANK(R120:R124),ISBLANK(AN120:AN124), ISBLANK(Y120:Y124),ISBLANK(AU120:AU124)), "·", bdRateExtend( R120:R124,Y120:Y124, AN120:AN124,AU120:AU124))</f>
        <v>-8.7163910673890843E-3</v>
      </c>
      <c r="BK120" s="44">
        <f>IF( OR(ISBLANK(R120:R124),ISBLANK(AN120:AN124), ISBLANK(Z120:Z124),ISBLANK(AV120:AV124)), "·", bdRateExtend( R120:R124,Z120:Z124, AN120:AN124,AV120:AV124))</f>
        <v>-8.7163910673890843E-3</v>
      </c>
      <c r="BL120" s="45"/>
      <c r="BN120" s="44">
        <f>IF( OR(ISBLANK(P120:P124),ISBLANK(AL120:AL124), ISBLANK(T120:T124),ISBLANK(AP120:AP124)), "·", bdRateExtend( P120:P124,T120:T124, AL120:AL124,AP120:AP124))</f>
        <v>-1.0922756888163132E-3</v>
      </c>
      <c r="BO120" s="44">
        <f>IF( OR(ISBLANK(P120:P124),ISBLANK(AL120:AL124), ISBLANK(U120:U124),ISBLANK(AQ120:AQ124)), "·", bdRateExtend( P120:P124,U120:U124, AL120:AL124,AQ120:AQ124))</f>
        <v>-1.5926631723536255E-3</v>
      </c>
      <c r="BP120" s="44">
        <f>IF( OR(ISBLANK(P120:P124),ISBLANK(AL120:AL124), ISBLANK(V120:V124),ISBLANK(AR120:AR124)), "·", bdRateExtend( P120:P124,V120:V124, AL120:AL124,AR120:AR124))</f>
        <v>-1.5699460545127719E-3</v>
      </c>
      <c r="BQ120" s="45"/>
      <c r="BS120" s="44">
        <f>IF( OR(ISBLANK(P120:P124),ISBLANK(AL120:AL124), ISBLANK(X120:X124),ISBLANK(AT120:AT124)), "·", bdRateExtend( P120:P124,X120:X124, AL120:AL124,AT120:AT124))</f>
        <v>-1.157665492994675E-3</v>
      </c>
      <c r="BT120" s="44">
        <f>IF( OR(ISBLANK(P120:P124),ISBLANK(AL120:AL124), ISBLANK(Y120:Y124),ISBLANK(AU120:AU124)), "·", bdRateExtend( P120:P124,Y120:Y124, AL120:AL124,AU120:AU124))</f>
        <v>-1.157665492994675E-3</v>
      </c>
      <c r="BU120" s="44">
        <f>IF( OR(ISBLANK(P120:P124),ISBLANK(AL120:AL124), ISBLANK(Z120:Z124),ISBLANK(AV120:AV124)), "·", bdRateExtend( P120:P124,Z120:Z124, AL120:AL124,AV120:AV124))</f>
        <v>-1.157665492994675E-3</v>
      </c>
      <c r="BV120" s="45"/>
    </row>
    <row r="121" spans="1:74" outlineLevel="1" x14ac:dyDescent="0.15">
      <c r="A121" s="16"/>
      <c r="B121" s="16" t="s">
        <v>300</v>
      </c>
      <c r="C121" s="17" t="s">
        <v>226</v>
      </c>
      <c r="D121" s="16">
        <v>1530552</v>
      </c>
      <c r="E121" s="18">
        <v>20</v>
      </c>
      <c r="F121" s="17">
        <v>1</v>
      </c>
      <c r="G121" s="17"/>
      <c r="I121" s="19" t="str">
        <f t="shared" si="11"/>
        <v>·</v>
      </c>
      <c r="J121" s="20">
        <f t="shared" si="12"/>
        <v>43.825239521427562</v>
      </c>
      <c r="K121" s="20">
        <f t="shared" si="13"/>
        <v>34.420867765355247</v>
      </c>
      <c r="L121" s="20">
        <f t="shared" si="14"/>
        <v>9.4038595225774753</v>
      </c>
      <c r="M121" s="21"/>
      <c r="N121" s="20">
        <f t="shared" si="15"/>
        <v>43.825239521427562</v>
      </c>
      <c r="O121" s="22">
        <v>1530552</v>
      </c>
      <c r="P121" s="23">
        <v>67076808</v>
      </c>
      <c r="Q121" s="23">
        <v>52682928</v>
      </c>
      <c r="R121" s="23">
        <v>14393096</v>
      </c>
      <c r="S121" s="24"/>
      <c r="T121" s="25">
        <v>48.567999999999998</v>
      </c>
      <c r="U121" s="25">
        <v>50.451300000000003</v>
      </c>
      <c r="V121" s="25">
        <v>50.100499999999997</v>
      </c>
      <c r="W121" s="26"/>
      <c r="X121" s="25">
        <v>42.110199999999999</v>
      </c>
      <c r="Y121" s="25">
        <v>42.110199999999999</v>
      </c>
      <c r="Z121" s="25">
        <v>42.110199999999999</v>
      </c>
      <c r="AA121" s="26"/>
      <c r="AB121" s="27"/>
      <c r="AC121" s="27"/>
      <c r="AE121" s="19" t="str">
        <f t="shared" si="16"/>
        <v>·</v>
      </c>
      <c r="AF121" s="20">
        <f t="shared" si="17"/>
        <v>43.784454236118734</v>
      </c>
      <c r="AG121" s="20">
        <f t="shared" si="18"/>
        <v>34.420867765355247</v>
      </c>
      <c r="AH121" s="20">
        <f t="shared" si="19"/>
        <v>9.3630742372686449</v>
      </c>
      <c r="AI121" s="21"/>
      <c r="AJ121" s="20">
        <f t="shared" si="20"/>
        <v>43.784454236118734</v>
      </c>
      <c r="AK121" s="22">
        <v>1530552</v>
      </c>
      <c r="AL121" s="23">
        <v>67014384</v>
      </c>
      <c r="AM121" s="23">
        <v>52682928</v>
      </c>
      <c r="AN121" s="23">
        <v>14330672</v>
      </c>
      <c r="AO121" s="24"/>
      <c r="AP121" s="25">
        <v>48.571300000000001</v>
      </c>
      <c r="AQ121" s="25">
        <v>50.4589</v>
      </c>
      <c r="AR121" s="25">
        <v>50.113199999999999</v>
      </c>
      <c r="AS121" s="26"/>
      <c r="AT121" s="25">
        <v>42.110199999999999</v>
      </c>
      <c r="AU121" s="25">
        <v>42.110199999999999</v>
      </c>
      <c r="AV121" s="25">
        <v>42.110199999999999</v>
      </c>
      <c r="AW121" s="26"/>
      <c r="AX121" s="27">
        <v>12.558</v>
      </c>
      <c r="AY121" s="27">
        <v>11.169</v>
      </c>
      <c r="BA121" s="28">
        <f t="shared" si="21"/>
        <v>7.3161243855690561E-4</v>
      </c>
      <c r="BB121" s="28"/>
      <c r="BD121" s="29"/>
      <c r="BE121" s="29"/>
      <c r="BF121" s="29"/>
      <c r="BG121" s="30"/>
      <c r="BI121" s="29"/>
      <c r="BJ121" s="29"/>
      <c r="BK121" s="29"/>
      <c r="BL121" s="30"/>
      <c r="BN121" s="29"/>
      <c r="BO121" s="29"/>
      <c r="BP121" s="29"/>
      <c r="BQ121" s="30"/>
      <c r="BS121" s="29"/>
      <c r="BT121" s="29"/>
      <c r="BU121" s="29"/>
      <c r="BV121" s="30"/>
    </row>
    <row r="122" spans="1:74" outlineLevel="1" x14ac:dyDescent="0.15">
      <c r="A122" s="31"/>
      <c r="B122" s="31" t="s">
        <v>300</v>
      </c>
      <c r="C122" s="32" t="s">
        <v>227</v>
      </c>
      <c r="D122" s="31">
        <v>1530552</v>
      </c>
      <c r="E122" s="33">
        <v>20</v>
      </c>
      <c r="F122" s="32">
        <v>1</v>
      </c>
      <c r="G122" s="32"/>
      <c r="I122" s="34" t="str">
        <f t="shared" si="11"/>
        <v>·</v>
      </c>
      <c r="J122" s="35">
        <f t="shared" si="12"/>
        <v>40.933932332909954</v>
      </c>
      <c r="K122" s="35">
        <f t="shared" si="13"/>
        <v>34.420867765355247</v>
      </c>
      <c r="L122" s="35">
        <f t="shared" si="14"/>
        <v>6.512552334059869</v>
      </c>
      <c r="M122" s="36"/>
      <c r="N122" s="35">
        <f t="shared" si="15"/>
        <v>40.933932332909954</v>
      </c>
      <c r="O122" s="37">
        <v>1530552</v>
      </c>
      <c r="P122" s="38">
        <v>62651512</v>
      </c>
      <c r="Q122" s="38">
        <v>52682928</v>
      </c>
      <c r="R122" s="38">
        <v>9967800</v>
      </c>
      <c r="S122" s="39"/>
      <c r="T122" s="40">
        <v>41.226300000000002</v>
      </c>
      <c r="U122" s="40">
        <v>44.307499999999997</v>
      </c>
      <c r="V122" s="40">
        <v>43.899299999999997</v>
      </c>
      <c r="W122" s="41"/>
      <c r="X122" s="40">
        <v>34.151400000000002</v>
      </c>
      <c r="Y122" s="40">
        <v>34.151400000000002</v>
      </c>
      <c r="Z122" s="40">
        <v>34.151400000000002</v>
      </c>
      <c r="AA122" s="41"/>
      <c r="AB122" s="42"/>
      <c r="AC122" s="42"/>
      <c r="AE122" s="34" t="str">
        <f t="shared" si="16"/>
        <v>·</v>
      </c>
      <c r="AF122" s="35">
        <f t="shared" si="17"/>
        <v>40.886378247847837</v>
      </c>
      <c r="AG122" s="35">
        <f t="shared" si="18"/>
        <v>34.420867765355247</v>
      </c>
      <c r="AH122" s="35">
        <f t="shared" si="19"/>
        <v>6.4649982489977473</v>
      </c>
      <c r="AI122" s="36"/>
      <c r="AJ122" s="35">
        <f t="shared" si="20"/>
        <v>40.886378247847837</v>
      </c>
      <c r="AK122" s="37">
        <v>1530552</v>
      </c>
      <c r="AL122" s="38">
        <v>62578728</v>
      </c>
      <c r="AM122" s="38">
        <v>52682928</v>
      </c>
      <c r="AN122" s="38">
        <v>9895016</v>
      </c>
      <c r="AO122" s="39"/>
      <c r="AP122" s="40">
        <v>41.210999999999999</v>
      </c>
      <c r="AQ122" s="40">
        <v>44.336500000000001</v>
      </c>
      <c r="AR122" s="40">
        <v>43.918799999999997</v>
      </c>
      <c r="AS122" s="41"/>
      <c r="AT122" s="40">
        <v>34.151400000000002</v>
      </c>
      <c r="AU122" s="40">
        <v>34.151400000000002</v>
      </c>
      <c r="AV122" s="40">
        <v>34.151400000000002</v>
      </c>
      <c r="AW122" s="41"/>
      <c r="AX122" s="42">
        <v>14.398</v>
      </c>
      <c r="AY122" s="42">
        <v>16.146000000000001</v>
      </c>
      <c r="BA122" s="43">
        <f t="shared" si="21"/>
        <v>9.7801954923260048E-4</v>
      </c>
      <c r="BB122" s="43"/>
      <c r="BD122" s="44"/>
      <c r="BE122" s="44"/>
      <c r="BF122" s="44"/>
      <c r="BG122" s="45"/>
      <c r="BI122" s="44"/>
      <c r="BJ122" s="44"/>
      <c r="BK122" s="44"/>
      <c r="BL122" s="45"/>
      <c r="BN122" s="44"/>
      <c r="BO122" s="44"/>
      <c r="BP122" s="44"/>
      <c r="BQ122" s="45"/>
      <c r="BS122" s="44"/>
      <c r="BT122" s="44"/>
      <c r="BU122" s="44"/>
      <c r="BV122" s="45"/>
    </row>
    <row r="123" spans="1:74" outlineLevel="1" x14ac:dyDescent="0.15">
      <c r="A123" s="16"/>
      <c r="B123" s="16" t="s">
        <v>300</v>
      </c>
      <c r="C123" s="17" t="s">
        <v>228</v>
      </c>
      <c r="D123" s="16">
        <v>1530552</v>
      </c>
      <c r="E123" s="18">
        <v>20</v>
      </c>
      <c r="F123" s="17">
        <v>1</v>
      </c>
      <c r="G123" s="17"/>
      <c r="I123" s="19" t="str">
        <f t="shared" si="11"/>
        <v>·</v>
      </c>
      <c r="J123" s="20">
        <f t="shared" si="12"/>
        <v>38.846878773148511</v>
      </c>
      <c r="K123" s="20">
        <f t="shared" si="13"/>
        <v>34.420867765355247</v>
      </c>
      <c r="L123" s="20">
        <f t="shared" si="14"/>
        <v>4.4254987742984229</v>
      </c>
      <c r="M123" s="21"/>
      <c r="N123" s="20">
        <f t="shared" si="15"/>
        <v>38.846878773148511</v>
      </c>
      <c r="O123" s="22">
        <v>1530552</v>
      </c>
      <c r="P123" s="23">
        <v>59457168</v>
      </c>
      <c r="Q123" s="23">
        <v>52682928</v>
      </c>
      <c r="R123" s="23">
        <v>6773456</v>
      </c>
      <c r="S123" s="24"/>
      <c r="T123" s="25">
        <v>35.296599999999998</v>
      </c>
      <c r="U123" s="25">
        <v>39.524700000000003</v>
      </c>
      <c r="V123" s="25">
        <v>38.855200000000004</v>
      </c>
      <c r="W123" s="26"/>
      <c r="X123" s="25">
        <v>28.130800000000001</v>
      </c>
      <c r="Y123" s="25">
        <v>28.130800000000001</v>
      </c>
      <c r="Z123" s="25">
        <v>28.130800000000001</v>
      </c>
      <c r="AA123" s="26"/>
      <c r="AB123" s="27"/>
      <c r="AC123" s="27"/>
      <c r="AE123" s="19" t="str">
        <f t="shared" si="16"/>
        <v>·</v>
      </c>
      <c r="AF123" s="20">
        <f t="shared" si="17"/>
        <v>38.789722923494267</v>
      </c>
      <c r="AG123" s="20">
        <f t="shared" si="18"/>
        <v>34.420867765355247</v>
      </c>
      <c r="AH123" s="20">
        <f t="shared" si="19"/>
        <v>4.3683429246441809</v>
      </c>
      <c r="AI123" s="21"/>
      <c r="AJ123" s="20">
        <f t="shared" si="20"/>
        <v>38.789722923494267</v>
      </c>
      <c r="AK123" s="22">
        <v>1530552</v>
      </c>
      <c r="AL123" s="23">
        <v>59369688</v>
      </c>
      <c r="AM123" s="23">
        <v>52682928</v>
      </c>
      <c r="AN123" s="23">
        <v>6685976</v>
      </c>
      <c r="AO123" s="24"/>
      <c r="AP123" s="25">
        <v>35.277200000000001</v>
      </c>
      <c r="AQ123" s="25">
        <v>39.596600000000002</v>
      </c>
      <c r="AR123" s="25">
        <v>38.932400000000001</v>
      </c>
      <c r="AS123" s="26"/>
      <c r="AT123" s="25">
        <v>28.130800000000001</v>
      </c>
      <c r="AU123" s="25">
        <v>28.130800000000001</v>
      </c>
      <c r="AV123" s="25">
        <v>28.130800000000001</v>
      </c>
      <c r="AW123" s="26"/>
      <c r="AX123" s="27">
        <v>14.242000000000001</v>
      </c>
      <c r="AY123" s="27">
        <v>15.631</v>
      </c>
      <c r="BA123" s="28">
        <f t="shared" si="21"/>
        <v>1.3055986498926586E-3</v>
      </c>
      <c r="BB123" s="28"/>
      <c r="BD123" s="29"/>
      <c r="BE123" s="29"/>
      <c r="BF123" s="29"/>
      <c r="BG123" s="30"/>
      <c r="BI123" s="29"/>
      <c r="BJ123" s="29"/>
      <c r="BK123" s="29"/>
      <c r="BL123" s="30"/>
      <c r="BN123" s="29"/>
      <c r="BO123" s="29"/>
      <c r="BP123" s="29"/>
      <c r="BQ123" s="30"/>
      <c r="BS123" s="29"/>
      <c r="BT123" s="29"/>
      <c r="BU123" s="29"/>
      <c r="BV123" s="30"/>
    </row>
    <row r="124" spans="1:74" outlineLevel="1" x14ac:dyDescent="0.15">
      <c r="A124" s="31"/>
      <c r="B124" s="46" t="s">
        <v>300</v>
      </c>
      <c r="C124" s="47" t="s">
        <v>229</v>
      </c>
      <c r="D124" s="46">
        <v>1530552</v>
      </c>
      <c r="E124" s="48">
        <v>20</v>
      </c>
      <c r="F124" s="47">
        <v>1</v>
      </c>
      <c r="G124" s="47"/>
      <c r="I124" s="49" t="str">
        <f t="shared" si="11"/>
        <v>·</v>
      </c>
      <c r="J124" s="50">
        <f t="shared" si="12"/>
        <v>37.012000899022055</v>
      </c>
      <c r="K124" s="50">
        <f t="shared" si="13"/>
        <v>34.420867765355247</v>
      </c>
      <c r="L124" s="50">
        <f t="shared" si="14"/>
        <v>2.590620900171964</v>
      </c>
      <c r="M124" s="51"/>
      <c r="N124" s="50">
        <f t="shared" si="15"/>
        <v>37.012000899022055</v>
      </c>
      <c r="O124" s="52">
        <v>1530552</v>
      </c>
      <c r="P124" s="53">
        <v>56648792</v>
      </c>
      <c r="Q124" s="53">
        <v>52682928</v>
      </c>
      <c r="R124" s="53">
        <v>3965080</v>
      </c>
      <c r="S124" s="54"/>
      <c r="T124" s="55">
        <v>28.7028</v>
      </c>
      <c r="U124" s="55">
        <v>35.177100000000003</v>
      </c>
      <c r="V124" s="55">
        <v>34.296900000000001</v>
      </c>
      <c r="W124" s="56"/>
      <c r="X124" s="55">
        <v>21.686399999999999</v>
      </c>
      <c r="Y124" s="55">
        <v>21.686399999999999</v>
      </c>
      <c r="Z124" s="55">
        <v>21.686399999999999</v>
      </c>
      <c r="AA124" s="56"/>
      <c r="AB124" s="57"/>
      <c r="AC124" s="57"/>
      <c r="AE124" s="49" t="str">
        <f t="shared" si="16"/>
        <v>·</v>
      </c>
      <c r="AF124" s="50">
        <f t="shared" si="17"/>
        <v>36.96070960019653</v>
      </c>
      <c r="AG124" s="50">
        <f t="shared" si="18"/>
        <v>34.420867765355247</v>
      </c>
      <c r="AH124" s="50">
        <f t="shared" si="19"/>
        <v>2.5393296013464424</v>
      </c>
      <c r="AI124" s="51"/>
      <c r="AJ124" s="50">
        <f t="shared" si="20"/>
        <v>36.96070960019653</v>
      </c>
      <c r="AK124" s="52">
        <v>1530552</v>
      </c>
      <c r="AL124" s="53">
        <v>56570288</v>
      </c>
      <c r="AM124" s="53">
        <v>52682928</v>
      </c>
      <c r="AN124" s="53">
        <v>3886576</v>
      </c>
      <c r="AO124" s="54"/>
      <c r="AP124" s="55">
        <v>28.6677</v>
      </c>
      <c r="AQ124" s="55">
        <v>35.313400000000001</v>
      </c>
      <c r="AR124" s="55">
        <v>34.4146</v>
      </c>
      <c r="AS124" s="56"/>
      <c r="AT124" s="55">
        <v>21.686399999999999</v>
      </c>
      <c r="AU124" s="55">
        <v>21.686399999999999</v>
      </c>
      <c r="AV124" s="55">
        <v>21.686399999999999</v>
      </c>
      <c r="AW124" s="56"/>
      <c r="AX124" s="57">
        <v>16.972000000000001</v>
      </c>
      <c r="AY124" s="57">
        <v>12.151999999999999</v>
      </c>
      <c r="BA124" s="58">
        <f t="shared" si="21"/>
        <v>1.2905732137111769E-3</v>
      </c>
      <c r="BB124" s="58"/>
      <c r="BD124" s="59"/>
      <c r="BE124" s="59"/>
      <c r="BF124" s="59"/>
      <c r="BG124" s="60"/>
      <c r="BI124" s="59"/>
      <c r="BJ124" s="59"/>
      <c r="BK124" s="59"/>
      <c r="BL124" s="60"/>
      <c r="BN124" s="59"/>
      <c r="BO124" s="59"/>
      <c r="BP124" s="59"/>
      <c r="BQ124" s="60"/>
      <c r="BS124" s="59"/>
      <c r="BT124" s="59"/>
      <c r="BU124" s="59"/>
      <c r="BV124" s="60"/>
    </row>
    <row r="125" spans="1:74" x14ac:dyDescent="0.15">
      <c r="A125" s="16"/>
      <c r="B125" s="16" t="s">
        <v>303</v>
      </c>
      <c r="C125" s="17" t="s">
        <v>225</v>
      </c>
      <c r="D125" s="16">
        <v>272689</v>
      </c>
      <c r="E125" s="18">
        <v>20</v>
      </c>
      <c r="F125" s="17">
        <v>1</v>
      </c>
      <c r="G125" s="17"/>
      <c r="I125" s="19" t="str">
        <f t="shared" si="11"/>
        <v>·</v>
      </c>
      <c r="J125" s="20">
        <f t="shared" si="12"/>
        <v>41.107195376417828</v>
      </c>
      <c r="K125" s="20">
        <f t="shared" si="13"/>
        <v>35.39316950812097</v>
      </c>
      <c r="L125" s="20">
        <f t="shared" si="14"/>
        <v>5.7120309216726746</v>
      </c>
      <c r="M125" s="21"/>
      <c r="N125" s="20">
        <f t="shared" si="15"/>
        <v>41.107195376417828</v>
      </c>
      <c r="O125" s="22">
        <v>272689</v>
      </c>
      <c r="P125" s="23">
        <v>11209480</v>
      </c>
      <c r="Q125" s="23">
        <v>9651328</v>
      </c>
      <c r="R125" s="23">
        <v>1557608</v>
      </c>
      <c r="S125" s="24"/>
      <c r="T125" s="25">
        <v>52.905799999999999</v>
      </c>
      <c r="U125" s="25">
        <v>54.748800000000003</v>
      </c>
      <c r="V125" s="25">
        <v>56.313600000000001</v>
      </c>
      <c r="W125" s="26"/>
      <c r="X125" s="25">
        <v>48.130800000000001</v>
      </c>
      <c r="Y125" s="25">
        <v>48.130800000000001</v>
      </c>
      <c r="Z125" s="25">
        <v>48.130800000000001</v>
      </c>
      <c r="AA125" s="26"/>
      <c r="AB125" s="27"/>
      <c r="AC125" s="27"/>
      <c r="AE125" s="19" t="str">
        <f t="shared" si="16"/>
        <v>·</v>
      </c>
      <c r="AF125" s="20">
        <f t="shared" si="17"/>
        <v>41.069291390558476</v>
      </c>
      <c r="AG125" s="20">
        <f t="shared" si="18"/>
        <v>35.39316950812097</v>
      </c>
      <c r="AH125" s="20">
        <f t="shared" si="19"/>
        <v>5.6741269358133257</v>
      </c>
      <c r="AI125" s="21"/>
      <c r="AJ125" s="20">
        <f t="shared" si="20"/>
        <v>41.069291390558476</v>
      </c>
      <c r="AK125" s="22">
        <v>272689</v>
      </c>
      <c r="AL125" s="23">
        <v>11199144</v>
      </c>
      <c r="AM125" s="23">
        <v>9651328</v>
      </c>
      <c r="AN125" s="23">
        <v>1547272</v>
      </c>
      <c r="AO125" s="24"/>
      <c r="AP125" s="25">
        <v>52.912300000000002</v>
      </c>
      <c r="AQ125" s="25">
        <v>54.740200000000002</v>
      </c>
      <c r="AR125" s="25">
        <v>56.285699999999999</v>
      </c>
      <c r="AS125" s="26"/>
      <c r="AT125" s="25">
        <v>48.130800000000001</v>
      </c>
      <c r="AU125" s="25">
        <v>48.130800000000001</v>
      </c>
      <c r="AV125" s="25">
        <v>48.130800000000001</v>
      </c>
      <c r="AW125" s="26"/>
      <c r="AX125" s="27">
        <v>3.1040000000000001</v>
      </c>
      <c r="AY125" s="27">
        <v>3.073</v>
      </c>
      <c r="BA125" s="28">
        <f t="shared" si="21"/>
        <v>7.9463791082712287E-4</v>
      </c>
      <c r="BB125" s="28">
        <f t="array" ref="BB125">AVERAGE(AM125:AM129/AL125:AL129) - AVERAGE(Q125:Q129/P125:P129)</f>
        <v>6.1708158693885018E-4</v>
      </c>
      <c r="BD125" s="29">
        <f>IF( OR(ISBLANK(R125:R129),ISBLANK(AN125:AN129), ISBLANK(T125:T129),ISBLANK(AP125:AP129)), "·", bdRateExtend( R125:R129,T125:T129, AN125:AN129,AP125:AP129))</f>
        <v>-1.6058893553026699E-2</v>
      </c>
      <c r="BE125" s="29">
        <f>IF( OR(ISBLANK(R125:R129),ISBLANK(AN125:AN129), ISBLANK(U125:U129),ISBLANK(AQ125:AQ129)), "·", bdRateExtend( R125:R129,U125:U129, AN125:AN129,AQ125:AQ129))</f>
        <v>-3.1322397038954897E-2</v>
      </c>
      <c r="BF125" s="29">
        <f>IF( OR(ISBLANK(R125:R129),ISBLANK(AN125:AN129), ISBLANK(V125:V129),ISBLANK(AR125:AR129)), "·", bdRateExtend( R125:R129,V125:V129, AN125:AN129,AR125:AR129))</f>
        <v>-2.5821504708510079E-2</v>
      </c>
      <c r="BG125" s="30"/>
      <c r="BI125" s="29">
        <f>IF( OR(ISBLANK(R125:R129),ISBLANK(AN125:AN129), ISBLANK(X125:X129),ISBLANK(AT125:AT129)), "·", bdRateExtend( R125:R129,X125:X129, AN125:AN129,AT125:AT129))</f>
        <v>-1.6553239686038612E-2</v>
      </c>
      <c r="BJ125" s="29">
        <f>IF( OR(ISBLANK(R125:R129),ISBLANK(AN125:AN129), ISBLANK(Y125:Y129),ISBLANK(AU125:AU129)), "·", bdRateExtend( R125:R129,Y125:Y129, AN125:AN129,AU125:AU129))</f>
        <v>-1.6553239686038612E-2</v>
      </c>
      <c r="BK125" s="29">
        <f>IF( OR(ISBLANK(R125:R129),ISBLANK(AN125:AN129), ISBLANK(Z125:Z129),ISBLANK(AV125:AV129)), "·", bdRateExtend( R125:R129,Z125:Z129, AN125:AN129,AV125:AV129))</f>
        <v>-1.6553239686038612E-2</v>
      </c>
      <c r="BL125" s="30"/>
      <c r="BN125" s="29">
        <f>IF( OR(ISBLANK(P125:P129),ISBLANK(AL125:AL129), ISBLANK(T125:T129),ISBLANK(AP125:AP129)), "·", bdRateExtend( P125:P129,T125:T129, AL125:AL129,AP125:AP129))</f>
        <v>-7.198156563689162E-4</v>
      </c>
      <c r="BO125" s="29">
        <f>IF( OR(ISBLANK(P125:P129),ISBLANK(AL125:AL129), ISBLANK(U125:U129),ISBLANK(AQ125:AQ129)), "·", bdRateExtend( P125:P129,U125:U129, AL125:AL129,AQ125:AQ129))</f>
        <v>-1.0400125908366364E-3</v>
      </c>
      <c r="BP125" s="29">
        <f>IF( OR(ISBLANK(P125:P129),ISBLANK(AL125:AL129), ISBLANK(V125:V129),ISBLANK(AR125:AR129)), "·", bdRateExtend( P125:P129,V125:V129, AL125:AL129,AR125:AR129))</f>
        <v>-9.5236905062001664E-4</v>
      </c>
      <c r="BQ125" s="30"/>
      <c r="BS125" s="29">
        <f>IF( OR(ISBLANK(P125:P129),ISBLANK(AL125:AL129), ISBLANK(X125:X129),ISBLANK(AT125:AT129)), "·", bdRateExtend( P125:P129,X125:X129, AL125:AL129,AT125:AT129))</f>
        <v>-7.0877464127050427E-4</v>
      </c>
      <c r="BT125" s="29">
        <f>IF( OR(ISBLANK(P125:P129),ISBLANK(AL125:AL129), ISBLANK(Y125:Y129),ISBLANK(AU125:AU129)), "·", bdRateExtend( P125:P129,Y125:Y129, AL125:AL129,AU125:AU129))</f>
        <v>-7.0877464127050427E-4</v>
      </c>
      <c r="BU125" s="29">
        <f>IF( OR(ISBLANK(P125:P129),ISBLANK(AL125:AL129), ISBLANK(Z125:Z129),ISBLANK(AV125:AV129)), "·", bdRateExtend( P125:P129,Z125:Z129, AL125:AL129,AV125:AV129))</f>
        <v>-7.0877464127050427E-4</v>
      </c>
      <c r="BV125" s="30"/>
    </row>
    <row r="126" spans="1:74" outlineLevel="1" x14ac:dyDescent="0.15">
      <c r="A126" s="31"/>
      <c r="B126" s="31" t="s">
        <v>303</v>
      </c>
      <c r="C126" s="32" t="s">
        <v>226</v>
      </c>
      <c r="D126" s="31">
        <v>272689</v>
      </c>
      <c r="E126" s="33">
        <v>20</v>
      </c>
      <c r="F126" s="32">
        <v>1</v>
      </c>
      <c r="G126" s="32"/>
      <c r="I126" s="34" t="str">
        <f t="shared" si="11"/>
        <v>·</v>
      </c>
      <c r="J126" s="35">
        <f t="shared" si="12"/>
        <v>39.150270087902335</v>
      </c>
      <c r="K126" s="35">
        <f t="shared" si="13"/>
        <v>35.39316950812097</v>
      </c>
      <c r="L126" s="35">
        <f t="shared" si="14"/>
        <v>3.7551056331571866</v>
      </c>
      <c r="M126" s="36"/>
      <c r="N126" s="35">
        <f t="shared" si="15"/>
        <v>39.150270087902335</v>
      </c>
      <c r="O126" s="37">
        <v>272689</v>
      </c>
      <c r="P126" s="38">
        <v>10675848</v>
      </c>
      <c r="Q126" s="38">
        <v>9651328</v>
      </c>
      <c r="R126" s="38">
        <v>1023976</v>
      </c>
      <c r="S126" s="39"/>
      <c r="T126" s="40">
        <v>48.248600000000003</v>
      </c>
      <c r="U126" s="40">
        <v>51.232500000000002</v>
      </c>
      <c r="V126" s="40">
        <v>51.023899999999998</v>
      </c>
      <c r="W126" s="41"/>
      <c r="X126" s="40">
        <v>42.110199999999999</v>
      </c>
      <c r="Y126" s="40">
        <v>42.110199999999999</v>
      </c>
      <c r="Z126" s="40">
        <v>42.110199999999999</v>
      </c>
      <c r="AA126" s="41"/>
      <c r="AB126" s="42"/>
      <c r="AC126" s="42"/>
      <c r="AE126" s="34" t="str">
        <f t="shared" si="16"/>
        <v>·</v>
      </c>
      <c r="AF126" s="35">
        <f t="shared" si="17"/>
        <v>39.117734855458046</v>
      </c>
      <c r="AG126" s="35">
        <f t="shared" si="18"/>
        <v>35.39316950812097</v>
      </c>
      <c r="AH126" s="35">
        <f t="shared" si="19"/>
        <v>3.7225704007128999</v>
      </c>
      <c r="AI126" s="36"/>
      <c r="AJ126" s="35">
        <f t="shared" si="20"/>
        <v>39.117734855458046</v>
      </c>
      <c r="AK126" s="37">
        <v>272689</v>
      </c>
      <c r="AL126" s="38">
        <v>10666976</v>
      </c>
      <c r="AM126" s="38">
        <v>9651328</v>
      </c>
      <c r="AN126" s="38">
        <v>1015104</v>
      </c>
      <c r="AO126" s="39"/>
      <c r="AP126" s="40">
        <v>48.26</v>
      </c>
      <c r="AQ126" s="40">
        <v>51.259</v>
      </c>
      <c r="AR126" s="40">
        <v>51.008299999999998</v>
      </c>
      <c r="AS126" s="41"/>
      <c r="AT126" s="40">
        <v>42.110199999999999</v>
      </c>
      <c r="AU126" s="40">
        <v>42.110199999999999</v>
      </c>
      <c r="AV126" s="40">
        <v>42.110199999999999</v>
      </c>
      <c r="AW126" s="41"/>
      <c r="AX126" s="42">
        <v>2.1680000000000001</v>
      </c>
      <c r="AY126" s="42">
        <v>2.5579999999999998</v>
      </c>
      <c r="BA126" s="43">
        <f t="shared" si="21"/>
        <v>7.5190835177507687E-4</v>
      </c>
      <c r="BB126" s="43"/>
      <c r="BD126" s="44"/>
      <c r="BE126" s="44"/>
      <c r="BF126" s="44"/>
      <c r="BG126" s="45"/>
      <c r="BI126" s="44"/>
      <c r="BJ126" s="44"/>
      <c r="BK126" s="44"/>
      <c r="BL126" s="45"/>
      <c r="BN126" s="44"/>
      <c r="BO126" s="44"/>
      <c r="BP126" s="44"/>
      <c r="BQ126" s="45"/>
      <c r="BS126" s="44"/>
      <c r="BT126" s="44"/>
      <c r="BU126" s="44"/>
      <c r="BV126" s="45"/>
    </row>
    <row r="127" spans="1:74" outlineLevel="1" x14ac:dyDescent="0.15">
      <c r="A127" s="16"/>
      <c r="B127" s="16" t="s">
        <v>303</v>
      </c>
      <c r="C127" s="17" t="s">
        <v>227</v>
      </c>
      <c r="D127" s="16">
        <v>272689</v>
      </c>
      <c r="E127" s="18">
        <v>20</v>
      </c>
      <c r="F127" s="17">
        <v>1</v>
      </c>
      <c r="G127" s="17"/>
      <c r="I127" s="19" t="str">
        <f t="shared" si="11"/>
        <v>·</v>
      </c>
      <c r="J127" s="20">
        <f t="shared" si="12"/>
        <v>37.191203165510892</v>
      </c>
      <c r="K127" s="20">
        <f t="shared" si="13"/>
        <v>35.39316950812097</v>
      </c>
      <c r="L127" s="20">
        <f t="shared" si="14"/>
        <v>1.7960387107657441</v>
      </c>
      <c r="M127" s="21"/>
      <c r="N127" s="20">
        <f t="shared" si="15"/>
        <v>37.191203165510892</v>
      </c>
      <c r="O127" s="22">
        <v>272689</v>
      </c>
      <c r="P127" s="23">
        <v>10141632</v>
      </c>
      <c r="Q127" s="23">
        <v>9651328</v>
      </c>
      <c r="R127" s="23">
        <v>489760</v>
      </c>
      <c r="S127" s="24"/>
      <c r="T127" s="25">
        <v>41.395200000000003</v>
      </c>
      <c r="U127" s="25">
        <v>46.292999999999999</v>
      </c>
      <c r="V127" s="25">
        <v>46.025199999999998</v>
      </c>
      <c r="W127" s="26"/>
      <c r="X127" s="25">
        <v>34.151400000000002</v>
      </c>
      <c r="Y127" s="25">
        <v>34.151400000000002</v>
      </c>
      <c r="Z127" s="25">
        <v>34.151400000000002</v>
      </c>
      <c r="AA127" s="26"/>
      <c r="AB127" s="27"/>
      <c r="AC127" s="27"/>
      <c r="AE127" s="19" t="str">
        <f t="shared" si="16"/>
        <v>·</v>
      </c>
      <c r="AF127" s="20">
        <f t="shared" si="17"/>
        <v>37.162041739857493</v>
      </c>
      <c r="AG127" s="20">
        <f t="shared" si="18"/>
        <v>35.39316950812097</v>
      </c>
      <c r="AH127" s="20">
        <f t="shared" si="19"/>
        <v>1.7668772851123442</v>
      </c>
      <c r="AI127" s="21"/>
      <c r="AJ127" s="20">
        <f t="shared" si="20"/>
        <v>37.162041739857493</v>
      </c>
      <c r="AK127" s="22">
        <v>272689</v>
      </c>
      <c r="AL127" s="23">
        <v>10133680</v>
      </c>
      <c r="AM127" s="23">
        <v>9651328</v>
      </c>
      <c r="AN127" s="23">
        <v>481808</v>
      </c>
      <c r="AO127" s="24"/>
      <c r="AP127" s="25">
        <v>41.416600000000003</v>
      </c>
      <c r="AQ127" s="25">
        <v>46.3123</v>
      </c>
      <c r="AR127" s="25">
        <v>46.135300000000001</v>
      </c>
      <c r="AS127" s="26"/>
      <c r="AT127" s="25">
        <v>34.151400000000002</v>
      </c>
      <c r="AU127" s="25">
        <v>34.151400000000002</v>
      </c>
      <c r="AV127" s="25">
        <v>34.151400000000002</v>
      </c>
      <c r="AW127" s="26"/>
      <c r="AX127" s="27">
        <v>2.698</v>
      </c>
      <c r="AY127" s="27">
        <v>2.87</v>
      </c>
      <c r="BA127" s="28">
        <f t="shared" si="21"/>
        <v>7.4677266574474377E-4</v>
      </c>
      <c r="BB127" s="28"/>
      <c r="BD127" s="29"/>
      <c r="BE127" s="29"/>
      <c r="BF127" s="29"/>
      <c r="BG127" s="30"/>
      <c r="BI127" s="29"/>
      <c r="BJ127" s="29"/>
      <c r="BK127" s="29"/>
      <c r="BL127" s="30"/>
      <c r="BN127" s="29"/>
      <c r="BO127" s="29"/>
      <c r="BP127" s="29"/>
      <c r="BQ127" s="30"/>
      <c r="BS127" s="29"/>
      <c r="BT127" s="29"/>
      <c r="BU127" s="29"/>
      <c r="BV127" s="30"/>
    </row>
    <row r="128" spans="1:74" outlineLevel="1" x14ac:dyDescent="0.15">
      <c r="A128" s="31"/>
      <c r="B128" s="31" t="s">
        <v>303</v>
      </c>
      <c r="C128" s="32" t="s">
        <v>228</v>
      </c>
      <c r="D128" s="31">
        <v>272689</v>
      </c>
      <c r="E128" s="33">
        <v>20</v>
      </c>
      <c r="F128" s="32">
        <v>1</v>
      </c>
      <c r="G128" s="32"/>
      <c r="I128" s="34" t="str">
        <f t="shared" si="11"/>
        <v>·</v>
      </c>
      <c r="J128" s="35">
        <f t="shared" si="12"/>
        <v>36.238440127764598</v>
      </c>
      <c r="K128" s="35">
        <f t="shared" si="13"/>
        <v>35.39316950812097</v>
      </c>
      <c r="L128" s="35">
        <f t="shared" si="14"/>
        <v>0.84327567301944706</v>
      </c>
      <c r="M128" s="36"/>
      <c r="N128" s="35">
        <f t="shared" si="15"/>
        <v>36.238440127764598</v>
      </c>
      <c r="O128" s="37">
        <v>272689</v>
      </c>
      <c r="P128" s="38">
        <v>9881824</v>
      </c>
      <c r="Q128" s="38">
        <v>9651328</v>
      </c>
      <c r="R128" s="38">
        <v>229952</v>
      </c>
      <c r="S128" s="39"/>
      <c r="T128" s="40">
        <v>36.064900000000002</v>
      </c>
      <c r="U128" s="40">
        <v>42.298900000000003</v>
      </c>
      <c r="V128" s="40">
        <v>41.384700000000002</v>
      </c>
      <c r="W128" s="41"/>
      <c r="X128" s="40">
        <v>28.130800000000001</v>
      </c>
      <c r="Y128" s="40">
        <v>28.130800000000001</v>
      </c>
      <c r="Z128" s="40">
        <v>28.130800000000001</v>
      </c>
      <c r="AA128" s="41"/>
      <c r="AB128" s="42"/>
      <c r="AC128" s="42"/>
      <c r="AE128" s="34" t="str">
        <f t="shared" si="16"/>
        <v>·</v>
      </c>
      <c r="AF128" s="35">
        <f t="shared" si="17"/>
        <v>36.216261015295814</v>
      </c>
      <c r="AG128" s="35">
        <f t="shared" si="18"/>
        <v>35.39316950812097</v>
      </c>
      <c r="AH128" s="35">
        <f t="shared" si="19"/>
        <v>0.82109656055066393</v>
      </c>
      <c r="AI128" s="36"/>
      <c r="AJ128" s="35">
        <f t="shared" si="20"/>
        <v>36.216261015295814</v>
      </c>
      <c r="AK128" s="37">
        <v>272689</v>
      </c>
      <c r="AL128" s="38">
        <v>9875776</v>
      </c>
      <c r="AM128" s="38">
        <v>9651328</v>
      </c>
      <c r="AN128" s="38">
        <v>223904</v>
      </c>
      <c r="AO128" s="39"/>
      <c r="AP128" s="40">
        <v>36.017200000000003</v>
      </c>
      <c r="AQ128" s="40">
        <v>42.466500000000003</v>
      </c>
      <c r="AR128" s="40">
        <v>41.469499999999996</v>
      </c>
      <c r="AS128" s="41"/>
      <c r="AT128" s="40">
        <v>28.130800000000001</v>
      </c>
      <c r="AU128" s="40">
        <v>28.130800000000001</v>
      </c>
      <c r="AV128" s="40">
        <v>28.130800000000001</v>
      </c>
      <c r="AW128" s="41"/>
      <c r="AX128" s="42">
        <v>3.3380000000000001</v>
      </c>
      <c r="AY128" s="42">
        <v>2.0430000000000001</v>
      </c>
      <c r="BA128" s="43">
        <f t="shared" si="21"/>
        <v>5.9812301305106619E-4</v>
      </c>
      <c r="BB128" s="43"/>
      <c r="BD128" s="44"/>
      <c r="BE128" s="44"/>
      <c r="BF128" s="44"/>
      <c r="BG128" s="45"/>
      <c r="BI128" s="44"/>
      <c r="BJ128" s="44"/>
      <c r="BK128" s="44"/>
      <c r="BL128" s="45"/>
      <c r="BN128" s="44"/>
      <c r="BO128" s="44"/>
      <c r="BP128" s="44"/>
      <c r="BQ128" s="45"/>
      <c r="BS128" s="44"/>
      <c r="BT128" s="44"/>
      <c r="BU128" s="44"/>
      <c r="BV128" s="45"/>
    </row>
    <row r="129" spans="1:74" outlineLevel="1" x14ac:dyDescent="0.15">
      <c r="A129" s="16"/>
      <c r="B129" s="65" t="s">
        <v>303</v>
      </c>
      <c r="C129" s="67" t="s">
        <v>229</v>
      </c>
      <c r="D129" s="65">
        <v>272689</v>
      </c>
      <c r="E129" s="66">
        <v>20</v>
      </c>
      <c r="F129" s="67">
        <v>1</v>
      </c>
      <c r="G129" s="67"/>
      <c r="I129" s="69" t="str">
        <f t="shared" si="11"/>
        <v>·</v>
      </c>
      <c r="J129" s="70">
        <f t="shared" si="12"/>
        <v>35.697604230460342</v>
      </c>
      <c r="K129" s="70">
        <f t="shared" si="13"/>
        <v>35.39316950812097</v>
      </c>
      <c r="L129" s="70">
        <f t="shared" si="14"/>
        <v>0.30243977571519204</v>
      </c>
      <c r="M129" s="75"/>
      <c r="N129" s="70">
        <f t="shared" si="15"/>
        <v>35.697604230460342</v>
      </c>
      <c r="O129" s="71">
        <v>272689</v>
      </c>
      <c r="P129" s="72">
        <v>9734344</v>
      </c>
      <c r="Q129" s="72">
        <v>9651328</v>
      </c>
      <c r="R129" s="72">
        <v>82472</v>
      </c>
      <c r="S129" s="76"/>
      <c r="T129" s="77">
        <v>29.992799999999999</v>
      </c>
      <c r="U129" s="77">
        <v>36.580399999999997</v>
      </c>
      <c r="V129" s="77">
        <v>36.744399999999999</v>
      </c>
      <c r="W129" s="78"/>
      <c r="X129" s="77">
        <v>21.686399999999999</v>
      </c>
      <c r="Y129" s="77">
        <v>21.686399999999999</v>
      </c>
      <c r="Z129" s="77">
        <v>21.686399999999999</v>
      </c>
      <c r="AA129" s="78"/>
      <c r="AB129" s="73"/>
      <c r="AC129" s="73"/>
      <c r="AE129" s="69" t="str">
        <f t="shared" si="16"/>
        <v>·</v>
      </c>
      <c r="AF129" s="70">
        <f t="shared" si="17"/>
        <v>35.690621917275728</v>
      </c>
      <c r="AG129" s="70">
        <f t="shared" si="18"/>
        <v>35.39316950812097</v>
      </c>
      <c r="AH129" s="70">
        <f t="shared" si="19"/>
        <v>0.29545746253057514</v>
      </c>
      <c r="AI129" s="75"/>
      <c r="AJ129" s="70">
        <f t="shared" si="20"/>
        <v>35.690621917275728</v>
      </c>
      <c r="AK129" s="71">
        <v>272689</v>
      </c>
      <c r="AL129" s="72">
        <v>9732440</v>
      </c>
      <c r="AM129" s="72">
        <v>9651328</v>
      </c>
      <c r="AN129" s="72">
        <v>80568</v>
      </c>
      <c r="AO129" s="76"/>
      <c r="AP129" s="77">
        <v>30.000599999999999</v>
      </c>
      <c r="AQ129" s="77">
        <v>36.664000000000001</v>
      </c>
      <c r="AR129" s="77">
        <v>36.837800000000001</v>
      </c>
      <c r="AS129" s="78"/>
      <c r="AT129" s="77">
        <v>21.686399999999999</v>
      </c>
      <c r="AU129" s="77">
        <v>21.686399999999999</v>
      </c>
      <c r="AV129" s="77">
        <v>21.686399999999999</v>
      </c>
      <c r="AW129" s="78"/>
      <c r="AX129" s="73">
        <v>3.681</v>
      </c>
      <c r="AY129" s="73">
        <v>2.6360000000000001</v>
      </c>
      <c r="BA129" s="68">
        <f t="shared" si="21"/>
        <v>1.9396599329613018E-4</v>
      </c>
      <c r="BB129" s="68"/>
      <c r="BD129" s="74"/>
      <c r="BE129" s="74"/>
      <c r="BF129" s="74"/>
      <c r="BG129" s="79"/>
      <c r="BI129" s="74"/>
      <c r="BJ129" s="74"/>
      <c r="BK129" s="74"/>
      <c r="BL129" s="79"/>
      <c r="BN129" s="74"/>
      <c r="BO129" s="74"/>
      <c r="BP129" s="74"/>
      <c r="BQ129" s="79"/>
      <c r="BS129" s="74"/>
      <c r="BT129" s="74"/>
      <c r="BU129" s="74"/>
      <c r="BV129" s="79"/>
    </row>
    <row r="130" spans="1:74" x14ac:dyDescent="0.15">
      <c r="A130" s="31"/>
      <c r="B130" s="31" t="s">
        <v>306</v>
      </c>
      <c r="C130" s="32" t="s">
        <v>225</v>
      </c>
      <c r="D130" s="31">
        <v>1602990</v>
      </c>
      <c r="E130" s="33">
        <v>20</v>
      </c>
      <c r="F130" s="32">
        <v>1</v>
      </c>
      <c r="G130" s="32"/>
      <c r="I130" s="34" t="str">
        <f t="shared" si="11"/>
        <v>·</v>
      </c>
      <c r="J130" s="35">
        <f t="shared" si="12"/>
        <v>36.518740603497214</v>
      </c>
      <c r="K130" s="35">
        <f t="shared" si="13"/>
        <v>28.597982520165441</v>
      </c>
      <c r="L130" s="35">
        <f t="shared" si="14"/>
        <v>7.9203688107848462</v>
      </c>
      <c r="M130" s="36"/>
      <c r="N130" s="35">
        <f t="shared" si="15"/>
        <v>36.518740603497214</v>
      </c>
      <c r="O130" s="37">
        <v>1602990</v>
      </c>
      <c r="P130" s="38">
        <v>58539176</v>
      </c>
      <c r="Q130" s="38">
        <v>45842280</v>
      </c>
      <c r="R130" s="38">
        <v>12696272</v>
      </c>
      <c r="S130" s="39"/>
      <c r="T130" s="40">
        <v>53.428899999999999</v>
      </c>
      <c r="U130" s="40">
        <v>55.401299999999999</v>
      </c>
      <c r="V130" s="40">
        <v>54.7624</v>
      </c>
      <c r="W130" s="41"/>
      <c r="X130" s="40">
        <v>48.130800000000001</v>
      </c>
      <c r="Y130" s="40">
        <v>48.130800000000001</v>
      </c>
      <c r="Z130" s="40">
        <v>48.130800000000001</v>
      </c>
      <c r="AA130" s="41"/>
      <c r="AB130" s="42"/>
      <c r="AC130" s="42"/>
      <c r="AE130" s="34" t="str">
        <f t="shared" si="16"/>
        <v>·</v>
      </c>
      <c r="AF130" s="35">
        <f t="shared" si="17"/>
        <v>36.470914977635545</v>
      </c>
      <c r="AG130" s="35">
        <f t="shared" si="18"/>
        <v>28.597982520165441</v>
      </c>
      <c r="AH130" s="35">
        <f t="shared" si="19"/>
        <v>7.8725431849231748</v>
      </c>
      <c r="AI130" s="36"/>
      <c r="AJ130" s="35">
        <f t="shared" si="20"/>
        <v>36.470914977635545</v>
      </c>
      <c r="AK130" s="37">
        <v>1602990</v>
      </c>
      <c r="AL130" s="38">
        <v>58462512</v>
      </c>
      <c r="AM130" s="38">
        <v>45842280</v>
      </c>
      <c r="AN130" s="38">
        <v>12619608</v>
      </c>
      <c r="AO130" s="39"/>
      <c r="AP130" s="40">
        <v>53.426099999999998</v>
      </c>
      <c r="AQ130" s="40">
        <v>55.4041</v>
      </c>
      <c r="AR130" s="40">
        <v>54.757599999999996</v>
      </c>
      <c r="AS130" s="41"/>
      <c r="AT130" s="40">
        <v>48.130800000000001</v>
      </c>
      <c r="AU130" s="40">
        <v>48.130800000000001</v>
      </c>
      <c r="AV130" s="40">
        <v>48.130800000000001</v>
      </c>
      <c r="AW130" s="41"/>
      <c r="AX130" s="42">
        <v>16.021000000000001</v>
      </c>
      <c r="AY130" s="42">
        <v>17.596</v>
      </c>
      <c r="BA130" s="43">
        <f t="shared" si="21"/>
        <v>1.0269128954577544E-3</v>
      </c>
      <c r="BB130" s="43">
        <f t="array" ref="BB130">AVERAGE(AM130:AM134/AL130:AL134) - AVERAGE(Q130:Q134/P130:P134)</f>
        <v>1.2228766347122111E-3</v>
      </c>
      <c r="BD130" s="44">
        <f>IF( OR(ISBLANK(R130:R134),ISBLANK(AN130:AN134), ISBLANK(T130:T134),ISBLANK(AP130:AP134)), "·", bdRateExtend( R130:R134,T130:T134, AN130:AN134,AP130:AP134))</f>
        <v>-1.7753535400598208E-2</v>
      </c>
      <c r="BE130" s="44">
        <f>IF( OR(ISBLANK(R130:R134),ISBLANK(AN130:AN134), ISBLANK(U130:U134),ISBLANK(AQ130:AQ134)), "·", bdRateExtend( R130:R134,U130:U134, AN130:AN134,AQ130:AQ134))</f>
        <v>-2.4248653862581571E-2</v>
      </c>
      <c r="BF130" s="44">
        <f>IF( OR(ISBLANK(R130:R134),ISBLANK(AN130:AN134), ISBLANK(V130:V134),ISBLANK(AR130:AR134)), "·", bdRateExtend( R130:R134,V130:V134, AN130:AN134,AR130:AR134))</f>
        <v>-2.414446955071381E-2</v>
      </c>
      <c r="BG130" s="45"/>
      <c r="BI130" s="44">
        <f>IF( OR(ISBLANK(R130:R134),ISBLANK(AN130:AN134), ISBLANK(X130:X134),ISBLANK(AT130:AT134)), "·", bdRateExtend( R130:R134,X130:X134, AN130:AN134,AT130:AT134))</f>
        <v>-1.6566907599980696E-2</v>
      </c>
      <c r="BJ130" s="44">
        <f>IF( OR(ISBLANK(R130:R134),ISBLANK(AN130:AN134), ISBLANK(Y130:Y134),ISBLANK(AU130:AU134)), "·", bdRateExtend( R130:R134,Y130:Y134, AN130:AN134,AU130:AU134))</f>
        <v>-1.6566907599980696E-2</v>
      </c>
      <c r="BK130" s="44">
        <f>IF( OR(ISBLANK(R130:R134),ISBLANK(AN130:AN134), ISBLANK(Z130:Z134),ISBLANK(AV130:AV134)), "·", bdRateExtend( R130:R134,Z130:Z134, AN130:AN134,AV130:AV134))</f>
        <v>-1.6566907599980696E-2</v>
      </c>
      <c r="BL130" s="45"/>
      <c r="BN130" s="44">
        <f>IF( OR(ISBLANK(P130:P134),ISBLANK(AL130:AL134), ISBLANK(T130:T134),ISBLANK(AP130:AP134)), "·", bdRateExtend( P130:P134,T130:T134, AL130:AL134,AP130:AP134))</f>
        <v>-1.4235019152575301E-3</v>
      </c>
      <c r="BO130" s="44">
        <f>IF( OR(ISBLANK(P130:P134),ISBLANK(AL130:AL134), ISBLANK(U130:U134),ISBLANK(AQ130:AQ134)), "·", bdRateExtend( P130:P134,U130:U134, AL130:AL134,AQ130:AQ134))</f>
        <v>-1.9965342643972761E-3</v>
      </c>
      <c r="BP130" s="44">
        <f>IF( OR(ISBLANK(P130:P134),ISBLANK(AL130:AL134), ISBLANK(V130:V134),ISBLANK(AR130:AR134)), "·", bdRateExtend( P130:P134,V130:V134, AL130:AL134,AR130:AR134))</f>
        <v>-1.8927367189777167E-3</v>
      </c>
      <c r="BQ130" s="45"/>
      <c r="BS130" s="44">
        <f>IF( OR(ISBLANK(P130:P134),ISBLANK(AL130:AL134), ISBLANK(X130:X134),ISBLANK(AT130:AT134)), "·", bdRateExtend( P130:P134,X130:X134, AL130:AL134,AT130:AT134))</f>
        <v>-1.3968866395338564E-3</v>
      </c>
      <c r="BT130" s="44">
        <f>IF( OR(ISBLANK(P130:P134),ISBLANK(AL130:AL134), ISBLANK(Y130:Y134),ISBLANK(AU130:AU134)), "·", bdRateExtend( P130:P134,Y130:Y134, AL130:AL134,AU130:AU134))</f>
        <v>-1.3968866395338564E-3</v>
      </c>
      <c r="BU130" s="44">
        <f>IF( OR(ISBLANK(P130:P134),ISBLANK(AL130:AL134), ISBLANK(Z130:Z134),ISBLANK(AV130:AV134)), "·", bdRateExtend( P130:P134,Z130:Z134, AL130:AL134,AV130:AV134))</f>
        <v>-1.3968866395338564E-3</v>
      </c>
      <c r="BV130" s="45"/>
    </row>
    <row r="131" spans="1:74" outlineLevel="1" x14ac:dyDescent="0.15">
      <c r="A131" s="16"/>
      <c r="B131" s="16" t="s">
        <v>306</v>
      </c>
      <c r="C131" s="17" t="s">
        <v>226</v>
      </c>
      <c r="D131" s="16">
        <v>1602990</v>
      </c>
      <c r="E131" s="18">
        <v>20</v>
      </c>
      <c r="F131" s="17">
        <v>1</v>
      </c>
      <c r="G131" s="17"/>
      <c r="I131" s="19" t="str">
        <f t="shared" si="11"/>
        <v>·</v>
      </c>
      <c r="J131" s="20">
        <f t="shared" si="12"/>
        <v>34.315148566117067</v>
      </c>
      <c r="K131" s="20">
        <f t="shared" si="13"/>
        <v>28.597982520165441</v>
      </c>
      <c r="L131" s="20">
        <f t="shared" si="14"/>
        <v>5.7167767734046997</v>
      </c>
      <c r="M131" s="21"/>
      <c r="N131" s="20">
        <f t="shared" si="15"/>
        <v>34.315148566117067</v>
      </c>
      <c r="O131" s="22">
        <v>1602990</v>
      </c>
      <c r="P131" s="23">
        <v>55006840</v>
      </c>
      <c r="Q131" s="23">
        <v>45842280</v>
      </c>
      <c r="R131" s="23">
        <v>9163936</v>
      </c>
      <c r="S131" s="24"/>
      <c r="T131" s="25">
        <v>48.344299999999997</v>
      </c>
      <c r="U131" s="25">
        <v>51.165799999999997</v>
      </c>
      <c r="V131" s="25">
        <v>50.476700000000001</v>
      </c>
      <c r="W131" s="26"/>
      <c r="X131" s="25">
        <v>42.110199999999999</v>
      </c>
      <c r="Y131" s="25">
        <v>42.110199999999999</v>
      </c>
      <c r="Z131" s="25">
        <v>42.110199999999999</v>
      </c>
      <c r="AA131" s="26"/>
      <c r="AB131" s="27"/>
      <c r="AC131" s="27"/>
      <c r="AE131" s="19" t="str">
        <f t="shared" si="16"/>
        <v>·</v>
      </c>
      <c r="AF131" s="20">
        <f t="shared" si="17"/>
        <v>34.271375367282388</v>
      </c>
      <c r="AG131" s="20">
        <f t="shared" si="18"/>
        <v>28.597982520165441</v>
      </c>
      <c r="AH131" s="20">
        <f t="shared" si="19"/>
        <v>5.6730035745700222</v>
      </c>
      <c r="AI131" s="21"/>
      <c r="AJ131" s="20">
        <f t="shared" si="20"/>
        <v>34.271375367282388</v>
      </c>
      <c r="AK131" s="22">
        <v>1602990</v>
      </c>
      <c r="AL131" s="23">
        <v>54936672</v>
      </c>
      <c r="AM131" s="23">
        <v>45842280</v>
      </c>
      <c r="AN131" s="23">
        <v>9093768</v>
      </c>
      <c r="AO131" s="24"/>
      <c r="AP131" s="25">
        <v>48.333599999999997</v>
      </c>
      <c r="AQ131" s="25">
        <v>51.182600000000001</v>
      </c>
      <c r="AR131" s="25">
        <v>50.488700000000001</v>
      </c>
      <c r="AS131" s="26"/>
      <c r="AT131" s="25">
        <v>42.110199999999999</v>
      </c>
      <c r="AU131" s="25">
        <v>42.110199999999999</v>
      </c>
      <c r="AV131" s="25">
        <v>42.110199999999999</v>
      </c>
      <c r="AW131" s="26"/>
      <c r="AX131" s="27">
        <v>14.866</v>
      </c>
      <c r="AY131" s="27">
        <v>15.943</v>
      </c>
      <c r="BA131" s="28">
        <f t="shared" si="21"/>
        <v>1.064452445473596E-3</v>
      </c>
      <c r="BB131" s="28"/>
      <c r="BD131" s="29"/>
      <c r="BE131" s="29"/>
      <c r="BF131" s="29"/>
      <c r="BG131" s="30"/>
      <c r="BI131" s="29"/>
      <c r="BJ131" s="29"/>
      <c r="BK131" s="29"/>
      <c r="BL131" s="30"/>
      <c r="BN131" s="29"/>
      <c r="BO131" s="29"/>
      <c r="BP131" s="29"/>
      <c r="BQ131" s="30"/>
      <c r="BS131" s="29"/>
      <c r="BT131" s="29"/>
      <c r="BU131" s="29"/>
      <c r="BV131" s="30"/>
    </row>
    <row r="132" spans="1:74" outlineLevel="1" x14ac:dyDescent="0.15">
      <c r="A132" s="31"/>
      <c r="B132" s="31" t="s">
        <v>306</v>
      </c>
      <c r="C132" s="32" t="s">
        <v>227</v>
      </c>
      <c r="D132" s="31">
        <v>1602990</v>
      </c>
      <c r="E132" s="33">
        <v>20</v>
      </c>
      <c r="F132" s="32">
        <v>1</v>
      </c>
      <c r="G132" s="32"/>
      <c r="I132" s="34" t="str">
        <f t="shared" si="11"/>
        <v>·</v>
      </c>
      <c r="J132" s="35">
        <f t="shared" si="12"/>
        <v>31.96315385623117</v>
      </c>
      <c r="K132" s="35">
        <f t="shared" si="13"/>
        <v>28.597982520165441</v>
      </c>
      <c r="L132" s="35">
        <f t="shared" si="14"/>
        <v>3.364782063518799</v>
      </c>
      <c r="M132" s="36"/>
      <c r="N132" s="35">
        <f t="shared" si="15"/>
        <v>31.96315385623117</v>
      </c>
      <c r="O132" s="37">
        <v>1602990</v>
      </c>
      <c r="P132" s="38">
        <v>51236616</v>
      </c>
      <c r="Q132" s="38">
        <v>45842280</v>
      </c>
      <c r="R132" s="38">
        <v>5393712</v>
      </c>
      <c r="S132" s="39"/>
      <c r="T132" s="40">
        <v>41.143999999999998</v>
      </c>
      <c r="U132" s="40">
        <v>45.72</v>
      </c>
      <c r="V132" s="40">
        <v>44.869799999999998</v>
      </c>
      <c r="W132" s="41"/>
      <c r="X132" s="40">
        <v>34.151400000000002</v>
      </c>
      <c r="Y132" s="40">
        <v>34.151400000000002</v>
      </c>
      <c r="Z132" s="40">
        <v>34.151400000000002</v>
      </c>
      <c r="AA132" s="41"/>
      <c r="AB132" s="42"/>
      <c r="AC132" s="42"/>
      <c r="AE132" s="34" t="str">
        <f t="shared" si="16"/>
        <v>·</v>
      </c>
      <c r="AF132" s="35">
        <f t="shared" si="17"/>
        <v>31.914160412728712</v>
      </c>
      <c r="AG132" s="35">
        <f t="shared" si="18"/>
        <v>28.597982520165441</v>
      </c>
      <c r="AH132" s="35">
        <f t="shared" si="19"/>
        <v>3.3157886200163444</v>
      </c>
      <c r="AI132" s="36"/>
      <c r="AJ132" s="35">
        <f t="shared" si="20"/>
        <v>31.914160412728712</v>
      </c>
      <c r="AK132" s="37">
        <v>1602990</v>
      </c>
      <c r="AL132" s="38">
        <v>51158080</v>
      </c>
      <c r="AM132" s="38">
        <v>45842280</v>
      </c>
      <c r="AN132" s="38">
        <v>5315176</v>
      </c>
      <c r="AO132" s="39"/>
      <c r="AP132" s="40">
        <v>41.142499999999998</v>
      </c>
      <c r="AQ132" s="40">
        <v>45.797400000000003</v>
      </c>
      <c r="AR132" s="40">
        <v>44.929000000000002</v>
      </c>
      <c r="AS132" s="41"/>
      <c r="AT132" s="40">
        <v>34.151400000000002</v>
      </c>
      <c r="AU132" s="40">
        <v>34.151400000000002</v>
      </c>
      <c r="AV132" s="40">
        <v>34.151400000000002</v>
      </c>
      <c r="AW132" s="41"/>
      <c r="AX132" s="42">
        <v>15.896000000000001</v>
      </c>
      <c r="AY132" s="42">
        <v>15.865</v>
      </c>
      <c r="BA132" s="43">
        <f t="shared" si="21"/>
        <v>1.3735368403006154E-3</v>
      </c>
      <c r="BB132" s="43"/>
      <c r="BD132" s="44"/>
      <c r="BE132" s="44"/>
      <c r="BF132" s="44"/>
      <c r="BG132" s="45"/>
      <c r="BI132" s="44"/>
      <c r="BJ132" s="44"/>
      <c r="BK132" s="44"/>
      <c r="BL132" s="45"/>
      <c r="BN132" s="44"/>
      <c r="BO132" s="44"/>
      <c r="BP132" s="44"/>
      <c r="BQ132" s="45"/>
      <c r="BS132" s="44"/>
      <c r="BT132" s="44"/>
      <c r="BU132" s="44"/>
      <c r="BV132" s="45"/>
    </row>
    <row r="133" spans="1:74" outlineLevel="1" x14ac:dyDescent="0.15">
      <c r="A133" s="16"/>
      <c r="B133" s="16" t="s">
        <v>306</v>
      </c>
      <c r="C133" s="17" t="s">
        <v>228</v>
      </c>
      <c r="D133" s="16">
        <v>1602990</v>
      </c>
      <c r="E133" s="18">
        <v>20</v>
      </c>
      <c r="F133" s="17">
        <v>1</v>
      </c>
      <c r="G133" s="17"/>
      <c r="I133" s="19" t="str">
        <f t="shared" ref="I133:I196" si="22">IF(OR(ISBLANK(P133),ISBLANK(G133)),"·",P133*G133/F133/1000000)</f>
        <v>·</v>
      </c>
      <c r="J133" s="20">
        <f t="shared" ref="J133:J196" si="23">IF(ISBLANK(P133),"·",P133/D133)</f>
        <v>30.560195634408199</v>
      </c>
      <c r="K133" s="20">
        <f t="shared" ref="K133:K196" si="24">IF(Q133="","·",Q133/D133)</f>
        <v>28.597982520165441</v>
      </c>
      <c r="L133" s="20">
        <f t="shared" ref="L133:L196" si="25">IF(ISBLANK(R133),"·",R133/D133)</f>
        <v>1.9618238416958309</v>
      </c>
      <c r="M133" s="21"/>
      <c r="N133" s="20">
        <f t="shared" ref="N133:N196" si="26">IF(ISBLANK(P133),"·",P133/O133)</f>
        <v>30.560195634408199</v>
      </c>
      <c r="O133" s="22">
        <v>1602990</v>
      </c>
      <c r="P133" s="23">
        <v>48987688</v>
      </c>
      <c r="Q133" s="23">
        <v>45842280</v>
      </c>
      <c r="R133" s="23">
        <v>3144784</v>
      </c>
      <c r="S133" s="24"/>
      <c r="T133" s="25">
        <v>35.4709</v>
      </c>
      <c r="U133" s="25">
        <v>41.2791</v>
      </c>
      <c r="V133" s="25">
        <v>40.424399999999999</v>
      </c>
      <c r="W133" s="26"/>
      <c r="X133" s="25">
        <v>28.130800000000001</v>
      </c>
      <c r="Y133" s="25">
        <v>28.130800000000001</v>
      </c>
      <c r="Z133" s="25">
        <v>28.130800000000001</v>
      </c>
      <c r="AA133" s="26"/>
      <c r="AB133" s="27"/>
      <c r="AC133" s="27"/>
      <c r="AE133" s="19" t="str">
        <f t="shared" ref="AE133:AE196" si="27">IF(OR(ISBLANK(AL133),ISBLANK(G133)),"·",AL133*G133/F133/1000000)</f>
        <v>·</v>
      </c>
      <c r="AF133" s="20">
        <f t="shared" ref="AF133:AF196" si="28">IF(ISBLANK(AL133),"·",AL133/D133)</f>
        <v>30.515763666647953</v>
      </c>
      <c r="AG133" s="20">
        <f t="shared" ref="AG133:AG196" si="29">IF(AM133="","·",AM133/D133)</f>
        <v>28.597982520165441</v>
      </c>
      <c r="AH133" s="20">
        <f t="shared" ref="AH133:AH196" si="30">IF(ISBLANK(AN133),"·",AN133/D133)</f>
        <v>1.9173918739355829</v>
      </c>
      <c r="AI133" s="21"/>
      <c r="AJ133" s="20">
        <f t="shared" ref="AJ133:AJ196" si="31">IF(ISBLANK(AL133),"·",AL133/AK133)</f>
        <v>30.515763666647953</v>
      </c>
      <c r="AK133" s="22">
        <v>1602990</v>
      </c>
      <c r="AL133" s="23">
        <v>48916464</v>
      </c>
      <c r="AM133" s="23">
        <v>45842280</v>
      </c>
      <c r="AN133" s="23">
        <v>3073560</v>
      </c>
      <c r="AO133" s="24"/>
      <c r="AP133" s="25">
        <v>35.5047</v>
      </c>
      <c r="AQ133" s="25">
        <v>41.393999999999998</v>
      </c>
      <c r="AR133" s="25">
        <v>40.503999999999998</v>
      </c>
      <c r="AS133" s="26"/>
      <c r="AT133" s="25">
        <v>28.130800000000001</v>
      </c>
      <c r="AU133" s="25">
        <v>28.130800000000001</v>
      </c>
      <c r="AV133" s="25">
        <v>28.130800000000001</v>
      </c>
      <c r="AW133" s="26"/>
      <c r="AX133" s="27">
        <v>16.847999999999999</v>
      </c>
      <c r="AY133" s="27">
        <v>16.13</v>
      </c>
      <c r="BA133" s="28">
        <f t="shared" ref="BA133:BA196" si="32">(AM133/AL133) - (Q133/P133)</f>
        <v>1.3625441102106395E-3</v>
      </c>
      <c r="BB133" s="28"/>
      <c r="BD133" s="29"/>
      <c r="BE133" s="29"/>
      <c r="BF133" s="29"/>
      <c r="BG133" s="30"/>
      <c r="BI133" s="29"/>
      <c r="BJ133" s="29"/>
      <c r="BK133" s="29"/>
      <c r="BL133" s="30"/>
      <c r="BN133" s="29"/>
      <c r="BO133" s="29"/>
      <c r="BP133" s="29"/>
      <c r="BQ133" s="30"/>
      <c r="BS133" s="29"/>
      <c r="BT133" s="29"/>
      <c r="BU133" s="29"/>
      <c r="BV133" s="30"/>
    </row>
    <row r="134" spans="1:74" outlineLevel="1" x14ac:dyDescent="0.15">
      <c r="A134" s="31"/>
      <c r="B134" s="46" t="s">
        <v>306</v>
      </c>
      <c r="C134" s="47" t="s">
        <v>229</v>
      </c>
      <c r="D134" s="46">
        <v>1602990</v>
      </c>
      <c r="E134" s="48">
        <v>20</v>
      </c>
      <c r="F134" s="47">
        <v>1</v>
      </c>
      <c r="G134" s="47"/>
      <c r="I134" s="49" t="str">
        <f t="shared" si="22"/>
        <v>·</v>
      </c>
      <c r="J134" s="50">
        <f t="shared" si="23"/>
        <v>29.527011397451012</v>
      </c>
      <c r="K134" s="50">
        <f t="shared" si="24"/>
        <v>28.597982520165441</v>
      </c>
      <c r="L134" s="50">
        <f t="shared" si="25"/>
        <v>0.92863960473864471</v>
      </c>
      <c r="M134" s="51"/>
      <c r="N134" s="50">
        <f t="shared" si="26"/>
        <v>29.527011397451012</v>
      </c>
      <c r="O134" s="52">
        <v>1602990</v>
      </c>
      <c r="P134" s="53">
        <v>47331504</v>
      </c>
      <c r="Q134" s="53">
        <v>45842280</v>
      </c>
      <c r="R134" s="53">
        <v>1488600</v>
      </c>
      <c r="S134" s="54"/>
      <c r="T134" s="55">
        <v>29.2986</v>
      </c>
      <c r="U134" s="55">
        <v>36.664700000000003</v>
      </c>
      <c r="V134" s="55">
        <v>35.634</v>
      </c>
      <c r="W134" s="56"/>
      <c r="X134" s="55">
        <v>21.686399999999999</v>
      </c>
      <c r="Y134" s="55">
        <v>21.686399999999999</v>
      </c>
      <c r="Z134" s="55">
        <v>21.686399999999999</v>
      </c>
      <c r="AA134" s="56"/>
      <c r="AB134" s="57"/>
      <c r="AC134" s="57"/>
      <c r="AE134" s="49" t="str">
        <f t="shared" si="27"/>
        <v>·</v>
      </c>
      <c r="AF134" s="50">
        <f t="shared" si="28"/>
        <v>29.487829618400614</v>
      </c>
      <c r="AG134" s="50">
        <f t="shared" si="29"/>
        <v>28.597982520165441</v>
      </c>
      <c r="AH134" s="50">
        <f t="shared" si="30"/>
        <v>0.88945782568824505</v>
      </c>
      <c r="AI134" s="51"/>
      <c r="AJ134" s="50">
        <f t="shared" si="31"/>
        <v>29.487829618400614</v>
      </c>
      <c r="AK134" s="52">
        <v>1602990</v>
      </c>
      <c r="AL134" s="53">
        <v>47268696</v>
      </c>
      <c r="AM134" s="53">
        <v>45842280</v>
      </c>
      <c r="AN134" s="53">
        <v>1425792</v>
      </c>
      <c r="AO134" s="54"/>
      <c r="AP134" s="55">
        <v>29.2986</v>
      </c>
      <c r="AQ134" s="55">
        <v>36.697499999999998</v>
      </c>
      <c r="AR134" s="55">
        <v>35.7986</v>
      </c>
      <c r="AS134" s="56"/>
      <c r="AT134" s="55">
        <v>21.686399999999999</v>
      </c>
      <c r="AU134" s="55">
        <v>21.686399999999999</v>
      </c>
      <c r="AV134" s="55">
        <v>21.686399999999999</v>
      </c>
      <c r="AW134" s="56"/>
      <c r="AX134" s="57">
        <v>15.615</v>
      </c>
      <c r="AY134" s="57">
        <v>15.116</v>
      </c>
      <c r="BA134" s="58">
        <f t="shared" si="32"/>
        <v>1.2869368821188942E-3</v>
      </c>
      <c r="BB134" s="58"/>
      <c r="BD134" s="59"/>
      <c r="BE134" s="59"/>
      <c r="BF134" s="59"/>
      <c r="BG134" s="60"/>
      <c r="BI134" s="59"/>
      <c r="BJ134" s="59"/>
      <c r="BK134" s="59"/>
      <c r="BL134" s="60"/>
      <c r="BN134" s="59"/>
      <c r="BO134" s="59"/>
      <c r="BP134" s="59"/>
      <c r="BQ134" s="60"/>
      <c r="BS134" s="59"/>
      <c r="BT134" s="59"/>
      <c r="BU134" s="59"/>
      <c r="BV134" s="60"/>
    </row>
    <row r="135" spans="1:74" x14ac:dyDescent="0.15">
      <c r="A135" s="16"/>
      <c r="B135" s="16" t="s">
        <v>309</v>
      </c>
      <c r="C135" s="17" t="s">
        <v>225</v>
      </c>
      <c r="D135" s="16">
        <v>8929532</v>
      </c>
      <c r="E135" s="18">
        <v>20</v>
      </c>
      <c r="F135" s="17">
        <v>1</v>
      </c>
      <c r="G135" s="17"/>
      <c r="I135" s="19" t="str">
        <f t="shared" si="22"/>
        <v>·</v>
      </c>
      <c r="J135" s="20">
        <f t="shared" si="23"/>
        <v>34.198053828576903</v>
      </c>
      <c r="K135" s="20">
        <f t="shared" si="24"/>
        <v>26.894269486911519</v>
      </c>
      <c r="L135" s="20">
        <f t="shared" si="25"/>
        <v>7.3036427888941997</v>
      </c>
      <c r="M135" s="21"/>
      <c r="N135" s="20">
        <f t="shared" si="26"/>
        <v>34.198053828576903</v>
      </c>
      <c r="O135" s="22">
        <v>8929532</v>
      </c>
      <c r="P135" s="23">
        <v>305372616</v>
      </c>
      <c r="Q135" s="23">
        <v>240153240</v>
      </c>
      <c r="R135" s="23">
        <v>65218112</v>
      </c>
      <c r="S135" s="24"/>
      <c r="T135" s="25">
        <v>53.146299999999997</v>
      </c>
      <c r="U135" s="25">
        <v>55.478099999999998</v>
      </c>
      <c r="V135" s="25">
        <v>55.265099999999997</v>
      </c>
      <c r="W135" s="26"/>
      <c r="X135" s="25">
        <v>48.130800000000001</v>
      </c>
      <c r="Y135" s="25">
        <v>48.130800000000001</v>
      </c>
      <c r="Z135" s="25">
        <v>48.130800000000001</v>
      </c>
      <c r="AA135" s="26"/>
      <c r="AB135" s="27"/>
      <c r="AC135" s="27"/>
      <c r="AE135" s="19" t="str">
        <f t="shared" si="27"/>
        <v>·</v>
      </c>
      <c r="AF135" s="20">
        <f t="shared" si="28"/>
        <v>34.162271438189592</v>
      </c>
      <c r="AG135" s="20">
        <f t="shared" si="29"/>
        <v>26.894269486911519</v>
      </c>
      <c r="AH135" s="20">
        <f t="shared" si="30"/>
        <v>7.2678603985068868</v>
      </c>
      <c r="AI135" s="21"/>
      <c r="AJ135" s="20">
        <f t="shared" si="31"/>
        <v>34.162271438189592</v>
      </c>
      <c r="AK135" s="22">
        <v>8929532</v>
      </c>
      <c r="AL135" s="23">
        <v>305053096</v>
      </c>
      <c r="AM135" s="23">
        <v>240153240</v>
      </c>
      <c r="AN135" s="23">
        <v>64898592</v>
      </c>
      <c r="AO135" s="24"/>
      <c r="AP135" s="25">
        <v>53.141599999999997</v>
      </c>
      <c r="AQ135" s="25">
        <v>55.480899999999998</v>
      </c>
      <c r="AR135" s="25">
        <v>55.273299999999999</v>
      </c>
      <c r="AS135" s="26"/>
      <c r="AT135" s="25">
        <v>48.130800000000001</v>
      </c>
      <c r="AU135" s="25">
        <v>48.130800000000001</v>
      </c>
      <c r="AV135" s="25">
        <v>48.130800000000001</v>
      </c>
      <c r="AW135" s="26"/>
      <c r="AX135" s="27">
        <v>87.811999999999998</v>
      </c>
      <c r="AY135" s="27">
        <v>81.337999999999994</v>
      </c>
      <c r="BA135" s="28">
        <f t="shared" si="32"/>
        <v>8.2372258026197631E-4</v>
      </c>
      <c r="BB135" s="28">
        <f t="array" ref="BB135">AVERAGE(AM135:AM139/AL135:AL139) - AVERAGE(Q135:Q139/P135:P139)</f>
        <v>9.9545689709434892E-4</v>
      </c>
      <c r="BD135" s="29">
        <f>IF( OR(ISBLANK(R135:R139),ISBLANK(AN135:AN139), ISBLANK(T135:T139),ISBLANK(AP135:AP139)), "·", bdRateExtend( R135:R139,T135:T139, AN135:AN139,AP135:AP139))</f>
        <v>-1.3583414127477877E-2</v>
      </c>
      <c r="BE135" s="29">
        <f>IF( OR(ISBLANK(R135:R139),ISBLANK(AN135:AN139), ISBLANK(U135:U139),ISBLANK(AQ135:AQ139)), "·", bdRateExtend( R135:R139,U135:U139, AN135:AN139,AQ135:AQ139))</f>
        <v>-2.1734018126934207E-2</v>
      </c>
      <c r="BF135" s="29">
        <f>IF( OR(ISBLANK(R135:R139),ISBLANK(AN135:AN139), ISBLANK(V135:V139),ISBLANK(AR135:AR139)), "·", bdRateExtend( R135:R139,V135:V139, AN135:AN139,AR135:AR139))</f>
        <v>-2.4181709853467015E-2</v>
      </c>
      <c r="BG135" s="30"/>
      <c r="BI135" s="29">
        <f>IF( OR(ISBLANK(R135:R139),ISBLANK(AN135:AN139), ISBLANK(X135:X139),ISBLANK(AT135:AT139)), "·", bdRateExtend( R135:R139,X135:X139, AN135:AN139,AT135:AT139))</f>
        <v>-1.3990647485451091E-2</v>
      </c>
      <c r="BJ135" s="29">
        <f>IF( OR(ISBLANK(R135:R139),ISBLANK(AN135:AN139), ISBLANK(Y135:Y139),ISBLANK(AU135:AU139)), "·", bdRateExtend( R135:R139,Y135:Y139, AN135:AN139,AU135:AU139))</f>
        <v>-1.3990647485451091E-2</v>
      </c>
      <c r="BK135" s="29">
        <f>IF( OR(ISBLANK(R135:R139),ISBLANK(AN135:AN139), ISBLANK(Z135:Z139),ISBLANK(AV135:AV139)), "·", bdRateExtend( R135:R139,Z135:Z139, AN135:AN139,AV135:AV139))</f>
        <v>-1.3990647485451091E-2</v>
      </c>
      <c r="BL135" s="30"/>
      <c r="BN135" s="29">
        <f>IF( OR(ISBLANK(P135:P139),ISBLANK(AL135:AL139), ISBLANK(T135:T139),ISBLANK(AP135:AP139)), "·", bdRateExtend( P135:P139,T135:T139, AL135:AL139,AP135:AP139))</f>
        <v>-1.1481642666429925E-3</v>
      </c>
      <c r="BO135" s="29">
        <f>IF( OR(ISBLANK(P135:P139),ISBLANK(AL135:AL139), ISBLANK(U135:U139),ISBLANK(AQ135:AQ139)), "·", bdRateExtend( P135:P139,U135:U139, AL135:AL139,AQ135:AQ139))</f>
        <v>-1.7196416884601717E-3</v>
      </c>
      <c r="BP135" s="29">
        <f>IF( OR(ISBLANK(P135:P139),ISBLANK(AL135:AL139), ISBLANK(V135:V139),ISBLANK(AR135:AR139)), "·", bdRateExtend( P135:P139,V135:V139, AL135:AL139,AR135:AR139))</f>
        <v>-1.9100967167801075E-3</v>
      </c>
      <c r="BQ135" s="30"/>
      <c r="BS135" s="29">
        <f>IF( OR(ISBLANK(P135:P139),ISBLANK(AL135:AL139), ISBLANK(X135:X139),ISBLANK(AT135:AT139)), "·", bdRateExtend( P135:P139,X135:X139, AL135:AL139,AT135:AT139))</f>
        <v>-1.2038483834466707E-3</v>
      </c>
      <c r="BT135" s="29">
        <f>IF( OR(ISBLANK(P135:P139),ISBLANK(AL135:AL139), ISBLANK(Y135:Y139),ISBLANK(AU135:AU139)), "·", bdRateExtend( P135:P139,Y135:Y139, AL135:AL139,AU135:AU139))</f>
        <v>-1.2038483834466707E-3</v>
      </c>
      <c r="BU135" s="29">
        <f>IF( OR(ISBLANK(P135:P139),ISBLANK(AL135:AL139), ISBLANK(Z135:Z139),ISBLANK(AV135:AV139)), "·", bdRateExtend( P135:P139,Z135:Z139, AL135:AL139,AV135:AV139))</f>
        <v>-1.2038483834466707E-3</v>
      </c>
      <c r="BV135" s="30"/>
    </row>
    <row r="136" spans="1:74" outlineLevel="1" x14ac:dyDescent="0.15">
      <c r="A136" s="31"/>
      <c r="B136" s="31" t="s">
        <v>309</v>
      </c>
      <c r="C136" s="32" t="s">
        <v>226</v>
      </c>
      <c r="D136" s="31">
        <v>8929532</v>
      </c>
      <c r="E136" s="33">
        <v>20</v>
      </c>
      <c r="F136" s="32">
        <v>1</v>
      </c>
      <c r="G136" s="32"/>
      <c r="I136" s="34" t="str">
        <f t="shared" si="22"/>
        <v>·</v>
      </c>
      <c r="J136" s="35">
        <f t="shared" si="23"/>
        <v>32.125416651175001</v>
      </c>
      <c r="K136" s="35">
        <f t="shared" si="24"/>
        <v>26.894269486911519</v>
      </c>
      <c r="L136" s="35">
        <f t="shared" si="25"/>
        <v>5.2310056114922929</v>
      </c>
      <c r="M136" s="36"/>
      <c r="N136" s="35">
        <f t="shared" si="26"/>
        <v>32.125416651175001</v>
      </c>
      <c r="O136" s="37">
        <v>8929532</v>
      </c>
      <c r="P136" s="38">
        <v>286864936</v>
      </c>
      <c r="Q136" s="38">
        <v>240153240</v>
      </c>
      <c r="R136" s="38">
        <v>46710432</v>
      </c>
      <c r="S136" s="39"/>
      <c r="T136" s="40">
        <v>48.281700000000001</v>
      </c>
      <c r="U136" s="40">
        <v>51.1312</v>
      </c>
      <c r="V136" s="40">
        <v>50.891100000000002</v>
      </c>
      <c r="W136" s="41"/>
      <c r="X136" s="40">
        <v>42.110199999999999</v>
      </c>
      <c r="Y136" s="40">
        <v>42.110199999999999</v>
      </c>
      <c r="Z136" s="40">
        <v>42.110199999999999</v>
      </c>
      <c r="AA136" s="41"/>
      <c r="AB136" s="42"/>
      <c r="AC136" s="42"/>
      <c r="AE136" s="34" t="str">
        <f t="shared" si="27"/>
        <v>·</v>
      </c>
      <c r="AF136" s="35">
        <f t="shared" si="28"/>
        <v>32.087085415002711</v>
      </c>
      <c r="AG136" s="35">
        <f t="shared" si="29"/>
        <v>26.894269486911519</v>
      </c>
      <c r="AH136" s="35">
        <f t="shared" si="30"/>
        <v>5.1926743753200055</v>
      </c>
      <c r="AI136" s="36"/>
      <c r="AJ136" s="35">
        <f t="shared" si="31"/>
        <v>32.087085415002711</v>
      </c>
      <c r="AK136" s="37">
        <v>8929532</v>
      </c>
      <c r="AL136" s="38">
        <v>286522656</v>
      </c>
      <c r="AM136" s="38">
        <v>240153240</v>
      </c>
      <c r="AN136" s="38">
        <v>46368152</v>
      </c>
      <c r="AO136" s="39"/>
      <c r="AP136" s="40">
        <v>48.280299999999997</v>
      </c>
      <c r="AQ136" s="40">
        <v>51.143500000000003</v>
      </c>
      <c r="AR136" s="40">
        <v>50.910899999999998</v>
      </c>
      <c r="AS136" s="41"/>
      <c r="AT136" s="40">
        <v>42.110199999999999</v>
      </c>
      <c r="AU136" s="40">
        <v>42.110199999999999</v>
      </c>
      <c r="AV136" s="40">
        <v>42.110199999999999</v>
      </c>
      <c r="AW136" s="41"/>
      <c r="AX136" s="42">
        <v>74.849000000000004</v>
      </c>
      <c r="AY136" s="42">
        <v>65.676000000000002</v>
      </c>
      <c r="BA136" s="43">
        <f t="shared" si="32"/>
        <v>1.0000772278391246E-3</v>
      </c>
      <c r="BB136" s="43"/>
      <c r="BD136" s="44"/>
      <c r="BE136" s="44"/>
      <c r="BF136" s="44"/>
      <c r="BG136" s="45"/>
      <c r="BI136" s="44"/>
      <c r="BJ136" s="44"/>
      <c r="BK136" s="44"/>
      <c r="BL136" s="45"/>
      <c r="BN136" s="44"/>
      <c r="BO136" s="44"/>
      <c r="BP136" s="44"/>
      <c r="BQ136" s="45"/>
      <c r="BS136" s="44"/>
      <c r="BT136" s="44"/>
      <c r="BU136" s="44"/>
      <c r="BV136" s="45"/>
    </row>
    <row r="137" spans="1:74" outlineLevel="1" x14ac:dyDescent="0.15">
      <c r="A137" s="16"/>
      <c r="B137" s="16" t="s">
        <v>309</v>
      </c>
      <c r="C137" s="17" t="s">
        <v>227</v>
      </c>
      <c r="D137" s="16">
        <v>8929532</v>
      </c>
      <c r="E137" s="18">
        <v>20</v>
      </c>
      <c r="F137" s="17">
        <v>1</v>
      </c>
      <c r="G137" s="17"/>
      <c r="I137" s="19" t="str">
        <f t="shared" si="22"/>
        <v>·</v>
      </c>
      <c r="J137" s="20">
        <f t="shared" si="23"/>
        <v>29.98352074890375</v>
      </c>
      <c r="K137" s="20">
        <f t="shared" si="24"/>
        <v>26.894269486911519</v>
      </c>
      <c r="L137" s="20">
        <f t="shared" si="25"/>
        <v>3.0891097092210433</v>
      </c>
      <c r="M137" s="21"/>
      <c r="N137" s="20">
        <f t="shared" si="26"/>
        <v>29.98352074890375</v>
      </c>
      <c r="O137" s="22">
        <v>8929532</v>
      </c>
      <c r="P137" s="23">
        <v>267738808</v>
      </c>
      <c r="Q137" s="23">
        <v>240153240</v>
      </c>
      <c r="R137" s="23">
        <v>27584304</v>
      </c>
      <c r="S137" s="24"/>
      <c r="T137" s="25">
        <v>41.038899999999998</v>
      </c>
      <c r="U137" s="25">
        <v>45.677999999999997</v>
      </c>
      <c r="V137" s="25">
        <v>45.692500000000003</v>
      </c>
      <c r="W137" s="26"/>
      <c r="X137" s="25">
        <v>34.151400000000002</v>
      </c>
      <c r="Y137" s="25">
        <v>34.151400000000002</v>
      </c>
      <c r="Z137" s="25">
        <v>34.151400000000002</v>
      </c>
      <c r="AA137" s="26"/>
      <c r="AB137" s="27"/>
      <c r="AC137" s="27"/>
      <c r="AE137" s="19" t="str">
        <f t="shared" si="27"/>
        <v>·</v>
      </c>
      <c r="AF137" s="20">
        <f t="shared" si="28"/>
        <v>29.94521370212907</v>
      </c>
      <c r="AG137" s="20">
        <f t="shared" si="29"/>
        <v>26.894269486911519</v>
      </c>
      <c r="AH137" s="20">
        <f t="shared" si="30"/>
        <v>3.0508026624463636</v>
      </c>
      <c r="AI137" s="21"/>
      <c r="AJ137" s="20">
        <f t="shared" si="31"/>
        <v>29.94521370212907</v>
      </c>
      <c r="AK137" s="22">
        <v>8929532</v>
      </c>
      <c r="AL137" s="23">
        <v>267396744</v>
      </c>
      <c r="AM137" s="23">
        <v>240153240</v>
      </c>
      <c r="AN137" s="23">
        <v>27242240</v>
      </c>
      <c r="AO137" s="24"/>
      <c r="AP137" s="25">
        <v>41.023099999999999</v>
      </c>
      <c r="AQ137" s="25">
        <v>45.731699999999996</v>
      </c>
      <c r="AR137" s="25">
        <v>45.7652</v>
      </c>
      <c r="AS137" s="26"/>
      <c r="AT137" s="25">
        <v>34.151400000000002</v>
      </c>
      <c r="AU137" s="25">
        <v>34.151400000000002</v>
      </c>
      <c r="AV137" s="25">
        <v>34.151400000000002</v>
      </c>
      <c r="AW137" s="26"/>
      <c r="AX137" s="27">
        <v>72.430999999999997</v>
      </c>
      <c r="AY137" s="27">
        <v>70.06</v>
      </c>
      <c r="BA137" s="28">
        <f t="shared" si="32"/>
        <v>1.1474357582609285E-3</v>
      </c>
      <c r="BB137" s="28"/>
      <c r="BD137" s="29"/>
      <c r="BE137" s="29"/>
      <c r="BF137" s="29"/>
      <c r="BG137" s="30"/>
      <c r="BI137" s="29"/>
      <c r="BJ137" s="29"/>
      <c r="BK137" s="29"/>
      <c r="BL137" s="30"/>
      <c r="BN137" s="29"/>
      <c r="BO137" s="29"/>
      <c r="BP137" s="29"/>
      <c r="BQ137" s="30"/>
      <c r="BS137" s="29"/>
      <c r="BT137" s="29"/>
      <c r="BU137" s="29"/>
      <c r="BV137" s="30"/>
    </row>
    <row r="138" spans="1:74" outlineLevel="1" x14ac:dyDescent="0.15">
      <c r="A138" s="31"/>
      <c r="B138" s="31" t="s">
        <v>309</v>
      </c>
      <c r="C138" s="32" t="s">
        <v>228</v>
      </c>
      <c r="D138" s="31">
        <v>8929532</v>
      </c>
      <c r="E138" s="33">
        <v>20</v>
      </c>
      <c r="F138" s="32">
        <v>1</v>
      </c>
      <c r="G138" s="32"/>
      <c r="I138" s="34" t="str">
        <f t="shared" si="22"/>
        <v>·</v>
      </c>
      <c r="J138" s="35">
        <f t="shared" si="23"/>
        <v>28.69860324146887</v>
      </c>
      <c r="K138" s="35">
        <f t="shared" si="24"/>
        <v>26.894269486911519</v>
      </c>
      <c r="L138" s="35">
        <f t="shared" si="25"/>
        <v>1.8041922017861631</v>
      </c>
      <c r="M138" s="36"/>
      <c r="N138" s="35">
        <f t="shared" si="26"/>
        <v>28.69860324146887</v>
      </c>
      <c r="O138" s="37">
        <v>8929532</v>
      </c>
      <c r="P138" s="38">
        <v>256265096</v>
      </c>
      <c r="Q138" s="38">
        <v>240153240</v>
      </c>
      <c r="R138" s="38">
        <v>16110592</v>
      </c>
      <c r="S138" s="39"/>
      <c r="T138" s="40">
        <v>35.3536</v>
      </c>
      <c r="U138" s="40">
        <v>41.277299999999997</v>
      </c>
      <c r="V138" s="40">
        <v>41.275399999999998</v>
      </c>
      <c r="W138" s="41"/>
      <c r="X138" s="40">
        <v>28.130800000000001</v>
      </c>
      <c r="Y138" s="40">
        <v>28.130800000000001</v>
      </c>
      <c r="Z138" s="40">
        <v>28.130800000000001</v>
      </c>
      <c r="AA138" s="41"/>
      <c r="AB138" s="42"/>
      <c r="AC138" s="42"/>
      <c r="AE138" s="34" t="str">
        <f t="shared" si="27"/>
        <v>·</v>
      </c>
      <c r="AF138" s="35">
        <f t="shared" si="28"/>
        <v>28.660049821200037</v>
      </c>
      <c r="AG138" s="35">
        <f t="shared" si="29"/>
        <v>26.894269486911519</v>
      </c>
      <c r="AH138" s="35">
        <f t="shared" si="30"/>
        <v>1.7656387815173293</v>
      </c>
      <c r="AI138" s="36"/>
      <c r="AJ138" s="35">
        <f t="shared" si="31"/>
        <v>28.660049821200037</v>
      </c>
      <c r="AK138" s="37">
        <v>8929532</v>
      </c>
      <c r="AL138" s="38">
        <v>255920832</v>
      </c>
      <c r="AM138" s="38">
        <v>240153240</v>
      </c>
      <c r="AN138" s="38">
        <v>15766328</v>
      </c>
      <c r="AO138" s="39"/>
      <c r="AP138" s="40">
        <v>35.352800000000002</v>
      </c>
      <c r="AQ138" s="40">
        <v>41.377800000000001</v>
      </c>
      <c r="AR138" s="40">
        <v>41.407299999999999</v>
      </c>
      <c r="AS138" s="41"/>
      <c r="AT138" s="40">
        <v>28.130800000000001</v>
      </c>
      <c r="AU138" s="40">
        <v>28.130800000000001</v>
      </c>
      <c r="AV138" s="40">
        <v>28.130800000000001</v>
      </c>
      <c r="AW138" s="41"/>
      <c r="AX138" s="42">
        <v>67.531999999999996</v>
      </c>
      <c r="AY138" s="42">
        <v>64.756</v>
      </c>
      <c r="BA138" s="43">
        <f t="shared" si="32"/>
        <v>1.2606222369315745E-3</v>
      </c>
      <c r="BB138" s="43"/>
      <c r="BD138" s="44"/>
      <c r="BE138" s="44"/>
      <c r="BF138" s="44"/>
      <c r="BG138" s="45"/>
      <c r="BI138" s="44"/>
      <c r="BJ138" s="44"/>
      <c r="BK138" s="44"/>
      <c r="BL138" s="45"/>
      <c r="BN138" s="44"/>
      <c r="BO138" s="44"/>
      <c r="BP138" s="44"/>
      <c r="BQ138" s="45"/>
      <c r="BS138" s="44"/>
      <c r="BT138" s="44"/>
      <c r="BU138" s="44"/>
      <c r="BV138" s="45"/>
    </row>
    <row r="139" spans="1:74" outlineLevel="1" x14ac:dyDescent="0.15">
      <c r="A139" s="16"/>
      <c r="B139" s="65" t="s">
        <v>309</v>
      </c>
      <c r="C139" s="67" t="s">
        <v>229</v>
      </c>
      <c r="D139" s="65">
        <v>8929532</v>
      </c>
      <c r="E139" s="66">
        <v>20</v>
      </c>
      <c r="F139" s="67">
        <v>1</v>
      </c>
      <c r="G139" s="67"/>
      <c r="I139" s="69" t="str">
        <f t="shared" si="22"/>
        <v>·</v>
      </c>
      <c r="J139" s="70">
        <f t="shared" si="23"/>
        <v>27.706570064366197</v>
      </c>
      <c r="K139" s="70">
        <f t="shared" si="24"/>
        <v>26.894269486911519</v>
      </c>
      <c r="L139" s="70">
        <f t="shared" si="25"/>
        <v>0.81215902468348844</v>
      </c>
      <c r="M139" s="75"/>
      <c r="N139" s="70">
        <f t="shared" si="26"/>
        <v>27.706570064366197</v>
      </c>
      <c r="O139" s="71">
        <v>8929532</v>
      </c>
      <c r="P139" s="72">
        <v>247406704</v>
      </c>
      <c r="Q139" s="72">
        <v>240153240</v>
      </c>
      <c r="R139" s="72">
        <v>7252200</v>
      </c>
      <c r="S139" s="76"/>
      <c r="T139" s="77">
        <v>29.224799999999998</v>
      </c>
      <c r="U139" s="77">
        <v>36.698599999999999</v>
      </c>
      <c r="V139" s="77">
        <v>36.810899999999997</v>
      </c>
      <c r="W139" s="78"/>
      <c r="X139" s="77">
        <v>21.686399999999999</v>
      </c>
      <c r="Y139" s="77">
        <v>21.686399999999999</v>
      </c>
      <c r="Z139" s="77">
        <v>21.686399999999999</v>
      </c>
      <c r="AA139" s="78"/>
      <c r="AB139" s="73"/>
      <c r="AC139" s="73"/>
      <c r="AE139" s="69" t="str">
        <f t="shared" si="27"/>
        <v>·</v>
      </c>
      <c r="AF139" s="70">
        <f t="shared" si="28"/>
        <v>27.685309375676127</v>
      </c>
      <c r="AG139" s="70">
        <f t="shared" si="29"/>
        <v>26.894269486911519</v>
      </c>
      <c r="AH139" s="70">
        <f t="shared" si="30"/>
        <v>0.79089833599342052</v>
      </c>
      <c r="AI139" s="75"/>
      <c r="AJ139" s="70">
        <f t="shared" si="31"/>
        <v>27.685309375676127</v>
      </c>
      <c r="AK139" s="71">
        <v>8929532</v>
      </c>
      <c r="AL139" s="72">
        <v>247216856</v>
      </c>
      <c r="AM139" s="72">
        <v>240153240</v>
      </c>
      <c r="AN139" s="72">
        <v>7062352</v>
      </c>
      <c r="AO139" s="76"/>
      <c r="AP139" s="77">
        <v>29.198899999999998</v>
      </c>
      <c r="AQ139" s="77">
        <v>36.809399999999997</v>
      </c>
      <c r="AR139" s="77">
        <v>36.9405</v>
      </c>
      <c r="AS139" s="78"/>
      <c r="AT139" s="77">
        <v>21.686399999999999</v>
      </c>
      <c r="AU139" s="77">
        <v>21.686399999999999</v>
      </c>
      <c r="AV139" s="77">
        <v>21.686399999999999</v>
      </c>
      <c r="AW139" s="78"/>
      <c r="AX139" s="73">
        <v>74.506</v>
      </c>
      <c r="AY139" s="73">
        <v>76.891999999999996</v>
      </c>
      <c r="BA139" s="68">
        <f t="shared" si="32"/>
        <v>7.4542668217825181E-4</v>
      </c>
      <c r="BB139" s="68"/>
      <c r="BD139" s="74"/>
      <c r="BE139" s="74"/>
      <c r="BF139" s="74"/>
      <c r="BG139" s="79"/>
      <c r="BI139" s="74"/>
      <c r="BJ139" s="74"/>
      <c r="BK139" s="74"/>
      <c r="BL139" s="79"/>
      <c r="BN139" s="74"/>
      <c r="BO139" s="74"/>
      <c r="BP139" s="74"/>
      <c r="BQ139" s="79"/>
      <c r="BS139" s="74"/>
      <c r="BT139" s="74"/>
      <c r="BU139" s="74"/>
      <c r="BV139" s="79"/>
    </row>
    <row r="140" spans="1:74" x14ac:dyDescent="0.15">
      <c r="A140" s="31"/>
      <c r="B140" s="31" t="s">
        <v>312</v>
      </c>
      <c r="C140" s="32" t="s">
        <v>225</v>
      </c>
      <c r="D140" s="31">
        <v>19702134</v>
      </c>
      <c r="E140" s="33">
        <v>14</v>
      </c>
      <c r="F140" s="32">
        <v>1</v>
      </c>
      <c r="G140" s="32"/>
      <c r="I140" s="34" t="str">
        <f t="shared" si="22"/>
        <v>·</v>
      </c>
      <c r="J140" s="35">
        <f t="shared" si="23"/>
        <v>12.098722706890532</v>
      </c>
      <c r="K140" s="35">
        <f t="shared" si="24"/>
        <v>5.9567277331480941</v>
      </c>
      <c r="L140" s="35">
        <f t="shared" si="25"/>
        <v>6.1418747837163226</v>
      </c>
      <c r="M140" s="36"/>
      <c r="N140" s="35">
        <f t="shared" si="26"/>
        <v>12.098722706890532</v>
      </c>
      <c r="O140" s="37">
        <v>19702134</v>
      </c>
      <c r="P140" s="38">
        <v>238370656</v>
      </c>
      <c r="Q140" s="38">
        <v>117360248</v>
      </c>
      <c r="R140" s="38">
        <v>121008040</v>
      </c>
      <c r="S140" s="39"/>
      <c r="T140" s="40">
        <v>53.107700000000001</v>
      </c>
      <c r="U140" s="40">
        <v>56.144199999999998</v>
      </c>
      <c r="V140" s="40">
        <v>55.138599999999997</v>
      </c>
      <c r="W140" s="41"/>
      <c r="X140" s="40">
        <v>48.130800000000001</v>
      </c>
      <c r="Y140" s="40">
        <v>48.130800000000001</v>
      </c>
      <c r="Z140" s="40">
        <v>48.130800000000001</v>
      </c>
      <c r="AA140" s="41"/>
      <c r="AB140" s="42"/>
      <c r="AC140" s="42"/>
      <c r="AE140" s="34" t="str">
        <f t="shared" si="27"/>
        <v>·</v>
      </c>
      <c r="AF140" s="35">
        <f t="shared" si="28"/>
        <v>12.067151710571048</v>
      </c>
      <c r="AG140" s="35">
        <f t="shared" si="29"/>
        <v>5.9567277331480941</v>
      </c>
      <c r="AH140" s="35">
        <f t="shared" si="30"/>
        <v>6.1103037873968375</v>
      </c>
      <c r="AI140" s="36"/>
      <c r="AJ140" s="35">
        <f t="shared" si="31"/>
        <v>12.067151710571048</v>
      </c>
      <c r="AK140" s="37">
        <v>19702134</v>
      </c>
      <c r="AL140" s="38">
        <v>237748640</v>
      </c>
      <c r="AM140" s="38">
        <v>117360248</v>
      </c>
      <c r="AN140" s="38">
        <v>120386024</v>
      </c>
      <c r="AO140" s="39"/>
      <c r="AP140" s="40">
        <v>53.107399999999998</v>
      </c>
      <c r="AQ140" s="40">
        <v>56.152099999999997</v>
      </c>
      <c r="AR140" s="40">
        <v>55.138800000000003</v>
      </c>
      <c r="AS140" s="41"/>
      <c r="AT140" s="40">
        <v>48.130800000000001</v>
      </c>
      <c r="AU140" s="40">
        <v>48.130800000000001</v>
      </c>
      <c r="AV140" s="40">
        <v>48.130800000000001</v>
      </c>
      <c r="AW140" s="41"/>
      <c r="AX140" s="42">
        <v>88.763999999999996</v>
      </c>
      <c r="AY140" s="42">
        <v>84.894999999999996</v>
      </c>
      <c r="BA140" s="43">
        <f t="shared" si="32"/>
        <v>1.2881064108483664E-3</v>
      </c>
      <c r="BB140" s="43">
        <f t="array" ref="BB140">AVERAGE(AM140:AM144/AL140:AL144) - AVERAGE(Q140:Q144/P140:P144)</f>
        <v>2.182718229766234E-3</v>
      </c>
      <c r="BD140" s="44">
        <f>IF( OR(ISBLANK(R140:R144),ISBLANK(AN140:AN144), ISBLANK(T140:T144),ISBLANK(AP140:AP144)), "·", bdRateExtend( R140:R144,T140:T144, AN140:AN144,AP140:AP144))</f>
        <v>-1.6485076175003388E-2</v>
      </c>
      <c r="BE140" s="44">
        <f>IF( OR(ISBLANK(R140:R144),ISBLANK(AN140:AN144), ISBLANK(U140:U144),ISBLANK(AQ140:AQ144)), "·", bdRateExtend( R140:R144,U140:U144, AN140:AN144,AQ140:AQ144))</f>
        <v>-3.1410788214762841E-2</v>
      </c>
      <c r="BF140" s="44">
        <f>IF( OR(ISBLANK(R140:R144),ISBLANK(AN140:AN144), ISBLANK(V140:V144),ISBLANK(AR140:AR144)), "·", bdRateExtend( R140:R144,V140:V144, AN140:AN144,AR140:AR144))</f>
        <v>-3.098509952536288E-2</v>
      </c>
      <c r="BG140" s="45"/>
      <c r="BI140" s="44">
        <f>IF( OR(ISBLANK(R140:R144),ISBLANK(AN140:AN144), ISBLANK(X140:X144),ISBLANK(AT140:AT144)), "·", bdRateExtend( R140:R144,X140:X144, AN140:AN144,AT140:AT144))</f>
        <v>-1.6349877428380566E-2</v>
      </c>
      <c r="BJ140" s="44">
        <f>IF( OR(ISBLANK(R140:R144),ISBLANK(AN140:AN144), ISBLANK(Y140:Y144),ISBLANK(AU140:AU144)), "·", bdRateExtend( R140:R144,Y140:Y144, AN140:AN144,AU140:AU144))</f>
        <v>-1.6349877428380566E-2</v>
      </c>
      <c r="BK140" s="44">
        <f>IF( OR(ISBLANK(R140:R144),ISBLANK(AN140:AN144), ISBLANK(Z140:Z144),ISBLANK(AV140:AV144)), "·", bdRateExtend( R140:R144,Z140:Z144, AN140:AN144,AV140:AV144))</f>
        <v>-1.6349877428380566E-2</v>
      </c>
      <c r="BL140" s="45"/>
      <c r="BN140" s="44">
        <f>IF( OR(ISBLANK(P140:P144),ISBLANK(AL140:AL144), ISBLANK(T140:T144),ISBLANK(AP140:AP144)), "·", bdRateExtend( P140:P144,T140:T144, AL140:AL144,AP140:AP144))</f>
        <v>-3.3194545481471938E-3</v>
      </c>
      <c r="BO140" s="44">
        <f>IF( OR(ISBLANK(P140:P144),ISBLANK(AL140:AL144), ISBLANK(U140:U144),ISBLANK(AQ140:AQ144)), "·", bdRateExtend( P140:P144,U140:U144, AL140:AL144,AQ140:AQ144))</f>
        <v>-5.5574880632276447E-3</v>
      </c>
      <c r="BP140" s="44">
        <f>IF( OR(ISBLANK(P140:P144),ISBLANK(AL140:AL144), ISBLANK(V140:V144),ISBLANK(AR140:AR144)), "·", bdRateExtend( P140:P144,V140:V144, AL140:AL144,AR140:AR144))</f>
        <v>-5.6367324698765042E-3</v>
      </c>
      <c r="BQ140" s="45"/>
      <c r="BS140" s="44">
        <f>IF( OR(ISBLANK(P140:P144),ISBLANK(AL140:AL144), ISBLANK(X140:X144),ISBLANK(AT140:AT144)), "·", bdRateExtend( P140:P144,X140:X144, AL140:AL144,AT140:AT144))</f>
        <v>-3.387583459303678E-3</v>
      </c>
      <c r="BT140" s="44">
        <f>IF( OR(ISBLANK(P140:P144),ISBLANK(AL140:AL144), ISBLANK(Y140:Y144),ISBLANK(AU140:AU144)), "·", bdRateExtend( P140:P144,Y140:Y144, AL140:AL144,AU140:AU144))</f>
        <v>-3.387583459303678E-3</v>
      </c>
      <c r="BU140" s="44">
        <f>IF( OR(ISBLANK(P140:P144),ISBLANK(AL140:AL144), ISBLANK(Z140:Z144),ISBLANK(AV140:AV144)), "·", bdRateExtend( P140:P144,Z140:Z144, AL140:AL144,AV140:AV144))</f>
        <v>-3.387583459303678E-3</v>
      </c>
      <c r="BV140" s="45"/>
    </row>
    <row r="141" spans="1:74" outlineLevel="1" x14ac:dyDescent="0.15">
      <c r="A141" s="16"/>
      <c r="B141" s="16" t="s">
        <v>312</v>
      </c>
      <c r="C141" s="17" t="s">
        <v>226</v>
      </c>
      <c r="D141" s="16">
        <v>19702134</v>
      </c>
      <c r="E141" s="18">
        <v>14</v>
      </c>
      <c r="F141" s="17">
        <v>1</v>
      </c>
      <c r="G141" s="17"/>
      <c r="I141" s="19" t="str">
        <f t="shared" si="22"/>
        <v>·</v>
      </c>
      <c r="J141" s="20">
        <f t="shared" si="23"/>
        <v>10.248664434015117</v>
      </c>
      <c r="K141" s="20">
        <f t="shared" si="24"/>
        <v>5.9567277331480941</v>
      </c>
      <c r="L141" s="20">
        <f t="shared" si="25"/>
        <v>4.2918165108409072</v>
      </c>
      <c r="M141" s="21"/>
      <c r="N141" s="20">
        <f t="shared" si="26"/>
        <v>10.248664434015117</v>
      </c>
      <c r="O141" s="22">
        <v>19702134</v>
      </c>
      <c r="P141" s="23">
        <v>201920560</v>
      </c>
      <c r="Q141" s="23">
        <v>117360248</v>
      </c>
      <c r="R141" s="23">
        <v>84557944</v>
      </c>
      <c r="S141" s="24"/>
      <c r="T141" s="25">
        <v>48.053699999999999</v>
      </c>
      <c r="U141" s="25">
        <v>51.211799999999997</v>
      </c>
      <c r="V141" s="25">
        <v>51.187899999999999</v>
      </c>
      <c r="W141" s="26"/>
      <c r="X141" s="25">
        <v>42.110199999999999</v>
      </c>
      <c r="Y141" s="25">
        <v>42.110199999999999</v>
      </c>
      <c r="Z141" s="25">
        <v>42.110199999999999</v>
      </c>
      <c r="AA141" s="26"/>
      <c r="AB141" s="27"/>
      <c r="AC141" s="27"/>
      <c r="AE141" s="19" t="str">
        <f t="shared" si="27"/>
        <v>·</v>
      </c>
      <c r="AF141" s="20">
        <f t="shared" si="28"/>
        <v>10.215342155321855</v>
      </c>
      <c r="AG141" s="20">
        <f t="shared" si="29"/>
        <v>5.9567277331480941</v>
      </c>
      <c r="AH141" s="20">
        <f t="shared" si="30"/>
        <v>4.2584942321476449</v>
      </c>
      <c r="AI141" s="21"/>
      <c r="AJ141" s="20">
        <f t="shared" si="31"/>
        <v>10.215342155321855</v>
      </c>
      <c r="AK141" s="22">
        <v>19702134</v>
      </c>
      <c r="AL141" s="23">
        <v>201264040</v>
      </c>
      <c r="AM141" s="23">
        <v>117360248</v>
      </c>
      <c r="AN141" s="23">
        <v>83901424</v>
      </c>
      <c r="AO141" s="24"/>
      <c r="AP141" s="25">
        <v>48.044499999999999</v>
      </c>
      <c r="AQ141" s="25">
        <v>51.2273</v>
      </c>
      <c r="AR141" s="25">
        <v>51.215699999999998</v>
      </c>
      <c r="AS141" s="26"/>
      <c r="AT141" s="25">
        <v>42.110199999999999</v>
      </c>
      <c r="AU141" s="25">
        <v>42.110199999999999</v>
      </c>
      <c r="AV141" s="25">
        <v>42.110199999999999</v>
      </c>
      <c r="AW141" s="26"/>
      <c r="AX141" s="27">
        <v>78.671000000000006</v>
      </c>
      <c r="AY141" s="27">
        <v>77.593999999999994</v>
      </c>
      <c r="BA141" s="28">
        <f t="shared" si="32"/>
        <v>1.8959297932814589E-3</v>
      </c>
      <c r="BB141" s="28"/>
      <c r="BD141" s="29"/>
      <c r="BE141" s="29"/>
      <c r="BF141" s="29"/>
      <c r="BG141" s="30"/>
      <c r="BI141" s="29"/>
      <c r="BJ141" s="29"/>
      <c r="BK141" s="29"/>
      <c r="BL141" s="30"/>
      <c r="BN141" s="29"/>
      <c r="BO141" s="29"/>
      <c r="BP141" s="29"/>
      <c r="BQ141" s="30"/>
      <c r="BS141" s="29"/>
      <c r="BT141" s="29"/>
      <c r="BU141" s="29"/>
      <c r="BV141" s="30"/>
    </row>
    <row r="142" spans="1:74" outlineLevel="1" x14ac:dyDescent="0.15">
      <c r="A142" s="31"/>
      <c r="B142" s="31" t="s">
        <v>312</v>
      </c>
      <c r="C142" s="32" t="s">
        <v>227</v>
      </c>
      <c r="D142" s="31">
        <v>19702134</v>
      </c>
      <c r="E142" s="33">
        <v>14</v>
      </c>
      <c r="F142" s="32">
        <v>1</v>
      </c>
      <c r="G142" s="32"/>
      <c r="I142" s="34" t="str">
        <f t="shared" si="22"/>
        <v>·</v>
      </c>
      <c r="J142" s="35">
        <f t="shared" si="23"/>
        <v>8.203345282292771</v>
      </c>
      <c r="K142" s="35">
        <f t="shared" si="24"/>
        <v>5.9567277331480941</v>
      </c>
      <c r="L142" s="35">
        <f t="shared" si="25"/>
        <v>2.2464973591185604</v>
      </c>
      <c r="M142" s="36"/>
      <c r="N142" s="35">
        <f t="shared" si="26"/>
        <v>8.203345282292771</v>
      </c>
      <c r="O142" s="37">
        <v>19702134</v>
      </c>
      <c r="P142" s="38">
        <v>161623408</v>
      </c>
      <c r="Q142" s="38">
        <v>117360248</v>
      </c>
      <c r="R142" s="38">
        <v>44260792</v>
      </c>
      <c r="S142" s="39"/>
      <c r="T142" s="40">
        <v>40.819600000000001</v>
      </c>
      <c r="U142" s="40">
        <v>46.092799999999997</v>
      </c>
      <c r="V142" s="40">
        <v>46.710299999999997</v>
      </c>
      <c r="W142" s="41"/>
      <c r="X142" s="40">
        <v>34.151400000000002</v>
      </c>
      <c r="Y142" s="40">
        <v>34.151400000000002</v>
      </c>
      <c r="Z142" s="40">
        <v>34.151400000000002</v>
      </c>
      <c r="AA142" s="41"/>
      <c r="AB142" s="42"/>
      <c r="AC142" s="42"/>
      <c r="AE142" s="34" t="str">
        <f t="shared" si="27"/>
        <v>·</v>
      </c>
      <c r="AF142" s="35">
        <f t="shared" si="28"/>
        <v>8.1700380273527724</v>
      </c>
      <c r="AG142" s="35">
        <f t="shared" si="29"/>
        <v>5.9567277331480941</v>
      </c>
      <c r="AH142" s="35">
        <f t="shared" si="30"/>
        <v>2.2131901041785627</v>
      </c>
      <c r="AI142" s="36"/>
      <c r="AJ142" s="35">
        <f t="shared" si="31"/>
        <v>8.1700380273527724</v>
      </c>
      <c r="AK142" s="37">
        <v>19702134</v>
      </c>
      <c r="AL142" s="38">
        <v>160967184</v>
      </c>
      <c r="AM142" s="38">
        <v>117360248</v>
      </c>
      <c r="AN142" s="38">
        <v>43604568</v>
      </c>
      <c r="AO142" s="39"/>
      <c r="AP142" s="40">
        <v>40.812899999999999</v>
      </c>
      <c r="AQ142" s="40">
        <v>46.152700000000003</v>
      </c>
      <c r="AR142" s="40">
        <v>46.776699999999998</v>
      </c>
      <c r="AS142" s="41"/>
      <c r="AT142" s="40">
        <v>34.151400000000002</v>
      </c>
      <c r="AU142" s="40">
        <v>34.151400000000002</v>
      </c>
      <c r="AV142" s="40">
        <v>34.151400000000002</v>
      </c>
      <c r="AW142" s="41"/>
      <c r="AX142" s="42">
        <v>76.97</v>
      </c>
      <c r="AY142" s="42">
        <v>69.201999999999998</v>
      </c>
      <c r="BA142" s="43">
        <f t="shared" si="32"/>
        <v>2.9602713483007914E-3</v>
      </c>
      <c r="BB142" s="43"/>
      <c r="BD142" s="44"/>
      <c r="BE142" s="44"/>
      <c r="BF142" s="44"/>
      <c r="BG142" s="45"/>
      <c r="BI142" s="44"/>
      <c r="BJ142" s="44"/>
      <c r="BK142" s="44"/>
      <c r="BL142" s="45"/>
      <c r="BN142" s="44"/>
      <c r="BO142" s="44"/>
      <c r="BP142" s="44"/>
      <c r="BQ142" s="45"/>
      <c r="BS142" s="44"/>
      <c r="BT142" s="44"/>
      <c r="BU142" s="44"/>
      <c r="BV142" s="45"/>
    </row>
    <row r="143" spans="1:74" outlineLevel="1" x14ac:dyDescent="0.15">
      <c r="A143" s="16"/>
      <c r="B143" s="16" t="s">
        <v>312</v>
      </c>
      <c r="C143" s="17" t="s">
        <v>228</v>
      </c>
      <c r="D143" s="16">
        <v>19702134</v>
      </c>
      <c r="E143" s="18">
        <v>14</v>
      </c>
      <c r="F143" s="17">
        <v>1</v>
      </c>
      <c r="G143" s="17"/>
      <c r="I143" s="19" t="str">
        <f t="shared" si="22"/>
        <v>·</v>
      </c>
      <c r="J143" s="20">
        <f t="shared" si="23"/>
        <v>7.0268002440750834</v>
      </c>
      <c r="K143" s="20">
        <f t="shared" si="24"/>
        <v>5.9567277331480941</v>
      </c>
      <c r="L143" s="20">
        <f t="shared" si="25"/>
        <v>1.069952320900873</v>
      </c>
      <c r="M143" s="21"/>
      <c r="N143" s="20">
        <f t="shared" si="26"/>
        <v>7.0268002440750834</v>
      </c>
      <c r="O143" s="22">
        <v>19702134</v>
      </c>
      <c r="P143" s="23">
        <v>138442960</v>
      </c>
      <c r="Q143" s="23">
        <v>117360248</v>
      </c>
      <c r="R143" s="23">
        <v>21080344</v>
      </c>
      <c r="S143" s="24"/>
      <c r="T143" s="25">
        <v>35.463999999999999</v>
      </c>
      <c r="U143" s="25">
        <v>41.847999999999999</v>
      </c>
      <c r="V143" s="25">
        <v>43.006300000000003</v>
      </c>
      <c r="W143" s="26"/>
      <c r="X143" s="25">
        <v>28.130800000000001</v>
      </c>
      <c r="Y143" s="25">
        <v>28.130800000000001</v>
      </c>
      <c r="Z143" s="25">
        <v>28.130800000000001</v>
      </c>
      <c r="AA143" s="26"/>
      <c r="AB143" s="27"/>
      <c r="AC143" s="27"/>
      <c r="AE143" s="19" t="str">
        <f t="shared" si="27"/>
        <v>·</v>
      </c>
      <c r="AF143" s="20">
        <f t="shared" si="28"/>
        <v>7.0006382049782019</v>
      </c>
      <c r="AG143" s="20">
        <f t="shared" si="29"/>
        <v>5.9567277331480941</v>
      </c>
      <c r="AH143" s="20">
        <f t="shared" si="30"/>
        <v>1.0437902818039915</v>
      </c>
      <c r="AI143" s="21"/>
      <c r="AJ143" s="20">
        <f t="shared" si="31"/>
        <v>7.0006382049782019</v>
      </c>
      <c r="AK143" s="22">
        <v>19702134</v>
      </c>
      <c r="AL143" s="23">
        <v>137927512</v>
      </c>
      <c r="AM143" s="23">
        <v>117360248</v>
      </c>
      <c r="AN143" s="23">
        <v>20564896</v>
      </c>
      <c r="AO143" s="24"/>
      <c r="AP143" s="25">
        <v>35.469700000000003</v>
      </c>
      <c r="AQ143" s="25">
        <v>41.962800000000001</v>
      </c>
      <c r="AR143" s="25">
        <v>43.109000000000002</v>
      </c>
      <c r="AS143" s="26"/>
      <c r="AT143" s="25">
        <v>28.130800000000001</v>
      </c>
      <c r="AU143" s="25">
        <v>28.130800000000001</v>
      </c>
      <c r="AV143" s="25">
        <v>28.130800000000001</v>
      </c>
      <c r="AW143" s="26"/>
      <c r="AX143" s="27">
        <v>86.658000000000001</v>
      </c>
      <c r="AY143" s="27">
        <v>72.695999999999998</v>
      </c>
      <c r="BA143" s="28">
        <f t="shared" si="32"/>
        <v>3.1679921656558863E-3</v>
      </c>
      <c r="BB143" s="28"/>
      <c r="BD143" s="29"/>
      <c r="BE143" s="29"/>
      <c r="BF143" s="29"/>
      <c r="BG143" s="30"/>
      <c r="BI143" s="29"/>
      <c r="BJ143" s="29"/>
      <c r="BK143" s="29"/>
      <c r="BL143" s="30"/>
      <c r="BN143" s="29"/>
      <c r="BO143" s="29"/>
      <c r="BP143" s="29"/>
      <c r="BQ143" s="30"/>
      <c r="BS143" s="29"/>
      <c r="BT143" s="29"/>
      <c r="BU143" s="29"/>
      <c r="BV143" s="30"/>
    </row>
    <row r="144" spans="1:74" outlineLevel="1" x14ac:dyDescent="0.15">
      <c r="A144" s="31"/>
      <c r="B144" s="46" t="s">
        <v>312</v>
      </c>
      <c r="C144" s="47" t="s">
        <v>229</v>
      </c>
      <c r="D144" s="46">
        <v>19702134</v>
      </c>
      <c r="E144" s="48">
        <v>14</v>
      </c>
      <c r="F144" s="47">
        <v>1</v>
      </c>
      <c r="G144" s="47"/>
      <c r="I144" s="49" t="str">
        <f t="shared" si="22"/>
        <v>·</v>
      </c>
      <c r="J144" s="50">
        <f t="shared" si="23"/>
        <v>6.2639569906488299</v>
      </c>
      <c r="K144" s="50">
        <f t="shared" si="24"/>
        <v>5.9567277331480941</v>
      </c>
      <c r="L144" s="50">
        <f t="shared" si="25"/>
        <v>0.30710906747461975</v>
      </c>
      <c r="M144" s="51"/>
      <c r="N144" s="50">
        <f t="shared" si="26"/>
        <v>6.2639569906488299</v>
      </c>
      <c r="O144" s="52">
        <v>19702134</v>
      </c>
      <c r="P144" s="53">
        <v>123413320</v>
      </c>
      <c r="Q144" s="53">
        <v>117360248</v>
      </c>
      <c r="R144" s="53">
        <v>6050704</v>
      </c>
      <c r="S144" s="54"/>
      <c r="T144" s="55">
        <v>29.978899999999999</v>
      </c>
      <c r="U144" s="55">
        <v>37.7089</v>
      </c>
      <c r="V144" s="55">
        <v>38.258800000000001</v>
      </c>
      <c r="W144" s="56"/>
      <c r="X144" s="55">
        <v>21.686399999999999</v>
      </c>
      <c r="Y144" s="55">
        <v>21.686399999999999</v>
      </c>
      <c r="Z144" s="55">
        <v>21.686399999999999</v>
      </c>
      <c r="AA144" s="56"/>
      <c r="AB144" s="57"/>
      <c r="AC144" s="57"/>
      <c r="AE144" s="49" t="str">
        <f t="shared" si="27"/>
        <v>·</v>
      </c>
      <c r="AF144" s="50">
        <f t="shared" si="28"/>
        <v>6.2534269637999618</v>
      </c>
      <c r="AG144" s="50">
        <f t="shared" si="29"/>
        <v>5.9567277331480941</v>
      </c>
      <c r="AH144" s="50">
        <f t="shared" si="30"/>
        <v>0.29657904062575152</v>
      </c>
      <c r="AI144" s="51"/>
      <c r="AJ144" s="50">
        <f t="shared" si="31"/>
        <v>6.2534269637999618</v>
      </c>
      <c r="AK144" s="52">
        <v>19702134</v>
      </c>
      <c r="AL144" s="53">
        <v>123205856</v>
      </c>
      <c r="AM144" s="53">
        <v>117360248</v>
      </c>
      <c r="AN144" s="53">
        <v>5843240</v>
      </c>
      <c r="AO144" s="54"/>
      <c r="AP144" s="55">
        <v>29.992699999999999</v>
      </c>
      <c r="AQ144" s="55">
        <v>37.929499999999997</v>
      </c>
      <c r="AR144" s="55">
        <v>38.378300000000003</v>
      </c>
      <c r="AS144" s="56"/>
      <c r="AT144" s="55">
        <v>21.686399999999999</v>
      </c>
      <c r="AU144" s="55">
        <v>21.686399999999999</v>
      </c>
      <c r="AV144" s="55">
        <v>21.686399999999999</v>
      </c>
      <c r="AW144" s="56"/>
      <c r="AX144" s="57">
        <v>81.760000000000005</v>
      </c>
      <c r="AY144" s="57">
        <v>72.244</v>
      </c>
      <c r="BA144" s="58">
        <f t="shared" si="32"/>
        <v>1.6012914307441672E-3</v>
      </c>
      <c r="BB144" s="58"/>
      <c r="BD144" s="59"/>
      <c r="BE144" s="59"/>
      <c r="BF144" s="59"/>
      <c r="BG144" s="60"/>
      <c r="BI144" s="59"/>
      <c r="BJ144" s="59"/>
      <c r="BK144" s="59"/>
      <c r="BL144" s="60"/>
      <c r="BN144" s="59"/>
      <c r="BO144" s="59"/>
      <c r="BP144" s="59"/>
      <c r="BQ144" s="60"/>
      <c r="BS144" s="59"/>
      <c r="BT144" s="59"/>
      <c r="BU144" s="59"/>
      <c r="BV144" s="60"/>
    </row>
    <row r="145" spans="1:74" x14ac:dyDescent="0.15">
      <c r="A145" s="16"/>
      <c r="B145" s="16" t="s">
        <v>315</v>
      </c>
      <c r="C145" s="17" t="s">
        <v>225</v>
      </c>
      <c r="D145" s="16">
        <v>19714629</v>
      </c>
      <c r="E145" s="18">
        <v>20</v>
      </c>
      <c r="F145" s="17">
        <v>1</v>
      </c>
      <c r="G145" s="17"/>
      <c r="I145" s="19" t="str">
        <f t="shared" si="22"/>
        <v>·</v>
      </c>
      <c r="J145" s="20">
        <f t="shared" si="23"/>
        <v>28.499756602064387</v>
      </c>
      <c r="K145" s="20">
        <f t="shared" si="24"/>
        <v>22.383093894386754</v>
      </c>
      <c r="L145" s="20">
        <f t="shared" si="25"/>
        <v>6.116541782247082</v>
      </c>
      <c r="M145" s="21"/>
      <c r="N145" s="20">
        <f t="shared" si="26"/>
        <v>28.499756602064387</v>
      </c>
      <c r="O145" s="22">
        <v>19714629</v>
      </c>
      <c r="P145" s="23">
        <v>561862128</v>
      </c>
      <c r="Q145" s="23">
        <v>441274392</v>
      </c>
      <c r="R145" s="23">
        <v>120585352</v>
      </c>
      <c r="S145" s="24"/>
      <c r="T145" s="25">
        <v>53.104199999999999</v>
      </c>
      <c r="U145" s="25">
        <v>56.146099999999997</v>
      </c>
      <c r="V145" s="25">
        <v>55.145400000000002</v>
      </c>
      <c r="W145" s="26"/>
      <c r="X145" s="25">
        <v>48.130800000000001</v>
      </c>
      <c r="Y145" s="25">
        <v>48.130800000000001</v>
      </c>
      <c r="Z145" s="25">
        <v>48.130800000000001</v>
      </c>
      <c r="AA145" s="26"/>
      <c r="AB145" s="27"/>
      <c r="AC145" s="27"/>
      <c r="AE145" s="19" t="str">
        <f t="shared" si="27"/>
        <v>·</v>
      </c>
      <c r="AF145" s="20">
        <f t="shared" si="28"/>
        <v>28.481157621581417</v>
      </c>
      <c r="AG145" s="20">
        <f t="shared" si="29"/>
        <v>22.383093894386754</v>
      </c>
      <c r="AH145" s="20">
        <f t="shared" si="30"/>
        <v>6.0979428017641117</v>
      </c>
      <c r="AI145" s="21"/>
      <c r="AJ145" s="20">
        <f t="shared" si="31"/>
        <v>28.481157621581417</v>
      </c>
      <c r="AK145" s="22">
        <v>19714629</v>
      </c>
      <c r="AL145" s="23">
        <v>561495456</v>
      </c>
      <c r="AM145" s="23">
        <v>441274392</v>
      </c>
      <c r="AN145" s="23">
        <v>120218680</v>
      </c>
      <c r="AO145" s="24"/>
      <c r="AP145" s="25">
        <v>53.104999999999997</v>
      </c>
      <c r="AQ145" s="25">
        <v>56.152500000000003</v>
      </c>
      <c r="AR145" s="25">
        <v>55.143300000000004</v>
      </c>
      <c r="AS145" s="26"/>
      <c r="AT145" s="25">
        <v>48.130800000000001</v>
      </c>
      <c r="AU145" s="25">
        <v>48.130800000000001</v>
      </c>
      <c r="AV145" s="25">
        <v>48.130800000000001</v>
      </c>
      <c r="AW145" s="26"/>
      <c r="AX145" s="27">
        <v>124.8</v>
      </c>
      <c r="AY145" s="27">
        <v>137.577</v>
      </c>
      <c r="BA145" s="28">
        <f t="shared" si="32"/>
        <v>5.1287374460484703E-4</v>
      </c>
      <c r="BB145" s="28">
        <f t="array" ref="BB145">AVERAGE(AM145:AM149/AL145:AL149) - AVERAGE(Q145:Q149/P145:P149)</f>
        <v>6.6414042595497325E-4</v>
      </c>
      <c r="BD145" s="29">
        <f>IF( OR(ISBLANK(R145:R149),ISBLANK(AN145:AN149), ISBLANK(T145:T149),ISBLANK(AP145:AP149)), "·", bdRateExtend( R145:R149,T145:T149, AN145:AN149,AP145:AP149))</f>
        <v>-1.3533023736297167E-2</v>
      </c>
      <c r="BE145" s="29">
        <f>IF( OR(ISBLANK(R145:R149),ISBLANK(AN145:AN149), ISBLANK(U145:U149),ISBLANK(AQ145:AQ149)), "·", bdRateExtend( R145:R149,U145:U149, AN145:AN149,AQ145:AQ149))</f>
        <v>-2.2128945898978514E-2</v>
      </c>
      <c r="BF145" s="29">
        <f>IF( OR(ISBLANK(R145:R149),ISBLANK(AN145:AN149), ISBLANK(V145:V149),ISBLANK(AR145:AR149)), "·", bdRateExtend( R145:R149,V145:V149, AN145:AN149,AR145:AR149))</f>
        <v>-2.5185535820561378E-2</v>
      </c>
      <c r="BG145" s="30"/>
      <c r="BI145" s="29">
        <f>IF( OR(ISBLANK(R145:R149),ISBLANK(AN145:AN149), ISBLANK(X145:X149),ISBLANK(AT145:AT149)), "·", bdRateExtend( R145:R149,X145:X149, AN145:AN149,AT145:AT149))</f>
        <v>-1.2731574584004313E-2</v>
      </c>
      <c r="BJ145" s="29">
        <f>IF( OR(ISBLANK(R145:R149),ISBLANK(AN145:AN149), ISBLANK(Y145:Y149),ISBLANK(AU145:AU149)), "·", bdRateExtend( R145:R149,Y145:Y149, AN145:AN149,AU145:AU149))</f>
        <v>-1.2731574584004313E-2</v>
      </c>
      <c r="BK145" s="29">
        <f>IF( OR(ISBLANK(R145:R149),ISBLANK(AN145:AN149), ISBLANK(Z145:Z149),ISBLANK(AV145:AV149)), "·", bdRateExtend( R145:R149,Z145:Z149, AN145:AN149,AV145:AV149))</f>
        <v>-1.2731574584004313E-2</v>
      </c>
      <c r="BL145" s="30"/>
      <c r="BN145" s="29">
        <f>IF( OR(ISBLANK(P145:P149),ISBLANK(AL145:AL149), ISBLANK(T145:T149),ISBLANK(AP145:AP149)), "·", bdRateExtend( P145:P149,T145:T149, AL145:AL149,AP145:AP149))</f>
        <v>-8.2847627437376836E-4</v>
      </c>
      <c r="BO145" s="29">
        <f>IF( OR(ISBLANK(P145:P149),ISBLANK(AL145:AL149), ISBLANK(U145:U149),ISBLANK(AQ145:AQ149)), "·", bdRateExtend( P145:P149,U145:U149, AL145:AL149,AQ145:AQ149))</f>
        <v>-1.2556867814191852E-3</v>
      </c>
      <c r="BP145" s="29">
        <f>IF( OR(ISBLANK(P145:P149),ISBLANK(AL145:AL149), ISBLANK(V145:V149),ISBLANK(AR145:AR149)), "·", bdRateExtend( P145:P149,V145:V149, AL145:AL149,AR145:AR149))</f>
        <v>-1.4415564433564176E-3</v>
      </c>
      <c r="BQ145" s="30"/>
      <c r="BS145" s="29">
        <f>IF( OR(ISBLANK(P145:P149),ISBLANK(AL145:AL149), ISBLANK(X145:X149),ISBLANK(AT145:AT149)), "·", bdRateExtend( P145:P149,X145:X149, AL145:AL149,AT145:AT149))</f>
        <v>-8.2137258789372058E-4</v>
      </c>
      <c r="BT145" s="29">
        <f>IF( OR(ISBLANK(P145:P149),ISBLANK(AL145:AL149), ISBLANK(Y145:Y149),ISBLANK(AU145:AU149)), "·", bdRateExtend( P145:P149,Y145:Y149, AL145:AL149,AU145:AU149))</f>
        <v>-8.2137258789372058E-4</v>
      </c>
      <c r="BU145" s="29">
        <f>IF( OR(ISBLANK(P145:P149),ISBLANK(AL145:AL149), ISBLANK(Z145:Z149),ISBLANK(AV145:AV149)), "·", bdRateExtend( P145:P149,Z145:Z149, AL145:AL149,AV145:AV149))</f>
        <v>-8.2137258789372058E-4</v>
      </c>
      <c r="BV145" s="30"/>
    </row>
    <row r="146" spans="1:74" outlineLevel="1" x14ac:dyDescent="0.15">
      <c r="A146" s="31"/>
      <c r="B146" s="31" t="s">
        <v>315</v>
      </c>
      <c r="C146" s="32" t="s">
        <v>226</v>
      </c>
      <c r="D146" s="31">
        <v>19714629</v>
      </c>
      <c r="E146" s="33">
        <v>20</v>
      </c>
      <c r="F146" s="32">
        <v>1</v>
      </c>
      <c r="G146" s="32"/>
      <c r="I146" s="34" t="str">
        <f t="shared" si="22"/>
        <v>·</v>
      </c>
      <c r="J146" s="35">
        <f t="shared" si="23"/>
        <v>26.650468340033182</v>
      </c>
      <c r="K146" s="35">
        <f t="shared" si="24"/>
        <v>22.383093894386754</v>
      </c>
      <c r="L146" s="35">
        <f t="shared" si="25"/>
        <v>4.2672535202158759</v>
      </c>
      <c r="M146" s="36"/>
      <c r="N146" s="35">
        <f t="shared" si="26"/>
        <v>26.650468340033182</v>
      </c>
      <c r="O146" s="37">
        <v>19714629</v>
      </c>
      <c r="P146" s="38">
        <v>525404096</v>
      </c>
      <c r="Q146" s="38">
        <v>441274392</v>
      </c>
      <c r="R146" s="38">
        <v>84127320</v>
      </c>
      <c r="S146" s="39"/>
      <c r="T146" s="40">
        <v>48.046199999999999</v>
      </c>
      <c r="U146" s="40">
        <v>51.224299999999999</v>
      </c>
      <c r="V146" s="40">
        <v>51.210900000000002</v>
      </c>
      <c r="W146" s="41"/>
      <c r="X146" s="40">
        <v>42.110199999999999</v>
      </c>
      <c r="Y146" s="40">
        <v>42.110199999999999</v>
      </c>
      <c r="Z146" s="40">
        <v>42.110199999999999</v>
      </c>
      <c r="AA146" s="41"/>
      <c r="AB146" s="42"/>
      <c r="AC146" s="42"/>
      <c r="AE146" s="34" t="str">
        <f t="shared" si="27"/>
        <v>·</v>
      </c>
      <c r="AF146" s="35">
        <f t="shared" si="28"/>
        <v>26.630325328465474</v>
      </c>
      <c r="AG146" s="35">
        <f t="shared" si="29"/>
        <v>22.383093894386754</v>
      </c>
      <c r="AH146" s="35">
        <f t="shared" si="30"/>
        <v>4.2471105086481717</v>
      </c>
      <c r="AI146" s="36"/>
      <c r="AJ146" s="35">
        <f t="shared" si="31"/>
        <v>26.630325328465474</v>
      </c>
      <c r="AK146" s="37">
        <v>19714629</v>
      </c>
      <c r="AL146" s="38">
        <v>525006984</v>
      </c>
      <c r="AM146" s="38">
        <v>441274392</v>
      </c>
      <c r="AN146" s="38">
        <v>83730208</v>
      </c>
      <c r="AO146" s="39"/>
      <c r="AP146" s="40">
        <v>48.042999999999999</v>
      </c>
      <c r="AQ146" s="40">
        <v>51.232100000000003</v>
      </c>
      <c r="AR146" s="40">
        <v>51.2241</v>
      </c>
      <c r="AS146" s="41"/>
      <c r="AT146" s="40">
        <v>42.110199999999999</v>
      </c>
      <c r="AU146" s="40">
        <v>42.110199999999999</v>
      </c>
      <c r="AV146" s="40">
        <v>42.110199999999999</v>
      </c>
      <c r="AW146" s="41"/>
      <c r="AX146" s="42">
        <v>141.25800000000001</v>
      </c>
      <c r="AY146" s="42">
        <v>130.93100000000001</v>
      </c>
      <c r="BA146" s="43">
        <f t="shared" si="32"/>
        <v>6.352771010064151E-4</v>
      </c>
      <c r="BB146" s="43"/>
      <c r="BD146" s="44"/>
      <c r="BE146" s="44"/>
      <c r="BF146" s="44"/>
      <c r="BG146" s="45"/>
      <c r="BI146" s="44"/>
      <c r="BJ146" s="44"/>
      <c r="BK146" s="44"/>
      <c r="BL146" s="45"/>
      <c r="BN146" s="44"/>
      <c r="BO146" s="44"/>
      <c r="BP146" s="44"/>
      <c r="BQ146" s="45"/>
      <c r="BS146" s="44"/>
      <c r="BT146" s="44"/>
      <c r="BU146" s="44"/>
      <c r="BV146" s="45"/>
    </row>
    <row r="147" spans="1:74" outlineLevel="1" x14ac:dyDescent="0.15">
      <c r="A147" s="16"/>
      <c r="B147" s="16" t="s">
        <v>315</v>
      </c>
      <c r="C147" s="17" t="s">
        <v>227</v>
      </c>
      <c r="D147" s="16">
        <v>19714629</v>
      </c>
      <c r="E147" s="18">
        <v>20</v>
      </c>
      <c r="F147" s="17">
        <v>1</v>
      </c>
      <c r="G147" s="17"/>
      <c r="I147" s="19" t="str">
        <f t="shared" si="22"/>
        <v>·</v>
      </c>
      <c r="J147" s="20">
        <f t="shared" si="23"/>
        <v>24.610477021910988</v>
      </c>
      <c r="K147" s="20">
        <f t="shared" si="24"/>
        <v>22.383093894386754</v>
      </c>
      <c r="L147" s="20">
        <f t="shared" si="25"/>
        <v>2.2272622020936836</v>
      </c>
      <c r="M147" s="21"/>
      <c r="N147" s="20">
        <f t="shared" si="26"/>
        <v>24.610477021910988</v>
      </c>
      <c r="O147" s="22">
        <v>19714629</v>
      </c>
      <c r="P147" s="23">
        <v>485186424</v>
      </c>
      <c r="Q147" s="23">
        <v>441274392</v>
      </c>
      <c r="R147" s="23">
        <v>43909648</v>
      </c>
      <c r="S147" s="24"/>
      <c r="T147" s="25">
        <v>40.8185</v>
      </c>
      <c r="U147" s="25">
        <v>46.124499999999998</v>
      </c>
      <c r="V147" s="25">
        <v>46.747900000000001</v>
      </c>
      <c r="W147" s="26"/>
      <c r="X147" s="25">
        <v>34.151400000000002</v>
      </c>
      <c r="Y147" s="25">
        <v>34.151400000000002</v>
      </c>
      <c r="Z147" s="25">
        <v>34.151400000000002</v>
      </c>
      <c r="AA147" s="26"/>
      <c r="AB147" s="27"/>
      <c r="AC147" s="27"/>
      <c r="AE147" s="19" t="str">
        <f t="shared" si="27"/>
        <v>·</v>
      </c>
      <c r="AF147" s="20">
        <f t="shared" si="28"/>
        <v>24.585968926932381</v>
      </c>
      <c r="AG147" s="20">
        <f t="shared" si="29"/>
        <v>22.383093894386754</v>
      </c>
      <c r="AH147" s="20">
        <f t="shared" si="30"/>
        <v>2.2027541071150769</v>
      </c>
      <c r="AI147" s="21"/>
      <c r="AJ147" s="20">
        <f t="shared" si="31"/>
        <v>24.585968926932381</v>
      </c>
      <c r="AK147" s="22">
        <v>19714629</v>
      </c>
      <c r="AL147" s="23">
        <v>484703256</v>
      </c>
      <c r="AM147" s="23">
        <v>441274392</v>
      </c>
      <c r="AN147" s="23">
        <v>43426480</v>
      </c>
      <c r="AO147" s="24"/>
      <c r="AP147" s="25">
        <v>40.813800000000001</v>
      </c>
      <c r="AQ147" s="25">
        <v>46.164499999999997</v>
      </c>
      <c r="AR147" s="25">
        <v>46.804299999999998</v>
      </c>
      <c r="AS147" s="26"/>
      <c r="AT147" s="25">
        <v>34.151400000000002</v>
      </c>
      <c r="AU147" s="25">
        <v>34.151400000000002</v>
      </c>
      <c r="AV147" s="25">
        <v>34.151400000000002</v>
      </c>
      <c r="AW147" s="26"/>
      <c r="AX147" s="27">
        <v>131.99199999999999</v>
      </c>
      <c r="AY147" s="27">
        <v>123.583</v>
      </c>
      <c r="BA147" s="28">
        <f t="shared" si="32"/>
        <v>9.0661377038592228E-4</v>
      </c>
      <c r="BB147" s="28"/>
      <c r="BD147" s="29"/>
      <c r="BE147" s="29"/>
      <c r="BF147" s="29"/>
      <c r="BG147" s="30"/>
      <c r="BI147" s="29"/>
      <c r="BJ147" s="29"/>
      <c r="BK147" s="29"/>
      <c r="BL147" s="30"/>
      <c r="BN147" s="29"/>
      <c r="BO147" s="29"/>
      <c r="BP147" s="29"/>
      <c r="BQ147" s="30"/>
      <c r="BS147" s="29"/>
      <c r="BT147" s="29"/>
      <c r="BU147" s="29"/>
      <c r="BV147" s="30"/>
    </row>
    <row r="148" spans="1:74" outlineLevel="1" x14ac:dyDescent="0.15">
      <c r="A148" s="31"/>
      <c r="B148" s="31" t="s">
        <v>315</v>
      </c>
      <c r="C148" s="32" t="s">
        <v>228</v>
      </c>
      <c r="D148" s="31">
        <v>19714629</v>
      </c>
      <c r="E148" s="33">
        <v>20</v>
      </c>
      <c r="F148" s="32">
        <v>1</v>
      </c>
      <c r="G148" s="32"/>
      <c r="I148" s="34" t="str">
        <f t="shared" si="22"/>
        <v>·</v>
      </c>
      <c r="J148" s="35">
        <f t="shared" si="23"/>
        <v>23.439510223600962</v>
      </c>
      <c r="K148" s="35">
        <f t="shared" si="24"/>
        <v>22.383093894386754</v>
      </c>
      <c r="L148" s="35">
        <f t="shared" si="25"/>
        <v>1.0562954037836574</v>
      </c>
      <c r="M148" s="36"/>
      <c r="N148" s="35">
        <f t="shared" si="26"/>
        <v>23.439510223600962</v>
      </c>
      <c r="O148" s="37">
        <v>19714629</v>
      </c>
      <c r="P148" s="38">
        <v>462101248</v>
      </c>
      <c r="Q148" s="38">
        <v>441274392</v>
      </c>
      <c r="R148" s="38">
        <v>20824472</v>
      </c>
      <c r="S148" s="39"/>
      <c r="T148" s="40">
        <v>35.466000000000001</v>
      </c>
      <c r="U148" s="40">
        <v>41.906700000000001</v>
      </c>
      <c r="V148" s="40">
        <v>43.08</v>
      </c>
      <c r="W148" s="41"/>
      <c r="X148" s="40">
        <v>28.130800000000001</v>
      </c>
      <c r="Y148" s="40">
        <v>28.130800000000001</v>
      </c>
      <c r="Z148" s="40">
        <v>28.130800000000001</v>
      </c>
      <c r="AA148" s="41"/>
      <c r="AB148" s="42"/>
      <c r="AC148" s="42"/>
      <c r="AE148" s="34" t="str">
        <f t="shared" si="27"/>
        <v>·</v>
      </c>
      <c r="AF148" s="35">
        <f t="shared" si="28"/>
        <v>23.417668169154997</v>
      </c>
      <c r="AG148" s="35">
        <f t="shared" si="29"/>
        <v>22.383093894386754</v>
      </c>
      <c r="AH148" s="35">
        <f t="shared" si="30"/>
        <v>1.0344533493376924</v>
      </c>
      <c r="AI148" s="36"/>
      <c r="AJ148" s="35">
        <f t="shared" si="31"/>
        <v>23.417668169154997</v>
      </c>
      <c r="AK148" s="37">
        <v>19714629</v>
      </c>
      <c r="AL148" s="38">
        <v>461670640</v>
      </c>
      <c r="AM148" s="38">
        <v>441274392</v>
      </c>
      <c r="AN148" s="38">
        <v>20393864</v>
      </c>
      <c r="AO148" s="39"/>
      <c r="AP148" s="40">
        <v>35.472999999999999</v>
      </c>
      <c r="AQ148" s="40">
        <v>41.986699999999999</v>
      </c>
      <c r="AR148" s="40">
        <v>43.196599999999997</v>
      </c>
      <c r="AS148" s="41"/>
      <c r="AT148" s="40">
        <v>28.130800000000001</v>
      </c>
      <c r="AU148" s="40">
        <v>28.130800000000001</v>
      </c>
      <c r="AV148" s="40">
        <v>28.130800000000001</v>
      </c>
      <c r="AW148" s="41"/>
      <c r="AX148" s="42">
        <v>134.12899999999999</v>
      </c>
      <c r="AY148" s="42">
        <v>126.438</v>
      </c>
      <c r="BA148" s="43">
        <f t="shared" si="32"/>
        <v>8.9067942780018949E-4</v>
      </c>
      <c r="BB148" s="43"/>
      <c r="BD148" s="44"/>
      <c r="BE148" s="44"/>
      <c r="BF148" s="44"/>
      <c r="BG148" s="45"/>
      <c r="BI148" s="44"/>
      <c r="BJ148" s="44"/>
      <c r="BK148" s="44"/>
      <c r="BL148" s="45"/>
      <c r="BN148" s="44"/>
      <c r="BO148" s="44"/>
      <c r="BP148" s="44"/>
      <c r="BQ148" s="45"/>
      <c r="BS148" s="44"/>
      <c r="BT148" s="44"/>
      <c r="BU148" s="44"/>
      <c r="BV148" s="45"/>
    </row>
    <row r="149" spans="1:74" outlineLevel="1" x14ac:dyDescent="0.15">
      <c r="A149" s="16"/>
      <c r="B149" s="65" t="s">
        <v>315</v>
      </c>
      <c r="C149" s="67" t="s">
        <v>229</v>
      </c>
      <c r="D149" s="65">
        <v>19714629</v>
      </c>
      <c r="E149" s="66">
        <v>20</v>
      </c>
      <c r="F149" s="67">
        <v>1</v>
      </c>
      <c r="G149" s="67"/>
      <c r="I149" s="69" t="str">
        <f t="shared" si="22"/>
        <v>·</v>
      </c>
      <c r="J149" s="70">
        <f t="shared" si="23"/>
        <v>22.685514193546325</v>
      </c>
      <c r="K149" s="70">
        <f t="shared" si="24"/>
        <v>22.383093894386754</v>
      </c>
      <c r="L149" s="70">
        <f t="shared" si="25"/>
        <v>0.30229937372902121</v>
      </c>
      <c r="M149" s="75"/>
      <c r="N149" s="70">
        <f t="shared" si="26"/>
        <v>22.685514193546325</v>
      </c>
      <c r="O149" s="71">
        <v>19714629</v>
      </c>
      <c r="P149" s="72">
        <v>447236496</v>
      </c>
      <c r="Q149" s="72">
        <v>441274392</v>
      </c>
      <c r="R149" s="72">
        <v>5959720</v>
      </c>
      <c r="S149" s="76"/>
      <c r="T149" s="77">
        <v>30.000699999999998</v>
      </c>
      <c r="U149" s="77">
        <v>37.783999999999999</v>
      </c>
      <c r="V149" s="77">
        <v>38.441600000000001</v>
      </c>
      <c r="W149" s="78"/>
      <c r="X149" s="77">
        <v>21.686399999999999</v>
      </c>
      <c r="Y149" s="77">
        <v>21.686399999999999</v>
      </c>
      <c r="Z149" s="77">
        <v>21.686399999999999</v>
      </c>
      <c r="AA149" s="78"/>
      <c r="AB149" s="73"/>
      <c r="AC149" s="73"/>
      <c r="AE149" s="69" t="str">
        <f t="shared" si="27"/>
        <v>·</v>
      </c>
      <c r="AF149" s="70">
        <f t="shared" si="28"/>
        <v>22.676889532133728</v>
      </c>
      <c r="AG149" s="70">
        <f t="shared" si="29"/>
        <v>22.383093894386754</v>
      </c>
      <c r="AH149" s="70">
        <f t="shared" si="30"/>
        <v>0.2936747123164225</v>
      </c>
      <c r="AI149" s="75"/>
      <c r="AJ149" s="70">
        <f t="shared" si="31"/>
        <v>22.676889532133728</v>
      </c>
      <c r="AK149" s="71">
        <v>19714629</v>
      </c>
      <c r="AL149" s="72">
        <v>447066464</v>
      </c>
      <c r="AM149" s="72">
        <v>441274392</v>
      </c>
      <c r="AN149" s="72">
        <v>5789688</v>
      </c>
      <c r="AO149" s="76"/>
      <c r="AP149" s="77">
        <v>30.0319</v>
      </c>
      <c r="AQ149" s="77">
        <v>37.901000000000003</v>
      </c>
      <c r="AR149" s="77">
        <v>38.480699999999999</v>
      </c>
      <c r="AS149" s="78"/>
      <c r="AT149" s="77">
        <v>21.686399999999999</v>
      </c>
      <c r="AU149" s="77">
        <v>21.686399999999999</v>
      </c>
      <c r="AV149" s="77">
        <v>21.686399999999999</v>
      </c>
      <c r="AW149" s="78"/>
      <c r="AX149" s="73">
        <v>134.39400000000001</v>
      </c>
      <c r="AY149" s="73">
        <v>118.545</v>
      </c>
      <c r="BA149" s="68">
        <f t="shared" si="32"/>
        <v>3.7525808597838051E-4</v>
      </c>
      <c r="BB149" s="68"/>
      <c r="BD149" s="74"/>
      <c r="BE149" s="74"/>
      <c r="BF149" s="74"/>
      <c r="BG149" s="79"/>
      <c r="BI149" s="74"/>
      <c r="BJ149" s="74"/>
      <c r="BK149" s="74"/>
      <c r="BL149" s="79"/>
      <c r="BN149" s="74"/>
      <c r="BO149" s="74"/>
      <c r="BP149" s="74"/>
      <c r="BQ149" s="79"/>
      <c r="BS149" s="74"/>
      <c r="BT149" s="74"/>
      <c r="BU149" s="74"/>
      <c r="BV149" s="79"/>
    </row>
    <row r="150" spans="1:74" x14ac:dyDescent="0.15">
      <c r="A150" s="31"/>
      <c r="B150" s="31" t="s">
        <v>318</v>
      </c>
      <c r="C150" s="32" t="s">
        <v>225</v>
      </c>
      <c r="D150" s="31">
        <v>3630907</v>
      </c>
      <c r="E150" s="33">
        <v>20</v>
      </c>
      <c r="F150" s="32">
        <v>1</v>
      </c>
      <c r="G150" s="32"/>
      <c r="I150" s="34" t="str">
        <f t="shared" si="22"/>
        <v>·</v>
      </c>
      <c r="J150" s="35">
        <f t="shared" si="23"/>
        <v>36.111821095941039</v>
      </c>
      <c r="K150" s="35">
        <f t="shared" si="24"/>
        <v>29.969428575284358</v>
      </c>
      <c r="L150" s="35">
        <f t="shared" si="25"/>
        <v>6.14215456358425</v>
      </c>
      <c r="M150" s="36"/>
      <c r="N150" s="35">
        <f t="shared" si="26"/>
        <v>36.111821095941039</v>
      </c>
      <c r="O150" s="37">
        <v>3630907</v>
      </c>
      <c r="P150" s="38">
        <v>131118664</v>
      </c>
      <c r="Q150" s="38">
        <v>108816208</v>
      </c>
      <c r="R150" s="38">
        <v>22301592</v>
      </c>
      <c r="S150" s="39"/>
      <c r="T150" s="40">
        <v>52.915100000000002</v>
      </c>
      <c r="U150" s="40">
        <v>55.719200000000001</v>
      </c>
      <c r="V150" s="40">
        <v>55.848399999999998</v>
      </c>
      <c r="W150" s="41"/>
      <c r="X150" s="40">
        <v>48.130800000000001</v>
      </c>
      <c r="Y150" s="40">
        <v>48.130800000000001</v>
      </c>
      <c r="Z150" s="40">
        <v>48.130800000000001</v>
      </c>
      <c r="AA150" s="41"/>
      <c r="AB150" s="42"/>
      <c r="AC150" s="42"/>
      <c r="AE150" s="34" t="str">
        <f t="shared" si="27"/>
        <v>·</v>
      </c>
      <c r="AF150" s="35">
        <f t="shared" si="28"/>
        <v>36.080941759180284</v>
      </c>
      <c r="AG150" s="35">
        <f t="shared" si="29"/>
        <v>29.969428575284358</v>
      </c>
      <c r="AH150" s="35">
        <f t="shared" si="30"/>
        <v>6.1112752268234907</v>
      </c>
      <c r="AI150" s="36"/>
      <c r="AJ150" s="35">
        <f t="shared" si="31"/>
        <v>36.080941759180284</v>
      </c>
      <c r="AK150" s="37">
        <v>3630907</v>
      </c>
      <c r="AL150" s="38">
        <v>131006544</v>
      </c>
      <c r="AM150" s="38">
        <v>108816208</v>
      </c>
      <c r="AN150" s="38">
        <v>22189472</v>
      </c>
      <c r="AO150" s="39"/>
      <c r="AP150" s="40">
        <v>52.914000000000001</v>
      </c>
      <c r="AQ150" s="40">
        <v>55.726300000000002</v>
      </c>
      <c r="AR150" s="40">
        <v>55.8581</v>
      </c>
      <c r="AS150" s="41"/>
      <c r="AT150" s="40">
        <v>48.130800000000001</v>
      </c>
      <c r="AU150" s="40">
        <v>48.130800000000001</v>
      </c>
      <c r="AV150" s="40">
        <v>48.130800000000001</v>
      </c>
      <c r="AW150" s="41"/>
      <c r="AX150" s="42">
        <v>28.594000000000001</v>
      </c>
      <c r="AY150" s="42">
        <v>28.329000000000001</v>
      </c>
      <c r="BA150" s="43">
        <f t="shared" si="32"/>
        <v>7.1026296719778337E-4</v>
      </c>
      <c r="BB150" s="43">
        <f t="array" ref="BB150">AVERAGE(AM150:AM154/AL150:AL154) - AVERAGE(Q150:Q154/P150:P154)</f>
        <v>8.1777662510784666E-4</v>
      </c>
      <c r="BD150" s="44">
        <f>IF( OR(ISBLANK(R150:R154),ISBLANK(AN150:AN154), ISBLANK(T150:T154),ISBLANK(AP150:AP154)), "·", bdRateExtend( R150:R154,T150:T154, AN150:AN154,AP150:AP154))</f>
        <v>-1.822823028725562E-2</v>
      </c>
      <c r="BE150" s="44">
        <f>IF( OR(ISBLANK(R150:R154),ISBLANK(AN150:AN154), ISBLANK(U150:U154),ISBLANK(AQ150:AQ154)), "·", bdRateExtend( R150:R154,U150:U154, AN150:AN154,AQ150:AQ154))</f>
        <v>-2.3205699257393908E-2</v>
      </c>
      <c r="BF150" s="44">
        <f>IF( OR(ISBLANK(R150:R154),ISBLANK(AN150:AN154), ISBLANK(V150:V154),ISBLANK(AR150:AR154)), "·", bdRateExtend( R150:R154,V150:V154, AN150:AN154,AR150:AR154))</f>
        <v>-3.9310572733849969E-2</v>
      </c>
      <c r="BG150" s="45"/>
      <c r="BI150" s="44">
        <f>IF( OR(ISBLANK(R150:R154),ISBLANK(AN150:AN154), ISBLANK(X150:X154),ISBLANK(AT150:AT154)), "·", bdRateExtend( R150:R154,X150:X154, AN150:AN154,AT150:AT154))</f>
        <v>-1.8201661006191361E-2</v>
      </c>
      <c r="BJ150" s="44">
        <f>IF( OR(ISBLANK(R150:R154),ISBLANK(AN150:AN154), ISBLANK(Y150:Y154),ISBLANK(AU150:AU154)), "·", bdRateExtend( R150:R154,Y150:Y154, AN150:AN154,AU150:AU154))</f>
        <v>-1.8201661006191361E-2</v>
      </c>
      <c r="BK150" s="44">
        <f>IF( OR(ISBLANK(R150:R154),ISBLANK(AN150:AN154), ISBLANK(Z150:Z154),ISBLANK(AV150:AV154)), "·", bdRateExtend( R150:R154,Z150:Z154, AN150:AN154,AV150:AV154))</f>
        <v>-1.8201661006191361E-2</v>
      </c>
      <c r="BL150" s="45"/>
      <c r="BN150" s="44">
        <f>IF( OR(ISBLANK(P150:P154),ISBLANK(AL150:AL154), ISBLANK(T150:T154),ISBLANK(AP150:AP154)), "·", bdRateExtend( P150:P154,T150:T154, AL150:AL154,AP150:AP154))</f>
        <v>-9.3750559613892115E-4</v>
      </c>
      <c r="BO150" s="44">
        <f>IF( OR(ISBLANK(P150:P154),ISBLANK(AL150:AL154), ISBLANK(U150:U154),ISBLANK(AQ150:AQ154)), "·", bdRateExtend( P150:P154,U150:U154, AL150:AL154,AQ150:AQ154))</f>
        <v>-1.3752050525696058E-3</v>
      </c>
      <c r="BP150" s="44">
        <f>IF( OR(ISBLANK(P150:P154),ISBLANK(AL150:AL154), ISBLANK(V150:V154),ISBLANK(AR150:AR154)), "·", bdRateExtend( P150:P154,V150:V154, AL150:AL154,AR150:AR154))</f>
        <v>-1.5607006088574904E-3</v>
      </c>
      <c r="BQ150" s="45"/>
      <c r="BS150" s="44">
        <f>IF( OR(ISBLANK(P150:P154),ISBLANK(AL150:AL154), ISBLANK(X150:X154),ISBLANK(AT150:AT154)), "·", bdRateExtend( P150:P154,X150:X154, AL150:AL154,AT150:AT154))</f>
        <v>-9.5641976846727594E-4</v>
      </c>
      <c r="BT150" s="44">
        <f>IF( OR(ISBLANK(P150:P154),ISBLANK(AL150:AL154), ISBLANK(Y150:Y154),ISBLANK(AU150:AU154)), "·", bdRateExtend( P150:P154,Y150:Y154, AL150:AL154,AU150:AU154))</f>
        <v>-9.5641976846727594E-4</v>
      </c>
      <c r="BU150" s="44">
        <f>IF( OR(ISBLANK(P150:P154),ISBLANK(AL150:AL154), ISBLANK(Z150:Z154),ISBLANK(AV150:AV154)), "·", bdRateExtend( P150:P154,Z150:Z154, AL150:AL154,AV150:AV154))</f>
        <v>-9.5641976846727594E-4</v>
      </c>
      <c r="BV150" s="45"/>
    </row>
    <row r="151" spans="1:74" outlineLevel="1" x14ac:dyDescent="0.15">
      <c r="A151" s="16"/>
      <c r="B151" s="16" t="s">
        <v>318</v>
      </c>
      <c r="C151" s="17" t="s">
        <v>226</v>
      </c>
      <c r="D151" s="16">
        <v>3630907</v>
      </c>
      <c r="E151" s="18">
        <v>20</v>
      </c>
      <c r="F151" s="17">
        <v>1</v>
      </c>
      <c r="G151" s="17"/>
      <c r="I151" s="19" t="str">
        <f t="shared" si="22"/>
        <v>·</v>
      </c>
      <c r="J151" s="20">
        <f t="shared" si="23"/>
        <v>34.208186549531561</v>
      </c>
      <c r="K151" s="20">
        <f t="shared" si="24"/>
        <v>29.969428575284358</v>
      </c>
      <c r="L151" s="20">
        <f t="shared" si="25"/>
        <v>4.2385200171747721</v>
      </c>
      <c r="M151" s="21"/>
      <c r="N151" s="20">
        <f t="shared" si="26"/>
        <v>34.208186549531561</v>
      </c>
      <c r="O151" s="22">
        <v>3630907</v>
      </c>
      <c r="P151" s="23">
        <v>124206744</v>
      </c>
      <c r="Q151" s="23">
        <v>108816208</v>
      </c>
      <c r="R151" s="23">
        <v>15389672</v>
      </c>
      <c r="S151" s="24"/>
      <c r="T151" s="25">
        <v>48.119900000000001</v>
      </c>
      <c r="U151" s="25">
        <v>51.1492</v>
      </c>
      <c r="V151" s="25">
        <v>51.277000000000001</v>
      </c>
      <c r="W151" s="26"/>
      <c r="X151" s="25">
        <v>42.110199999999999</v>
      </c>
      <c r="Y151" s="25">
        <v>42.110199999999999</v>
      </c>
      <c r="Z151" s="25">
        <v>42.110199999999999</v>
      </c>
      <c r="AA151" s="26"/>
      <c r="AB151" s="27"/>
      <c r="AC151" s="27"/>
      <c r="AE151" s="19" t="str">
        <f t="shared" si="27"/>
        <v>·</v>
      </c>
      <c r="AF151" s="20">
        <f t="shared" si="28"/>
        <v>34.17123930742374</v>
      </c>
      <c r="AG151" s="20">
        <f t="shared" si="29"/>
        <v>29.969428575284358</v>
      </c>
      <c r="AH151" s="20">
        <f t="shared" si="30"/>
        <v>4.2015727750669463</v>
      </c>
      <c r="AI151" s="21"/>
      <c r="AJ151" s="20">
        <f t="shared" si="31"/>
        <v>34.17123930742374</v>
      </c>
      <c r="AK151" s="22">
        <v>3630907</v>
      </c>
      <c r="AL151" s="23">
        <v>124072592</v>
      </c>
      <c r="AM151" s="23">
        <v>108816208</v>
      </c>
      <c r="AN151" s="23">
        <v>15255520</v>
      </c>
      <c r="AO151" s="24"/>
      <c r="AP151" s="25">
        <v>48.116300000000003</v>
      </c>
      <c r="AQ151" s="25">
        <v>51.172699999999999</v>
      </c>
      <c r="AR151" s="25">
        <v>51.305900000000001</v>
      </c>
      <c r="AS151" s="26"/>
      <c r="AT151" s="25">
        <v>42.110199999999999</v>
      </c>
      <c r="AU151" s="25">
        <v>42.110199999999999</v>
      </c>
      <c r="AV151" s="25">
        <v>42.110199999999999</v>
      </c>
      <c r="AW151" s="26"/>
      <c r="AX151" s="27">
        <v>29.25</v>
      </c>
      <c r="AY151" s="27">
        <v>25.568000000000001</v>
      </c>
      <c r="BA151" s="28">
        <f t="shared" si="32"/>
        <v>9.4726110868603719E-4</v>
      </c>
      <c r="BB151" s="28"/>
      <c r="BD151" s="29"/>
      <c r="BE151" s="29"/>
      <c r="BF151" s="29"/>
      <c r="BG151" s="30"/>
      <c r="BI151" s="29"/>
      <c r="BJ151" s="29"/>
      <c r="BK151" s="29"/>
      <c r="BL151" s="30"/>
      <c r="BN151" s="29"/>
      <c r="BO151" s="29"/>
      <c r="BP151" s="29"/>
      <c r="BQ151" s="30"/>
      <c r="BS151" s="29"/>
      <c r="BT151" s="29"/>
      <c r="BU151" s="29"/>
      <c r="BV151" s="30"/>
    </row>
    <row r="152" spans="1:74" outlineLevel="1" x14ac:dyDescent="0.15">
      <c r="A152" s="31"/>
      <c r="B152" s="31" t="s">
        <v>318</v>
      </c>
      <c r="C152" s="32" t="s">
        <v>227</v>
      </c>
      <c r="D152" s="31">
        <v>3630907</v>
      </c>
      <c r="E152" s="33">
        <v>20</v>
      </c>
      <c r="F152" s="32">
        <v>1</v>
      </c>
      <c r="G152" s="32"/>
      <c r="I152" s="34" t="str">
        <f t="shared" si="22"/>
        <v>·</v>
      </c>
      <c r="J152" s="35">
        <f t="shared" si="23"/>
        <v>32.161383367847208</v>
      </c>
      <c r="K152" s="35">
        <f t="shared" si="24"/>
        <v>29.969428575284358</v>
      </c>
      <c r="L152" s="35">
        <f t="shared" si="25"/>
        <v>2.191716835490416</v>
      </c>
      <c r="M152" s="36"/>
      <c r="N152" s="35">
        <f t="shared" si="26"/>
        <v>32.161383367847208</v>
      </c>
      <c r="O152" s="37">
        <v>3630907</v>
      </c>
      <c r="P152" s="38">
        <v>116774992</v>
      </c>
      <c r="Q152" s="38">
        <v>108816208</v>
      </c>
      <c r="R152" s="38">
        <v>7957920</v>
      </c>
      <c r="S152" s="39"/>
      <c r="T152" s="40">
        <v>41.031199999999998</v>
      </c>
      <c r="U152" s="40">
        <v>46.164099999999998</v>
      </c>
      <c r="V152" s="40">
        <v>46.732100000000003</v>
      </c>
      <c r="W152" s="41"/>
      <c r="X152" s="40">
        <v>34.151400000000002</v>
      </c>
      <c r="Y152" s="40">
        <v>34.151400000000002</v>
      </c>
      <c r="Z152" s="40">
        <v>34.151400000000002</v>
      </c>
      <c r="AA152" s="41"/>
      <c r="AB152" s="42"/>
      <c r="AC152" s="42"/>
      <c r="AE152" s="34" t="str">
        <f t="shared" si="27"/>
        <v>·</v>
      </c>
      <c r="AF152" s="35">
        <f t="shared" si="28"/>
        <v>32.126443337711486</v>
      </c>
      <c r="AG152" s="35">
        <f t="shared" si="29"/>
        <v>29.969428575284358</v>
      </c>
      <c r="AH152" s="35">
        <f t="shared" si="30"/>
        <v>2.1567768053546952</v>
      </c>
      <c r="AI152" s="36"/>
      <c r="AJ152" s="35">
        <f t="shared" si="31"/>
        <v>32.126443337711486</v>
      </c>
      <c r="AK152" s="37">
        <v>3630907</v>
      </c>
      <c r="AL152" s="38">
        <v>116648128</v>
      </c>
      <c r="AM152" s="38">
        <v>108816208</v>
      </c>
      <c r="AN152" s="38">
        <v>7831056</v>
      </c>
      <c r="AO152" s="39"/>
      <c r="AP152" s="40">
        <v>41.030700000000003</v>
      </c>
      <c r="AQ152" s="40">
        <v>46.241</v>
      </c>
      <c r="AR152" s="40">
        <v>46.795299999999997</v>
      </c>
      <c r="AS152" s="41"/>
      <c r="AT152" s="40">
        <v>34.151400000000002</v>
      </c>
      <c r="AU152" s="40">
        <v>34.151400000000002</v>
      </c>
      <c r="AV152" s="40">
        <v>34.151400000000002</v>
      </c>
      <c r="AW152" s="41"/>
      <c r="AX152" s="42">
        <v>32.323</v>
      </c>
      <c r="AY152" s="42">
        <v>29.202999999999999</v>
      </c>
      <c r="BA152" s="43">
        <f t="shared" si="32"/>
        <v>1.0134547637644653E-3</v>
      </c>
      <c r="BB152" s="43"/>
      <c r="BD152" s="44"/>
      <c r="BE152" s="44"/>
      <c r="BF152" s="44"/>
      <c r="BG152" s="45"/>
      <c r="BI152" s="44"/>
      <c r="BJ152" s="44"/>
      <c r="BK152" s="44"/>
      <c r="BL152" s="45"/>
      <c r="BN152" s="44"/>
      <c r="BO152" s="44"/>
      <c r="BP152" s="44"/>
      <c r="BQ152" s="45"/>
      <c r="BS152" s="44"/>
      <c r="BT152" s="44"/>
      <c r="BU152" s="44"/>
      <c r="BV152" s="45"/>
    </row>
    <row r="153" spans="1:74" outlineLevel="1" x14ac:dyDescent="0.15">
      <c r="A153" s="16"/>
      <c r="B153" s="16" t="s">
        <v>318</v>
      </c>
      <c r="C153" s="17" t="s">
        <v>228</v>
      </c>
      <c r="D153" s="16">
        <v>3630907</v>
      </c>
      <c r="E153" s="18">
        <v>20</v>
      </c>
      <c r="F153" s="17">
        <v>1</v>
      </c>
      <c r="G153" s="17"/>
      <c r="I153" s="19" t="str">
        <f t="shared" si="22"/>
        <v>·</v>
      </c>
      <c r="J153" s="20">
        <f t="shared" si="23"/>
        <v>31.046677868642739</v>
      </c>
      <c r="K153" s="20">
        <f t="shared" si="24"/>
        <v>29.969428575284358</v>
      </c>
      <c r="L153" s="20">
        <f t="shared" si="25"/>
        <v>1.0770113362859473</v>
      </c>
      <c r="M153" s="21"/>
      <c r="N153" s="20">
        <f t="shared" si="26"/>
        <v>31.046677868642739</v>
      </c>
      <c r="O153" s="22">
        <v>3630907</v>
      </c>
      <c r="P153" s="23">
        <v>112727600</v>
      </c>
      <c r="Q153" s="23">
        <v>108816208</v>
      </c>
      <c r="R153" s="23">
        <v>3910528</v>
      </c>
      <c r="S153" s="24"/>
      <c r="T153" s="25">
        <v>35.573099999999997</v>
      </c>
      <c r="U153" s="25">
        <v>42.145600000000002</v>
      </c>
      <c r="V153" s="25">
        <v>42.835700000000003</v>
      </c>
      <c r="W153" s="26"/>
      <c r="X153" s="25">
        <v>28.130800000000001</v>
      </c>
      <c r="Y153" s="25">
        <v>28.130800000000001</v>
      </c>
      <c r="Z153" s="25">
        <v>28.130800000000001</v>
      </c>
      <c r="AA153" s="26"/>
      <c r="AB153" s="27"/>
      <c r="AC153" s="27"/>
      <c r="AE153" s="19" t="str">
        <f t="shared" si="27"/>
        <v>·</v>
      </c>
      <c r="AF153" s="20">
        <f t="shared" si="28"/>
        <v>31.020553266718206</v>
      </c>
      <c r="AG153" s="20">
        <f t="shared" si="29"/>
        <v>29.969428575284358</v>
      </c>
      <c r="AH153" s="20">
        <f t="shared" si="30"/>
        <v>1.0508867343614143</v>
      </c>
      <c r="AI153" s="21"/>
      <c r="AJ153" s="20">
        <f t="shared" si="31"/>
        <v>31.020553266718206</v>
      </c>
      <c r="AK153" s="22">
        <v>3630907</v>
      </c>
      <c r="AL153" s="23">
        <v>112632744</v>
      </c>
      <c r="AM153" s="23">
        <v>108816208</v>
      </c>
      <c r="AN153" s="23">
        <v>3815672</v>
      </c>
      <c r="AO153" s="24"/>
      <c r="AP153" s="25">
        <v>35.577599999999997</v>
      </c>
      <c r="AQ153" s="25">
        <v>42.2286</v>
      </c>
      <c r="AR153" s="25">
        <v>42.949100000000001</v>
      </c>
      <c r="AS153" s="26"/>
      <c r="AT153" s="25">
        <v>28.130800000000001</v>
      </c>
      <c r="AU153" s="25">
        <v>28.130800000000001</v>
      </c>
      <c r="AV153" s="25">
        <v>28.130800000000001</v>
      </c>
      <c r="AW153" s="26"/>
      <c r="AX153" s="27">
        <v>31.574000000000002</v>
      </c>
      <c r="AY153" s="27">
        <v>26.707000000000001</v>
      </c>
      <c r="BA153" s="28">
        <f t="shared" si="32"/>
        <v>8.1294931408826265E-4</v>
      </c>
      <c r="BB153" s="28"/>
      <c r="BD153" s="29"/>
      <c r="BE153" s="29"/>
      <c r="BF153" s="29"/>
      <c r="BG153" s="30"/>
      <c r="BI153" s="29"/>
      <c r="BJ153" s="29"/>
      <c r="BK153" s="29"/>
      <c r="BL153" s="30"/>
      <c r="BN153" s="29"/>
      <c r="BO153" s="29"/>
      <c r="BP153" s="29"/>
      <c r="BQ153" s="30"/>
      <c r="BS153" s="29"/>
      <c r="BT153" s="29"/>
      <c r="BU153" s="29"/>
      <c r="BV153" s="30"/>
    </row>
    <row r="154" spans="1:74" outlineLevel="1" x14ac:dyDescent="0.15">
      <c r="A154" s="31"/>
      <c r="B154" s="46" t="s">
        <v>318</v>
      </c>
      <c r="C154" s="47" t="s">
        <v>229</v>
      </c>
      <c r="D154" s="46">
        <v>3630907</v>
      </c>
      <c r="E154" s="48">
        <v>20</v>
      </c>
      <c r="F154" s="47">
        <v>1</v>
      </c>
      <c r="G154" s="47"/>
      <c r="I154" s="49" t="str">
        <f t="shared" si="22"/>
        <v>·</v>
      </c>
      <c r="J154" s="50">
        <f t="shared" si="23"/>
        <v>30.352235405643825</v>
      </c>
      <c r="K154" s="50">
        <f t="shared" si="24"/>
        <v>29.969428575284358</v>
      </c>
      <c r="L154" s="50">
        <f t="shared" si="25"/>
        <v>0.38256887328703271</v>
      </c>
      <c r="M154" s="51"/>
      <c r="N154" s="50">
        <f t="shared" si="26"/>
        <v>30.352235405643825</v>
      </c>
      <c r="O154" s="52">
        <v>3630907</v>
      </c>
      <c r="P154" s="53">
        <v>110206144</v>
      </c>
      <c r="Q154" s="53">
        <v>108816208</v>
      </c>
      <c r="R154" s="53">
        <v>1389072</v>
      </c>
      <c r="S154" s="54"/>
      <c r="T154" s="55">
        <v>29.463000000000001</v>
      </c>
      <c r="U154" s="55">
        <v>38.140700000000002</v>
      </c>
      <c r="V154" s="55">
        <v>37.133400000000002</v>
      </c>
      <c r="W154" s="56"/>
      <c r="X154" s="55">
        <v>21.686399999999999</v>
      </c>
      <c r="Y154" s="55">
        <v>21.686399999999999</v>
      </c>
      <c r="Z154" s="55">
        <v>21.686399999999999</v>
      </c>
      <c r="AA154" s="56"/>
      <c r="AB154" s="57"/>
      <c r="AC154" s="57"/>
      <c r="AE154" s="49" t="str">
        <f t="shared" si="27"/>
        <v>·</v>
      </c>
      <c r="AF154" s="50">
        <f t="shared" si="28"/>
        <v>30.333650517625486</v>
      </c>
      <c r="AG154" s="50">
        <f t="shared" si="29"/>
        <v>29.969428575284358</v>
      </c>
      <c r="AH154" s="50">
        <f t="shared" si="30"/>
        <v>0.36398398526869458</v>
      </c>
      <c r="AI154" s="51"/>
      <c r="AJ154" s="50">
        <f t="shared" si="31"/>
        <v>30.333650517625486</v>
      </c>
      <c r="AK154" s="52">
        <v>3630907</v>
      </c>
      <c r="AL154" s="53">
        <v>110138664</v>
      </c>
      <c r="AM154" s="53">
        <v>108816208</v>
      </c>
      <c r="AN154" s="53">
        <v>1321592</v>
      </c>
      <c r="AO154" s="54"/>
      <c r="AP154" s="55">
        <v>29.428799999999999</v>
      </c>
      <c r="AQ154" s="55">
        <v>38.033499999999997</v>
      </c>
      <c r="AR154" s="55">
        <v>37.694299999999998</v>
      </c>
      <c r="AS154" s="56"/>
      <c r="AT154" s="55">
        <v>21.686399999999999</v>
      </c>
      <c r="AU154" s="55">
        <v>21.686399999999999</v>
      </c>
      <c r="AV154" s="55">
        <v>21.686399999999999</v>
      </c>
      <c r="AW154" s="56"/>
      <c r="AX154" s="57">
        <v>31.73</v>
      </c>
      <c r="AY154" s="57">
        <v>28.172999999999998</v>
      </c>
      <c r="BA154" s="58">
        <f t="shared" si="32"/>
        <v>6.0495497180335089E-4</v>
      </c>
      <c r="BB154" s="58"/>
      <c r="BD154" s="59"/>
      <c r="BE154" s="59"/>
      <c r="BF154" s="59"/>
      <c r="BG154" s="60"/>
      <c r="BI154" s="59"/>
      <c r="BJ154" s="59"/>
      <c r="BK154" s="59"/>
      <c r="BL154" s="60"/>
      <c r="BN154" s="59"/>
      <c r="BO154" s="59"/>
      <c r="BP154" s="59"/>
      <c r="BQ154" s="60"/>
      <c r="BS154" s="59"/>
      <c r="BT154" s="59"/>
      <c r="BU154" s="59"/>
      <c r="BV154" s="60"/>
    </row>
    <row r="155" spans="1:74" x14ac:dyDescent="0.15">
      <c r="A155" s="16"/>
      <c r="B155" s="16" t="s">
        <v>321</v>
      </c>
      <c r="C155" s="17" t="s">
        <v>225</v>
      </c>
      <c r="D155" s="16">
        <v>14025709</v>
      </c>
      <c r="E155" s="18">
        <v>20</v>
      </c>
      <c r="F155" s="17">
        <v>1</v>
      </c>
      <c r="G155" s="17"/>
      <c r="I155" s="19" t="str">
        <f t="shared" si="22"/>
        <v>·</v>
      </c>
      <c r="J155" s="20">
        <f t="shared" si="23"/>
        <v>32.68266010652296</v>
      </c>
      <c r="K155" s="20">
        <f t="shared" si="24"/>
        <v>26.505209825756403</v>
      </c>
      <c r="L155" s="20">
        <f t="shared" si="25"/>
        <v>6.1773316414877852</v>
      </c>
      <c r="M155" s="21"/>
      <c r="N155" s="20">
        <f t="shared" si="26"/>
        <v>32.68266010652296</v>
      </c>
      <c r="O155" s="22">
        <v>14025709</v>
      </c>
      <c r="P155" s="23">
        <v>458397480</v>
      </c>
      <c r="Q155" s="23">
        <v>371754360</v>
      </c>
      <c r="R155" s="23">
        <v>86641456</v>
      </c>
      <c r="S155" s="24"/>
      <c r="T155" s="25">
        <v>52.799500000000002</v>
      </c>
      <c r="U155" s="25">
        <v>56.1706</v>
      </c>
      <c r="V155" s="25">
        <v>55.940899999999999</v>
      </c>
      <c r="W155" s="26"/>
      <c r="X155" s="25">
        <v>48.130800000000001</v>
      </c>
      <c r="Y155" s="25">
        <v>48.130800000000001</v>
      </c>
      <c r="Z155" s="25">
        <v>48.130800000000001</v>
      </c>
      <c r="AA155" s="26"/>
      <c r="AB155" s="27"/>
      <c r="AC155" s="27"/>
      <c r="AE155" s="19" t="str">
        <f t="shared" si="27"/>
        <v>·</v>
      </c>
      <c r="AF155" s="20">
        <f t="shared" si="28"/>
        <v>32.63124937213513</v>
      </c>
      <c r="AG155" s="20">
        <f t="shared" si="29"/>
        <v>26.505209825756403</v>
      </c>
      <c r="AH155" s="20">
        <f t="shared" si="30"/>
        <v>6.125920907099955</v>
      </c>
      <c r="AI155" s="21"/>
      <c r="AJ155" s="20">
        <f t="shared" si="31"/>
        <v>32.63124937213513</v>
      </c>
      <c r="AK155" s="22">
        <v>14025709</v>
      </c>
      <c r="AL155" s="23">
        <v>457676408</v>
      </c>
      <c r="AM155" s="23">
        <v>371754360</v>
      </c>
      <c r="AN155" s="23">
        <v>85920384</v>
      </c>
      <c r="AO155" s="24"/>
      <c r="AP155" s="25">
        <v>52.800400000000003</v>
      </c>
      <c r="AQ155" s="25">
        <v>56.166699999999999</v>
      </c>
      <c r="AR155" s="25">
        <v>55.944899999999997</v>
      </c>
      <c r="AS155" s="26"/>
      <c r="AT155" s="25">
        <v>48.130800000000001</v>
      </c>
      <c r="AU155" s="25">
        <v>48.130800000000001</v>
      </c>
      <c r="AV155" s="25">
        <v>48.130800000000001</v>
      </c>
      <c r="AW155" s="26"/>
      <c r="AX155" s="27">
        <v>116.70399999999999</v>
      </c>
      <c r="AY155" s="27">
        <v>115.69</v>
      </c>
      <c r="BA155" s="28">
        <f t="shared" si="32"/>
        <v>1.2777148864632215E-3</v>
      </c>
      <c r="BB155" s="28">
        <f t="array" ref="BB155">AVERAGE(AM155:AM159/AL155:AL159) - AVERAGE(Q155:Q159/P155:P159)</f>
        <v>1.1911350372102447E-3</v>
      </c>
      <c r="BD155" s="29">
        <f>IF( OR(ISBLANK(R155:R159),ISBLANK(AN155:AN159), ISBLANK(T155:T159),ISBLANK(AP155:AP159)), "·", bdRateExtend( R155:R159,T155:T159, AN155:AN159,AP155:AP159))</f>
        <v>-1.8893214730917762E-2</v>
      </c>
      <c r="BE155" s="29">
        <f>IF( OR(ISBLANK(R155:R159),ISBLANK(AN155:AN159), ISBLANK(U155:U159),ISBLANK(AQ155:AQ159)), "·", bdRateExtend( R155:R159,U155:U159, AN155:AN159,AQ155:AQ159))</f>
        <v>-2.3762211275920153E-2</v>
      </c>
      <c r="BF155" s="29">
        <f>IF( OR(ISBLANK(R155:R159),ISBLANK(AN155:AN159), ISBLANK(V155:V159),ISBLANK(AR155:AR159)), "·", bdRateExtend( R155:R159,V155:V159, AN155:AN159,AR155:AR159))</f>
        <v>-2.7891259903461418E-2</v>
      </c>
      <c r="BG155" s="30"/>
      <c r="BI155" s="29">
        <f>IF( OR(ISBLANK(R155:R159),ISBLANK(AN155:AN159), ISBLANK(X155:X159),ISBLANK(AT155:AT159)), "·", bdRateExtend( R155:R159,X155:X159, AN155:AN159,AT155:AT159))</f>
        <v>-1.7379993071183431E-2</v>
      </c>
      <c r="BJ155" s="29">
        <f>IF( OR(ISBLANK(R155:R159),ISBLANK(AN155:AN159), ISBLANK(Y155:Y159),ISBLANK(AU155:AU159)), "·", bdRateExtend( R155:R159,Y155:Y159, AN155:AN159,AU155:AU159))</f>
        <v>-1.7379993071183431E-2</v>
      </c>
      <c r="BK155" s="29">
        <f>IF( OR(ISBLANK(R155:R159),ISBLANK(AN155:AN159), ISBLANK(Z155:Z159),ISBLANK(AV155:AV159)), "·", bdRateExtend( R155:R159,Z155:Z159, AN155:AN159,AV155:AV159))</f>
        <v>-1.7379993071183431E-2</v>
      </c>
      <c r="BL155" s="30"/>
      <c r="BN155" s="29">
        <f>IF( OR(ISBLANK(P155:P159),ISBLANK(AL155:AL159), ISBLANK(T155:T159),ISBLANK(AP155:AP159)), "·", bdRateExtend( P155:P159,T155:T159, AL155:AL159,AP155:AP159))</f>
        <v>-1.4703011223461404E-3</v>
      </c>
      <c r="BO155" s="29">
        <f>IF( OR(ISBLANK(P155:P159),ISBLANK(AL155:AL159), ISBLANK(U155:U159),ISBLANK(AQ155:AQ159)), "·", bdRateExtend( P155:P159,U155:U159, AL155:AL159,AQ155:AQ159))</f>
        <v>-1.8137753443584481E-3</v>
      </c>
      <c r="BP155" s="29">
        <f>IF( OR(ISBLANK(P155:P159),ISBLANK(AL155:AL159), ISBLANK(V155:V159),ISBLANK(AR155:AR159)), "·", bdRateExtend( P155:P159,V155:V159, AL155:AL159,AR155:AR159))</f>
        <v>-2.0336738031636603E-3</v>
      </c>
      <c r="BQ155" s="30"/>
      <c r="BS155" s="29">
        <f>IF( OR(ISBLANK(P155:P159),ISBLANK(AL155:AL159), ISBLANK(X155:X159),ISBLANK(AT155:AT159)), "·", bdRateExtend( P155:P159,X155:X159, AL155:AL159,AT155:AT159))</f>
        <v>-1.4005006982165114E-3</v>
      </c>
      <c r="BT155" s="29">
        <f>IF( OR(ISBLANK(P155:P159),ISBLANK(AL155:AL159), ISBLANK(Y155:Y159),ISBLANK(AU155:AU159)), "·", bdRateExtend( P155:P159,Y155:Y159, AL155:AL159,AU155:AU159))</f>
        <v>-1.4005006982165114E-3</v>
      </c>
      <c r="BU155" s="29">
        <f>IF( OR(ISBLANK(P155:P159),ISBLANK(AL155:AL159), ISBLANK(Z155:Z159),ISBLANK(AV155:AV159)), "·", bdRateExtend( P155:P159,Z155:Z159, AL155:AL159,AV155:AV159))</f>
        <v>-1.4005006982165114E-3</v>
      </c>
      <c r="BV155" s="30"/>
    </row>
    <row r="156" spans="1:74" outlineLevel="1" x14ac:dyDescent="0.15">
      <c r="A156" s="31"/>
      <c r="B156" s="31" t="s">
        <v>321</v>
      </c>
      <c r="C156" s="32" t="s">
        <v>226</v>
      </c>
      <c r="D156" s="31">
        <v>14025709</v>
      </c>
      <c r="E156" s="33">
        <v>20</v>
      </c>
      <c r="F156" s="32">
        <v>1</v>
      </c>
      <c r="G156" s="32"/>
      <c r="I156" s="34" t="str">
        <f t="shared" si="22"/>
        <v>·</v>
      </c>
      <c r="J156" s="35">
        <f t="shared" si="23"/>
        <v>30.924741986305293</v>
      </c>
      <c r="K156" s="35">
        <f t="shared" si="24"/>
        <v>26.505209825756403</v>
      </c>
      <c r="L156" s="35">
        <f t="shared" si="25"/>
        <v>4.4194135212701191</v>
      </c>
      <c r="M156" s="36"/>
      <c r="N156" s="35">
        <f t="shared" si="26"/>
        <v>30.924741986305293</v>
      </c>
      <c r="O156" s="37">
        <v>14025709</v>
      </c>
      <c r="P156" s="38">
        <v>433741432</v>
      </c>
      <c r="Q156" s="38">
        <v>371754360</v>
      </c>
      <c r="R156" s="38">
        <v>61985408</v>
      </c>
      <c r="S156" s="39"/>
      <c r="T156" s="40">
        <v>47.974499999999999</v>
      </c>
      <c r="U156" s="40">
        <v>51.537399999999998</v>
      </c>
      <c r="V156" s="40">
        <v>51.741799999999998</v>
      </c>
      <c r="W156" s="41"/>
      <c r="X156" s="40">
        <v>42.110199999999999</v>
      </c>
      <c r="Y156" s="40">
        <v>42.110199999999999</v>
      </c>
      <c r="Z156" s="40">
        <v>42.110199999999999</v>
      </c>
      <c r="AA156" s="41"/>
      <c r="AB156" s="42"/>
      <c r="AC156" s="42"/>
      <c r="AE156" s="34" t="str">
        <f t="shared" si="27"/>
        <v>·</v>
      </c>
      <c r="AF156" s="35">
        <f t="shared" si="28"/>
        <v>30.871852253600871</v>
      </c>
      <c r="AG156" s="35">
        <f t="shared" si="29"/>
        <v>26.505209825756403</v>
      </c>
      <c r="AH156" s="35">
        <f t="shared" si="30"/>
        <v>4.3665237885656971</v>
      </c>
      <c r="AI156" s="36"/>
      <c r="AJ156" s="35">
        <f t="shared" si="31"/>
        <v>30.871852253600871</v>
      </c>
      <c r="AK156" s="37">
        <v>14025709</v>
      </c>
      <c r="AL156" s="38">
        <v>432999616</v>
      </c>
      <c r="AM156" s="38">
        <v>371754360</v>
      </c>
      <c r="AN156" s="38">
        <v>61243592</v>
      </c>
      <c r="AO156" s="39"/>
      <c r="AP156" s="40">
        <v>47.981999999999999</v>
      </c>
      <c r="AQ156" s="40">
        <v>51.560699999999997</v>
      </c>
      <c r="AR156" s="40">
        <v>51.7746</v>
      </c>
      <c r="AS156" s="41"/>
      <c r="AT156" s="40">
        <v>42.110199999999999</v>
      </c>
      <c r="AU156" s="40">
        <v>42.110199999999999</v>
      </c>
      <c r="AV156" s="40">
        <v>42.110199999999999</v>
      </c>
      <c r="AW156" s="41"/>
      <c r="AX156" s="42">
        <v>129.74600000000001</v>
      </c>
      <c r="AY156" s="42">
        <v>109.044</v>
      </c>
      <c r="BA156" s="43">
        <f t="shared" si="32"/>
        <v>1.4683644005479835E-3</v>
      </c>
      <c r="BB156" s="43"/>
      <c r="BD156" s="44"/>
      <c r="BE156" s="44"/>
      <c r="BF156" s="44"/>
      <c r="BG156" s="45"/>
      <c r="BI156" s="44"/>
      <c r="BJ156" s="44"/>
      <c r="BK156" s="44"/>
      <c r="BL156" s="45"/>
      <c r="BN156" s="44"/>
      <c r="BO156" s="44"/>
      <c r="BP156" s="44"/>
      <c r="BQ156" s="45"/>
      <c r="BS156" s="44"/>
      <c r="BT156" s="44"/>
      <c r="BU156" s="44"/>
      <c r="BV156" s="45"/>
    </row>
    <row r="157" spans="1:74" outlineLevel="1" x14ac:dyDescent="0.15">
      <c r="A157" s="16"/>
      <c r="B157" s="16" t="s">
        <v>321</v>
      </c>
      <c r="C157" s="17" t="s">
        <v>227</v>
      </c>
      <c r="D157" s="16">
        <v>14025709</v>
      </c>
      <c r="E157" s="18">
        <v>20</v>
      </c>
      <c r="F157" s="17">
        <v>1</v>
      </c>
      <c r="G157" s="17"/>
      <c r="I157" s="19" t="str">
        <f t="shared" si="22"/>
        <v>·</v>
      </c>
      <c r="J157" s="20">
        <f t="shared" si="23"/>
        <v>29.076282133045822</v>
      </c>
      <c r="K157" s="20">
        <f t="shared" si="24"/>
        <v>26.505209825756403</v>
      </c>
      <c r="L157" s="20">
        <f t="shared" si="25"/>
        <v>2.5709536680106511</v>
      </c>
      <c r="M157" s="21"/>
      <c r="N157" s="20">
        <f t="shared" si="26"/>
        <v>29.076282133045822</v>
      </c>
      <c r="O157" s="22">
        <v>14025709</v>
      </c>
      <c r="P157" s="23">
        <v>407815472</v>
      </c>
      <c r="Q157" s="23">
        <v>371754360</v>
      </c>
      <c r="R157" s="23">
        <v>36059448</v>
      </c>
      <c r="S157" s="24"/>
      <c r="T157" s="25">
        <v>40.985199999999999</v>
      </c>
      <c r="U157" s="25">
        <v>46.267099999999999</v>
      </c>
      <c r="V157" s="25">
        <v>46.920699999999997</v>
      </c>
      <c r="W157" s="26"/>
      <c r="X157" s="25">
        <v>34.151400000000002</v>
      </c>
      <c r="Y157" s="25">
        <v>34.151400000000002</v>
      </c>
      <c r="Z157" s="25">
        <v>34.151400000000002</v>
      </c>
      <c r="AA157" s="26"/>
      <c r="AB157" s="27"/>
      <c r="AC157" s="27"/>
      <c r="AE157" s="19" t="str">
        <f t="shared" si="27"/>
        <v>·</v>
      </c>
      <c r="AF157" s="20">
        <f t="shared" si="28"/>
        <v>29.034561033599086</v>
      </c>
      <c r="AG157" s="20">
        <f t="shared" si="29"/>
        <v>26.505209825756403</v>
      </c>
      <c r="AH157" s="20">
        <f t="shared" si="30"/>
        <v>2.5292325685639137</v>
      </c>
      <c r="AI157" s="21"/>
      <c r="AJ157" s="20">
        <f t="shared" si="31"/>
        <v>29.034561033599086</v>
      </c>
      <c r="AK157" s="22">
        <v>14025709</v>
      </c>
      <c r="AL157" s="23">
        <v>407230304</v>
      </c>
      <c r="AM157" s="23">
        <v>371754360</v>
      </c>
      <c r="AN157" s="23">
        <v>35474280</v>
      </c>
      <c r="AO157" s="24"/>
      <c r="AP157" s="25">
        <v>41.0017</v>
      </c>
      <c r="AQ157" s="25">
        <v>46.320999999999998</v>
      </c>
      <c r="AR157" s="25">
        <v>47.0002</v>
      </c>
      <c r="AS157" s="26"/>
      <c r="AT157" s="25">
        <v>34.151400000000002</v>
      </c>
      <c r="AU157" s="25">
        <v>34.151400000000002</v>
      </c>
      <c r="AV157" s="25">
        <v>34.151400000000002</v>
      </c>
      <c r="AW157" s="26"/>
      <c r="AX157" s="27">
        <v>114.348</v>
      </c>
      <c r="AY157" s="27">
        <v>111.649</v>
      </c>
      <c r="BA157" s="28">
        <f t="shared" si="32"/>
        <v>1.3098840457327343E-3</v>
      </c>
      <c r="BB157" s="28"/>
      <c r="BD157" s="29"/>
      <c r="BE157" s="29"/>
      <c r="BF157" s="29"/>
      <c r="BG157" s="30"/>
      <c r="BI157" s="29"/>
      <c r="BJ157" s="29"/>
      <c r="BK157" s="29"/>
      <c r="BL157" s="30"/>
      <c r="BN157" s="29"/>
      <c r="BO157" s="29"/>
      <c r="BP157" s="29"/>
      <c r="BQ157" s="30"/>
      <c r="BS157" s="29"/>
      <c r="BT157" s="29"/>
      <c r="BU157" s="29"/>
      <c r="BV157" s="30"/>
    </row>
    <row r="158" spans="1:74" outlineLevel="1" x14ac:dyDescent="0.15">
      <c r="A158" s="31"/>
      <c r="B158" s="31" t="s">
        <v>321</v>
      </c>
      <c r="C158" s="32" t="s">
        <v>228</v>
      </c>
      <c r="D158" s="31">
        <v>14025709</v>
      </c>
      <c r="E158" s="33">
        <v>20</v>
      </c>
      <c r="F158" s="32">
        <v>1</v>
      </c>
      <c r="G158" s="32"/>
      <c r="I158" s="34" t="str">
        <f t="shared" si="22"/>
        <v>·</v>
      </c>
      <c r="J158" s="35">
        <f t="shared" si="23"/>
        <v>28.005999554104537</v>
      </c>
      <c r="K158" s="35">
        <f t="shared" si="24"/>
        <v>26.505209825756403</v>
      </c>
      <c r="L158" s="35">
        <f t="shared" si="25"/>
        <v>1.5006710890693653</v>
      </c>
      <c r="M158" s="36"/>
      <c r="N158" s="35">
        <f t="shared" si="26"/>
        <v>28.005999554104537</v>
      </c>
      <c r="O158" s="37">
        <v>14025709</v>
      </c>
      <c r="P158" s="38">
        <v>392804000</v>
      </c>
      <c r="Q158" s="38">
        <v>371754360</v>
      </c>
      <c r="R158" s="38">
        <v>21047976</v>
      </c>
      <c r="S158" s="39"/>
      <c r="T158" s="40">
        <v>35.442999999999998</v>
      </c>
      <c r="U158" s="40">
        <v>41.585900000000002</v>
      </c>
      <c r="V158" s="40">
        <v>42.606099999999998</v>
      </c>
      <c r="W158" s="41"/>
      <c r="X158" s="40">
        <v>28.130800000000001</v>
      </c>
      <c r="Y158" s="40">
        <v>28.130800000000001</v>
      </c>
      <c r="Z158" s="40">
        <v>28.130800000000001</v>
      </c>
      <c r="AA158" s="41"/>
      <c r="AB158" s="42"/>
      <c r="AC158" s="42"/>
      <c r="AE158" s="34" t="str">
        <f t="shared" si="27"/>
        <v>·</v>
      </c>
      <c r="AF158" s="35">
        <f t="shared" si="28"/>
        <v>27.973194082381148</v>
      </c>
      <c r="AG158" s="35">
        <f t="shared" si="29"/>
        <v>26.505209825756403</v>
      </c>
      <c r="AH158" s="35">
        <f t="shared" si="30"/>
        <v>1.4678656173459752</v>
      </c>
      <c r="AI158" s="36"/>
      <c r="AJ158" s="35">
        <f t="shared" si="31"/>
        <v>27.973194082381148</v>
      </c>
      <c r="AK158" s="37">
        <v>14025709</v>
      </c>
      <c r="AL158" s="38">
        <v>392343880</v>
      </c>
      <c r="AM158" s="38">
        <v>371754360</v>
      </c>
      <c r="AN158" s="38">
        <v>20587856</v>
      </c>
      <c r="AO158" s="39"/>
      <c r="AP158" s="40">
        <v>35.4557</v>
      </c>
      <c r="AQ158" s="40">
        <v>41.6768</v>
      </c>
      <c r="AR158" s="40">
        <v>42.722999999999999</v>
      </c>
      <c r="AS158" s="41"/>
      <c r="AT158" s="40">
        <v>28.130800000000001</v>
      </c>
      <c r="AU158" s="40">
        <v>28.130800000000001</v>
      </c>
      <c r="AV158" s="40">
        <v>28.130800000000001</v>
      </c>
      <c r="AW158" s="41"/>
      <c r="AX158" s="42">
        <v>112.617</v>
      </c>
      <c r="AY158" s="42">
        <v>107.203</v>
      </c>
      <c r="BA158" s="43">
        <f t="shared" si="32"/>
        <v>1.1099013957819315E-3</v>
      </c>
      <c r="BB158" s="43"/>
      <c r="BD158" s="44"/>
      <c r="BE158" s="44"/>
      <c r="BF158" s="44"/>
      <c r="BG158" s="45"/>
      <c r="BI158" s="44"/>
      <c r="BJ158" s="44"/>
      <c r="BK158" s="44"/>
      <c r="BL158" s="45"/>
      <c r="BN158" s="44"/>
      <c r="BO158" s="44"/>
      <c r="BP158" s="44"/>
      <c r="BQ158" s="45"/>
      <c r="BS158" s="44"/>
      <c r="BT158" s="44"/>
      <c r="BU158" s="44"/>
      <c r="BV158" s="45"/>
    </row>
    <row r="159" spans="1:74" outlineLevel="1" x14ac:dyDescent="0.15">
      <c r="A159" s="16"/>
      <c r="B159" s="65" t="s">
        <v>321</v>
      </c>
      <c r="C159" s="67" t="s">
        <v>229</v>
      </c>
      <c r="D159" s="65">
        <v>14025709</v>
      </c>
      <c r="E159" s="66">
        <v>20</v>
      </c>
      <c r="F159" s="67">
        <v>1</v>
      </c>
      <c r="G159" s="67"/>
      <c r="I159" s="69" t="str">
        <f t="shared" si="22"/>
        <v>·</v>
      </c>
      <c r="J159" s="70">
        <f t="shared" si="23"/>
        <v>27.175676324098838</v>
      </c>
      <c r="K159" s="70">
        <f t="shared" si="24"/>
        <v>26.505209825756403</v>
      </c>
      <c r="L159" s="70">
        <f t="shared" si="25"/>
        <v>0.67034785906366656</v>
      </c>
      <c r="M159" s="75"/>
      <c r="N159" s="70">
        <f t="shared" si="26"/>
        <v>27.175676324098838</v>
      </c>
      <c r="O159" s="71">
        <v>14025709</v>
      </c>
      <c r="P159" s="72">
        <v>381158128</v>
      </c>
      <c r="Q159" s="72">
        <v>371754360</v>
      </c>
      <c r="R159" s="72">
        <v>9402104</v>
      </c>
      <c r="S159" s="76"/>
      <c r="T159" s="77">
        <v>29.393000000000001</v>
      </c>
      <c r="U159" s="77">
        <v>36.930900000000001</v>
      </c>
      <c r="V159" s="77">
        <v>37.810299999999998</v>
      </c>
      <c r="W159" s="78"/>
      <c r="X159" s="77">
        <v>21.686399999999999</v>
      </c>
      <c r="Y159" s="77">
        <v>21.686399999999999</v>
      </c>
      <c r="Z159" s="77">
        <v>21.686399999999999</v>
      </c>
      <c r="AA159" s="78"/>
      <c r="AB159" s="73"/>
      <c r="AC159" s="73"/>
      <c r="AE159" s="69" t="str">
        <f t="shared" si="27"/>
        <v>·</v>
      </c>
      <c r="AF159" s="70">
        <f t="shared" si="28"/>
        <v>27.153687560464856</v>
      </c>
      <c r="AG159" s="70">
        <f t="shared" si="29"/>
        <v>26.505209825756403</v>
      </c>
      <c r="AH159" s="70">
        <f t="shared" si="30"/>
        <v>0.64835909542968562</v>
      </c>
      <c r="AI159" s="75"/>
      <c r="AJ159" s="70">
        <f t="shared" si="31"/>
        <v>27.153687560464856</v>
      </c>
      <c r="AK159" s="71">
        <v>14025709</v>
      </c>
      <c r="AL159" s="72">
        <v>380849720</v>
      </c>
      <c r="AM159" s="72">
        <v>371754360</v>
      </c>
      <c r="AN159" s="72">
        <v>9093696</v>
      </c>
      <c r="AO159" s="76"/>
      <c r="AP159" s="77">
        <v>29.410599999999999</v>
      </c>
      <c r="AQ159" s="77">
        <v>36.980400000000003</v>
      </c>
      <c r="AR159" s="77">
        <v>37.932000000000002</v>
      </c>
      <c r="AS159" s="78"/>
      <c r="AT159" s="77">
        <v>21.686399999999999</v>
      </c>
      <c r="AU159" s="77">
        <v>21.686399999999999</v>
      </c>
      <c r="AV159" s="77">
        <v>21.686399999999999</v>
      </c>
      <c r="AW159" s="78"/>
      <c r="AX159" s="73">
        <v>110.04300000000001</v>
      </c>
      <c r="AY159" s="73">
        <v>97.406999999999996</v>
      </c>
      <c r="BA159" s="68">
        <f t="shared" si="32"/>
        <v>7.8981045752479773E-4</v>
      </c>
      <c r="BB159" s="68"/>
      <c r="BD159" s="74"/>
      <c r="BE159" s="74"/>
      <c r="BF159" s="74"/>
      <c r="BG159" s="79"/>
      <c r="BI159" s="74"/>
      <c r="BJ159" s="74"/>
      <c r="BK159" s="74"/>
      <c r="BL159" s="79"/>
      <c r="BN159" s="74"/>
      <c r="BO159" s="74"/>
      <c r="BP159" s="74"/>
      <c r="BQ159" s="79"/>
      <c r="BS159" s="74"/>
      <c r="BT159" s="74"/>
      <c r="BU159" s="74"/>
      <c r="BV159" s="79"/>
    </row>
    <row r="160" spans="1:74" x14ac:dyDescent="0.15">
      <c r="A160" s="31"/>
      <c r="B160" s="31" t="s">
        <v>324</v>
      </c>
      <c r="C160" s="32" t="s">
        <v>225</v>
      </c>
      <c r="D160" s="31">
        <v>5001077</v>
      </c>
      <c r="E160" s="33">
        <v>20</v>
      </c>
      <c r="F160" s="32">
        <v>1</v>
      </c>
      <c r="G160" s="32"/>
      <c r="I160" s="34" t="str">
        <f t="shared" si="22"/>
        <v>·</v>
      </c>
      <c r="J160" s="35">
        <f t="shared" si="23"/>
        <v>33.623951000954392</v>
      </c>
      <c r="K160" s="35">
        <f t="shared" si="24"/>
        <v>27.063079412694506</v>
      </c>
      <c r="L160" s="35">
        <f t="shared" si="25"/>
        <v>6.5606668323643085</v>
      </c>
      <c r="M160" s="36"/>
      <c r="N160" s="35">
        <f t="shared" si="26"/>
        <v>33.623951000954392</v>
      </c>
      <c r="O160" s="37">
        <v>5001077</v>
      </c>
      <c r="P160" s="38">
        <v>168155968</v>
      </c>
      <c r="Q160" s="38">
        <v>135344544</v>
      </c>
      <c r="R160" s="38">
        <v>32810400</v>
      </c>
      <c r="S160" s="39"/>
      <c r="T160" s="40">
        <v>53.152200000000001</v>
      </c>
      <c r="U160" s="40">
        <v>55.808300000000003</v>
      </c>
      <c r="V160" s="40">
        <v>55.137099999999997</v>
      </c>
      <c r="W160" s="41"/>
      <c r="X160" s="40">
        <v>48.130800000000001</v>
      </c>
      <c r="Y160" s="40">
        <v>48.130800000000001</v>
      </c>
      <c r="Z160" s="40">
        <v>48.130800000000001</v>
      </c>
      <c r="AA160" s="41"/>
      <c r="AB160" s="42"/>
      <c r="AC160" s="42"/>
      <c r="AE160" s="34" t="str">
        <f t="shared" si="27"/>
        <v>·</v>
      </c>
      <c r="AF160" s="35">
        <f t="shared" si="28"/>
        <v>33.607570529307985</v>
      </c>
      <c r="AG160" s="35">
        <f t="shared" si="29"/>
        <v>27.063079412694506</v>
      </c>
      <c r="AH160" s="35">
        <f t="shared" si="30"/>
        <v>6.5442863607179014</v>
      </c>
      <c r="AI160" s="36"/>
      <c r="AJ160" s="35">
        <f t="shared" si="31"/>
        <v>33.607570529307985</v>
      </c>
      <c r="AK160" s="37">
        <v>5001077</v>
      </c>
      <c r="AL160" s="38">
        <v>168074048</v>
      </c>
      <c r="AM160" s="38">
        <v>135344544</v>
      </c>
      <c r="AN160" s="38">
        <v>32728480</v>
      </c>
      <c r="AO160" s="39"/>
      <c r="AP160" s="40">
        <v>53.147199999999998</v>
      </c>
      <c r="AQ160" s="40">
        <v>55.809899999999999</v>
      </c>
      <c r="AR160" s="40">
        <v>55.143500000000003</v>
      </c>
      <c r="AS160" s="41"/>
      <c r="AT160" s="40">
        <v>48.130800000000001</v>
      </c>
      <c r="AU160" s="40">
        <v>48.130800000000001</v>
      </c>
      <c r="AV160" s="40">
        <v>48.130800000000001</v>
      </c>
      <c r="AW160" s="41"/>
      <c r="AX160" s="42">
        <v>37.985999999999997</v>
      </c>
      <c r="AY160" s="42">
        <v>33.695999999999998</v>
      </c>
      <c r="BA160" s="43">
        <f t="shared" si="32"/>
        <v>3.9229949711938605E-4</v>
      </c>
      <c r="BB160" s="43">
        <f t="array" ref="BB160">AVERAGE(AM160:AM164/AL160:AL164) - AVERAGE(Q160:Q164/P160:P164)</f>
        <v>5.455285302221613E-4</v>
      </c>
      <c r="BD160" s="44">
        <f>IF( OR(ISBLANK(R160:R164),ISBLANK(AN160:AN164), ISBLANK(T160:T164),ISBLANK(AP160:AP164)), "·", bdRateExtend( R160:R164,T160:T164, AN160:AN164,AP160:AP164))</f>
        <v>-8.2928960436605692E-3</v>
      </c>
      <c r="BE160" s="44">
        <f>IF( OR(ISBLANK(R160:R164),ISBLANK(AN160:AN164), ISBLANK(U160:U164),ISBLANK(AQ160:AQ164)), "·", bdRateExtend( R160:R164,U160:U164, AN160:AN164,AQ160:AQ164))</f>
        <v>-1.4052012911293987E-2</v>
      </c>
      <c r="BF160" s="44">
        <f>IF( OR(ISBLANK(R160:R164),ISBLANK(AN160:AN164), ISBLANK(V160:V164),ISBLANK(AR160:AR164)), "·", bdRateExtend( R160:R164,V160:V164, AN160:AN164,AR160:AR164))</f>
        <v>-1.7026959056504198E-2</v>
      </c>
      <c r="BG160" s="45"/>
      <c r="BI160" s="44">
        <f>IF( OR(ISBLANK(R160:R164),ISBLANK(AN160:AN164), ISBLANK(X160:X164),ISBLANK(AT160:AT164)), "·", bdRateExtend( R160:R164,X160:X164, AN160:AN164,AT160:AT164))</f>
        <v>-9.7306558322660663E-3</v>
      </c>
      <c r="BJ160" s="44">
        <f>IF( OR(ISBLANK(R160:R164),ISBLANK(AN160:AN164), ISBLANK(Y160:Y164),ISBLANK(AU160:AU164)), "·", bdRateExtend( R160:R164,Y160:Y164, AN160:AN164,AU160:AU164))</f>
        <v>-9.7306558322660663E-3</v>
      </c>
      <c r="BK160" s="44">
        <f>IF( OR(ISBLANK(R160:R164),ISBLANK(AN160:AN164), ISBLANK(Z160:Z164),ISBLANK(AV160:AV164)), "·", bdRateExtend( R160:R164,Z160:Z164, AN160:AN164,AV160:AV164))</f>
        <v>-9.7306558322660663E-3</v>
      </c>
      <c r="BL160" s="45"/>
      <c r="BN160" s="44">
        <f>IF( OR(ISBLANK(P160:P164),ISBLANK(AL160:AL164), ISBLANK(T160:T164),ISBLANK(AP160:AP164)), "·", bdRateExtend( P160:P164,T160:T164, AL160:AL164,AP160:AP164))</f>
        <v>-5.3438733974564556E-4</v>
      </c>
      <c r="BO160" s="44">
        <f>IF( OR(ISBLANK(P160:P164),ISBLANK(AL160:AL164), ISBLANK(U160:U164),ISBLANK(AQ160:AQ164)), "·", bdRateExtend( P160:P164,U160:U164, AL160:AL164,AQ160:AQ164))</f>
        <v>-8.9108865082998534E-4</v>
      </c>
      <c r="BP160" s="44">
        <f>IF( OR(ISBLANK(P160:P164),ISBLANK(AL160:AL164), ISBLANK(V160:V164),ISBLANK(AR160:AR164)), "·", bdRateExtend( P160:P164,V160:V164, AL160:AL164,AR160:AR164))</f>
        <v>-1.0351589765150715E-3</v>
      </c>
      <c r="BQ160" s="45"/>
      <c r="BS160" s="44">
        <f>IF( OR(ISBLANK(P160:P164),ISBLANK(AL160:AL164), ISBLANK(X160:X164),ISBLANK(AT160:AT164)), "·", bdRateExtend( P160:P164,X160:X164, AL160:AL164,AT160:AT164))</f>
        <v>-6.3115323099527387E-4</v>
      </c>
      <c r="BT160" s="44">
        <f>IF( OR(ISBLANK(P160:P164),ISBLANK(AL160:AL164), ISBLANK(Y160:Y164),ISBLANK(AU160:AU164)), "·", bdRateExtend( P160:P164,Y160:Y164, AL160:AL164,AU160:AU164))</f>
        <v>-6.3115323099527387E-4</v>
      </c>
      <c r="BU160" s="44">
        <f>IF( OR(ISBLANK(P160:P164),ISBLANK(AL160:AL164), ISBLANK(Z160:Z164),ISBLANK(AV160:AV164)), "·", bdRateExtend( P160:P164,Z160:Z164, AL160:AL164,AV160:AV164))</f>
        <v>-6.3115323099527387E-4</v>
      </c>
      <c r="BV160" s="45"/>
    </row>
    <row r="161" spans="1:74" outlineLevel="1" x14ac:dyDescent="0.15">
      <c r="A161" s="16"/>
      <c r="B161" s="16" t="s">
        <v>324</v>
      </c>
      <c r="C161" s="17" t="s">
        <v>226</v>
      </c>
      <c r="D161" s="16">
        <v>5001077</v>
      </c>
      <c r="E161" s="18">
        <v>20</v>
      </c>
      <c r="F161" s="17">
        <v>1</v>
      </c>
      <c r="G161" s="17"/>
      <c r="I161" s="19" t="str">
        <f t="shared" si="22"/>
        <v>·</v>
      </c>
      <c r="J161" s="20">
        <f t="shared" si="23"/>
        <v>31.634960229566552</v>
      </c>
      <c r="K161" s="20">
        <f t="shared" si="24"/>
        <v>27.063079412694506</v>
      </c>
      <c r="L161" s="20">
        <f t="shared" si="25"/>
        <v>4.5716760609764657</v>
      </c>
      <c r="M161" s="21"/>
      <c r="N161" s="20">
        <f t="shared" si="26"/>
        <v>31.634960229566552</v>
      </c>
      <c r="O161" s="22">
        <v>5001077</v>
      </c>
      <c r="P161" s="23">
        <v>158208872</v>
      </c>
      <c r="Q161" s="23">
        <v>135344544</v>
      </c>
      <c r="R161" s="23">
        <v>22863304</v>
      </c>
      <c r="S161" s="24"/>
      <c r="T161" s="25">
        <v>48.282499999999999</v>
      </c>
      <c r="U161" s="25">
        <v>51.290999999999997</v>
      </c>
      <c r="V161" s="25">
        <v>51.0062</v>
      </c>
      <c r="W161" s="26"/>
      <c r="X161" s="25">
        <v>42.110199999999999</v>
      </c>
      <c r="Y161" s="25">
        <v>42.110199999999999</v>
      </c>
      <c r="Z161" s="25">
        <v>42.110199999999999</v>
      </c>
      <c r="AA161" s="26"/>
      <c r="AB161" s="27"/>
      <c r="AC161" s="27"/>
      <c r="AE161" s="19" t="str">
        <f t="shared" si="27"/>
        <v>·</v>
      </c>
      <c r="AF161" s="20">
        <f t="shared" si="28"/>
        <v>31.614404657236832</v>
      </c>
      <c r="AG161" s="20">
        <f t="shared" si="29"/>
        <v>27.063079412694506</v>
      </c>
      <c r="AH161" s="20">
        <f t="shared" si="30"/>
        <v>4.5511204886467453</v>
      </c>
      <c r="AI161" s="21"/>
      <c r="AJ161" s="20">
        <f t="shared" si="31"/>
        <v>31.614404657236832</v>
      </c>
      <c r="AK161" s="22">
        <v>5001077</v>
      </c>
      <c r="AL161" s="23">
        <v>158106072</v>
      </c>
      <c r="AM161" s="23">
        <v>135344544</v>
      </c>
      <c r="AN161" s="23">
        <v>22760504</v>
      </c>
      <c r="AO161" s="24"/>
      <c r="AP161" s="25">
        <v>48.279000000000003</v>
      </c>
      <c r="AQ161" s="25">
        <v>51.302799999999998</v>
      </c>
      <c r="AR161" s="25">
        <v>51.025500000000001</v>
      </c>
      <c r="AS161" s="26"/>
      <c r="AT161" s="25">
        <v>42.110199999999999</v>
      </c>
      <c r="AU161" s="25">
        <v>42.110199999999999</v>
      </c>
      <c r="AV161" s="25">
        <v>42.110199999999999</v>
      </c>
      <c r="AW161" s="26"/>
      <c r="AX161" s="27">
        <v>37.174999999999997</v>
      </c>
      <c r="AY161" s="27">
        <v>33.633000000000003</v>
      </c>
      <c r="BA161" s="28">
        <f t="shared" si="32"/>
        <v>5.5623009730976225E-4</v>
      </c>
      <c r="BB161" s="28"/>
      <c r="BD161" s="29"/>
      <c r="BE161" s="29"/>
      <c r="BF161" s="29"/>
      <c r="BG161" s="30"/>
      <c r="BI161" s="29"/>
      <c r="BJ161" s="29"/>
      <c r="BK161" s="29"/>
      <c r="BL161" s="30"/>
      <c r="BN161" s="29"/>
      <c r="BO161" s="29"/>
      <c r="BP161" s="29"/>
      <c r="BQ161" s="30"/>
      <c r="BS161" s="29"/>
      <c r="BT161" s="29"/>
      <c r="BU161" s="29"/>
      <c r="BV161" s="30"/>
    </row>
    <row r="162" spans="1:74" outlineLevel="1" x14ac:dyDescent="0.15">
      <c r="A162" s="31"/>
      <c r="B162" s="31" t="s">
        <v>324</v>
      </c>
      <c r="C162" s="32" t="s">
        <v>227</v>
      </c>
      <c r="D162" s="31">
        <v>5001077</v>
      </c>
      <c r="E162" s="33">
        <v>20</v>
      </c>
      <c r="F162" s="32">
        <v>1</v>
      </c>
      <c r="G162" s="32"/>
      <c r="I162" s="34" t="str">
        <f t="shared" si="22"/>
        <v>·</v>
      </c>
      <c r="J162" s="35">
        <f t="shared" si="23"/>
        <v>29.518510512835537</v>
      </c>
      <c r="K162" s="35">
        <f t="shared" si="24"/>
        <v>27.063079412694506</v>
      </c>
      <c r="L162" s="35">
        <f t="shared" si="25"/>
        <v>2.4552263442454496</v>
      </c>
      <c r="M162" s="36"/>
      <c r="N162" s="35">
        <f t="shared" si="26"/>
        <v>29.518510512835537</v>
      </c>
      <c r="O162" s="37">
        <v>5001077</v>
      </c>
      <c r="P162" s="38">
        <v>147624344</v>
      </c>
      <c r="Q162" s="38">
        <v>135344544</v>
      </c>
      <c r="R162" s="38">
        <v>12278776</v>
      </c>
      <c r="S162" s="39"/>
      <c r="T162" s="40">
        <v>41.316200000000002</v>
      </c>
      <c r="U162" s="40">
        <v>46.054099999999998</v>
      </c>
      <c r="V162" s="40">
        <v>46.060299999999998</v>
      </c>
      <c r="W162" s="41"/>
      <c r="X162" s="40">
        <v>34.151400000000002</v>
      </c>
      <c r="Y162" s="40">
        <v>34.151400000000002</v>
      </c>
      <c r="Z162" s="40">
        <v>34.151400000000002</v>
      </c>
      <c r="AA162" s="41"/>
      <c r="AB162" s="42"/>
      <c r="AC162" s="42"/>
      <c r="AE162" s="34" t="str">
        <f t="shared" si="27"/>
        <v>·</v>
      </c>
      <c r="AF162" s="35">
        <f t="shared" si="28"/>
        <v>29.497265489013667</v>
      </c>
      <c r="AG162" s="35">
        <f t="shared" si="29"/>
        <v>27.063079412694506</v>
      </c>
      <c r="AH162" s="35">
        <f t="shared" si="30"/>
        <v>2.4339813204235807</v>
      </c>
      <c r="AI162" s="36"/>
      <c r="AJ162" s="35">
        <f t="shared" si="31"/>
        <v>29.497265489013667</v>
      </c>
      <c r="AK162" s="37">
        <v>5001077</v>
      </c>
      <c r="AL162" s="38">
        <v>147518096</v>
      </c>
      <c r="AM162" s="38">
        <v>135344544</v>
      </c>
      <c r="AN162" s="38">
        <v>12172528</v>
      </c>
      <c r="AO162" s="39"/>
      <c r="AP162" s="40">
        <v>41.311700000000002</v>
      </c>
      <c r="AQ162" s="40">
        <v>46.113100000000003</v>
      </c>
      <c r="AR162" s="40">
        <v>46.084400000000002</v>
      </c>
      <c r="AS162" s="41"/>
      <c r="AT162" s="40">
        <v>34.151400000000002</v>
      </c>
      <c r="AU162" s="40">
        <v>34.151400000000002</v>
      </c>
      <c r="AV162" s="40">
        <v>34.151400000000002</v>
      </c>
      <c r="AW162" s="41"/>
      <c r="AX162" s="42">
        <v>38.921999999999997</v>
      </c>
      <c r="AY162" s="42">
        <v>33.93</v>
      </c>
      <c r="BA162" s="43">
        <f t="shared" si="32"/>
        <v>6.6032575682739569E-4</v>
      </c>
      <c r="BB162" s="43"/>
      <c r="BD162" s="44"/>
      <c r="BE162" s="44"/>
      <c r="BF162" s="44"/>
      <c r="BG162" s="45"/>
      <c r="BI162" s="44"/>
      <c r="BJ162" s="44"/>
      <c r="BK162" s="44"/>
      <c r="BL162" s="45"/>
      <c r="BN162" s="44"/>
      <c r="BO162" s="44"/>
      <c r="BP162" s="44"/>
      <c r="BQ162" s="45"/>
      <c r="BS162" s="44"/>
      <c r="BT162" s="44"/>
      <c r="BU162" s="44"/>
      <c r="BV162" s="45"/>
    </row>
    <row r="163" spans="1:74" outlineLevel="1" x14ac:dyDescent="0.15">
      <c r="A163" s="16"/>
      <c r="B163" s="16" t="s">
        <v>324</v>
      </c>
      <c r="C163" s="17" t="s">
        <v>228</v>
      </c>
      <c r="D163" s="16">
        <v>5001077</v>
      </c>
      <c r="E163" s="18">
        <v>20</v>
      </c>
      <c r="F163" s="17">
        <v>1</v>
      </c>
      <c r="G163" s="17"/>
      <c r="I163" s="19" t="str">
        <f t="shared" si="22"/>
        <v>·</v>
      </c>
      <c r="J163" s="20">
        <f t="shared" si="23"/>
        <v>28.389748848098119</v>
      </c>
      <c r="K163" s="20">
        <f t="shared" si="24"/>
        <v>27.063079412694506</v>
      </c>
      <c r="L163" s="20">
        <f t="shared" si="25"/>
        <v>1.3264646795080339</v>
      </c>
      <c r="M163" s="21"/>
      <c r="N163" s="20">
        <f t="shared" si="26"/>
        <v>28.389748848098119</v>
      </c>
      <c r="O163" s="22">
        <v>5001077</v>
      </c>
      <c r="P163" s="23">
        <v>141979320</v>
      </c>
      <c r="Q163" s="23">
        <v>135344544</v>
      </c>
      <c r="R163" s="23">
        <v>6633752</v>
      </c>
      <c r="S163" s="24"/>
      <c r="T163" s="25">
        <v>35.917099999999998</v>
      </c>
      <c r="U163" s="25">
        <v>41.592300000000002</v>
      </c>
      <c r="V163" s="25">
        <v>41.721499999999999</v>
      </c>
      <c r="W163" s="26"/>
      <c r="X163" s="25">
        <v>28.130800000000001</v>
      </c>
      <c r="Y163" s="25">
        <v>28.130800000000001</v>
      </c>
      <c r="Z163" s="25">
        <v>28.130800000000001</v>
      </c>
      <c r="AA163" s="26"/>
      <c r="AB163" s="27"/>
      <c r="AC163" s="27"/>
      <c r="AE163" s="19" t="str">
        <f t="shared" si="27"/>
        <v>·</v>
      </c>
      <c r="AF163" s="20">
        <f t="shared" si="28"/>
        <v>28.372997256390974</v>
      </c>
      <c r="AG163" s="20">
        <f t="shared" si="29"/>
        <v>27.063079412694506</v>
      </c>
      <c r="AH163" s="20">
        <f t="shared" si="30"/>
        <v>1.3097130878008878</v>
      </c>
      <c r="AI163" s="21"/>
      <c r="AJ163" s="20">
        <f t="shared" si="31"/>
        <v>28.372997256390974</v>
      </c>
      <c r="AK163" s="22">
        <v>5001077</v>
      </c>
      <c r="AL163" s="23">
        <v>141895544</v>
      </c>
      <c r="AM163" s="23">
        <v>135344544</v>
      </c>
      <c r="AN163" s="23">
        <v>6549976</v>
      </c>
      <c r="AO163" s="24"/>
      <c r="AP163" s="25">
        <v>35.869700000000002</v>
      </c>
      <c r="AQ163" s="25">
        <v>41.609699999999997</v>
      </c>
      <c r="AR163" s="25">
        <v>41.843600000000002</v>
      </c>
      <c r="AS163" s="26"/>
      <c r="AT163" s="25">
        <v>28.130800000000001</v>
      </c>
      <c r="AU163" s="25">
        <v>28.130800000000001</v>
      </c>
      <c r="AV163" s="25">
        <v>28.130800000000001</v>
      </c>
      <c r="AW163" s="26"/>
      <c r="AX163" s="27">
        <v>37.143000000000001</v>
      </c>
      <c r="AY163" s="27">
        <v>34.085999999999999</v>
      </c>
      <c r="BA163" s="28">
        <f t="shared" si="32"/>
        <v>5.6281611572783774E-4</v>
      </c>
      <c r="BB163" s="28"/>
      <c r="BD163" s="29"/>
      <c r="BE163" s="29"/>
      <c r="BF163" s="29"/>
      <c r="BG163" s="30"/>
      <c r="BI163" s="29"/>
      <c r="BJ163" s="29"/>
      <c r="BK163" s="29"/>
      <c r="BL163" s="30"/>
      <c r="BN163" s="29"/>
      <c r="BO163" s="29"/>
      <c r="BP163" s="29"/>
      <c r="BQ163" s="30"/>
      <c r="BS163" s="29"/>
      <c r="BT163" s="29"/>
      <c r="BU163" s="29"/>
      <c r="BV163" s="30"/>
    </row>
    <row r="164" spans="1:74" outlineLevel="1" x14ac:dyDescent="0.15">
      <c r="A164" s="31"/>
      <c r="B164" s="46" t="s">
        <v>324</v>
      </c>
      <c r="C164" s="47" t="s">
        <v>229</v>
      </c>
      <c r="D164" s="46">
        <v>5001077</v>
      </c>
      <c r="E164" s="48">
        <v>20</v>
      </c>
      <c r="F164" s="47">
        <v>1</v>
      </c>
      <c r="G164" s="47"/>
      <c r="I164" s="49" t="str">
        <f t="shared" si="22"/>
        <v>·</v>
      </c>
      <c r="J164" s="50">
        <f t="shared" si="23"/>
        <v>27.633386968446995</v>
      </c>
      <c r="K164" s="50">
        <f t="shared" si="24"/>
        <v>27.063079412694506</v>
      </c>
      <c r="L164" s="50">
        <f t="shared" si="25"/>
        <v>0.57010279985691081</v>
      </c>
      <c r="M164" s="51"/>
      <c r="N164" s="50">
        <f t="shared" si="26"/>
        <v>27.633386968446995</v>
      </c>
      <c r="O164" s="52">
        <v>5001077</v>
      </c>
      <c r="P164" s="53">
        <v>138196696</v>
      </c>
      <c r="Q164" s="53">
        <v>135344544</v>
      </c>
      <c r="R164" s="53">
        <v>2851128</v>
      </c>
      <c r="S164" s="54"/>
      <c r="T164" s="55">
        <v>30.004300000000001</v>
      </c>
      <c r="U164" s="55">
        <v>36.462299999999999</v>
      </c>
      <c r="V164" s="55">
        <v>36.731699999999996</v>
      </c>
      <c r="W164" s="56"/>
      <c r="X164" s="55">
        <v>21.686399999999999</v>
      </c>
      <c r="Y164" s="55">
        <v>21.686399999999999</v>
      </c>
      <c r="Z164" s="55">
        <v>21.686399999999999</v>
      </c>
      <c r="AA164" s="56"/>
      <c r="AB164" s="57"/>
      <c r="AC164" s="57"/>
      <c r="AE164" s="49" t="str">
        <f t="shared" si="27"/>
        <v>·</v>
      </c>
      <c r="AF164" s="50">
        <f t="shared" si="28"/>
        <v>27.617708745536213</v>
      </c>
      <c r="AG164" s="50">
        <f t="shared" si="29"/>
        <v>27.063079412694506</v>
      </c>
      <c r="AH164" s="50">
        <f t="shared" si="30"/>
        <v>0.55442457694612579</v>
      </c>
      <c r="AI164" s="51"/>
      <c r="AJ164" s="50">
        <f t="shared" si="31"/>
        <v>27.617708745536213</v>
      </c>
      <c r="AK164" s="52">
        <v>5001077</v>
      </c>
      <c r="AL164" s="53">
        <v>138118288</v>
      </c>
      <c r="AM164" s="53">
        <v>135344544</v>
      </c>
      <c r="AN164" s="53">
        <v>2772720</v>
      </c>
      <c r="AO164" s="54"/>
      <c r="AP164" s="55">
        <v>30.0227</v>
      </c>
      <c r="AQ164" s="55">
        <v>36.531199999999998</v>
      </c>
      <c r="AR164" s="55">
        <v>36.723100000000002</v>
      </c>
      <c r="AS164" s="56"/>
      <c r="AT164" s="55">
        <v>21.686399999999999</v>
      </c>
      <c r="AU164" s="55">
        <v>21.686399999999999</v>
      </c>
      <c r="AV164" s="55">
        <v>21.686399999999999</v>
      </c>
      <c r="AW164" s="56"/>
      <c r="AX164" s="57">
        <v>36.597000000000001</v>
      </c>
      <c r="AY164" s="57">
        <v>32.619</v>
      </c>
      <c r="BA164" s="58">
        <f t="shared" si="32"/>
        <v>5.5597118412653579E-4</v>
      </c>
      <c r="BB164" s="58"/>
      <c r="BD164" s="59"/>
      <c r="BE164" s="59"/>
      <c r="BF164" s="59"/>
      <c r="BG164" s="60"/>
      <c r="BI164" s="59"/>
      <c r="BJ164" s="59"/>
      <c r="BK164" s="59"/>
      <c r="BL164" s="60"/>
      <c r="BN164" s="59"/>
      <c r="BO164" s="59"/>
      <c r="BP164" s="59"/>
      <c r="BQ164" s="60"/>
      <c r="BS164" s="59"/>
      <c r="BT164" s="59"/>
      <c r="BU164" s="59"/>
      <c r="BV164" s="60"/>
    </row>
    <row r="165" spans="1:74" x14ac:dyDescent="0.15">
      <c r="A165" s="16"/>
      <c r="B165" s="16" t="s">
        <v>327</v>
      </c>
      <c r="C165" s="17" t="s">
        <v>225</v>
      </c>
      <c r="D165" s="16">
        <v>71948094</v>
      </c>
      <c r="E165" s="18">
        <v>14</v>
      </c>
      <c r="F165" s="17">
        <v>1</v>
      </c>
      <c r="G165" s="17"/>
      <c r="I165" s="19" t="str">
        <f t="shared" si="22"/>
        <v>·</v>
      </c>
      <c r="J165" s="20">
        <f t="shared" si="23"/>
        <v>11.781375612257358</v>
      </c>
      <c r="K165" s="20">
        <f t="shared" si="24"/>
        <v>4.0031617237838155</v>
      </c>
      <c r="L165" s="20">
        <f t="shared" si="25"/>
        <v>7.7781142610949496</v>
      </c>
      <c r="M165" s="21"/>
      <c r="N165" s="20">
        <f t="shared" si="26"/>
        <v>11.781375612257358</v>
      </c>
      <c r="O165" s="22">
        <v>71948094</v>
      </c>
      <c r="P165" s="23">
        <v>847647520</v>
      </c>
      <c r="Q165" s="23">
        <v>288019856</v>
      </c>
      <c r="R165" s="23">
        <v>559620496</v>
      </c>
      <c r="S165" s="24"/>
      <c r="T165" s="25">
        <v>52.878</v>
      </c>
      <c r="U165" s="25">
        <v>55.7851</v>
      </c>
      <c r="V165" s="25">
        <v>55.891599999999997</v>
      </c>
      <c r="W165" s="26"/>
      <c r="X165" s="25">
        <v>48.130800000000001</v>
      </c>
      <c r="Y165" s="25">
        <v>48.130800000000001</v>
      </c>
      <c r="Z165" s="25">
        <v>48.130800000000001</v>
      </c>
      <c r="AA165" s="26"/>
      <c r="AB165" s="27"/>
      <c r="AC165" s="27"/>
      <c r="AE165" s="19" t="str">
        <f t="shared" si="27"/>
        <v>·</v>
      </c>
      <c r="AF165" s="20">
        <f t="shared" si="28"/>
        <v>11.673447582919987</v>
      </c>
      <c r="AG165" s="20">
        <f t="shared" si="29"/>
        <v>4.0031617237838155</v>
      </c>
      <c r="AH165" s="20">
        <f t="shared" si="30"/>
        <v>7.6701862317575777</v>
      </c>
      <c r="AI165" s="21"/>
      <c r="AJ165" s="20">
        <f t="shared" si="31"/>
        <v>11.673447582919987</v>
      </c>
      <c r="AK165" s="22">
        <v>71948094</v>
      </c>
      <c r="AL165" s="23">
        <v>839882304</v>
      </c>
      <c r="AM165" s="23">
        <v>288019856</v>
      </c>
      <c r="AN165" s="23">
        <v>551855280</v>
      </c>
      <c r="AO165" s="24"/>
      <c r="AP165" s="25">
        <v>52.868200000000002</v>
      </c>
      <c r="AQ165" s="25">
        <v>55.798900000000003</v>
      </c>
      <c r="AR165" s="25">
        <v>55.914000000000001</v>
      </c>
      <c r="AS165" s="26"/>
      <c r="AT165" s="25">
        <v>48.130800000000001</v>
      </c>
      <c r="AU165" s="25">
        <v>48.130800000000001</v>
      </c>
      <c r="AV165" s="25">
        <v>48.130800000000001</v>
      </c>
      <c r="AW165" s="26"/>
      <c r="AX165" s="27">
        <v>241.56700000000001</v>
      </c>
      <c r="AY165" s="27">
        <v>194.97</v>
      </c>
      <c r="BA165" s="28">
        <f t="shared" si="32"/>
        <v>3.1415374623861569E-3</v>
      </c>
      <c r="BB165" s="28">
        <f t="array" ref="BB165">AVERAGE(AM165:AM169/AL165:AL169) - AVERAGE(Q165:Q169/P165:P169)</f>
        <v>5.6555558285337204E-3</v>
      </c>
      <c r="BD165" s="29">
        <f>IF( OR(ISBLANK(R165:R169),ISBLANK(AN165:AN169), ISBLANK(T165:T169),ISBLANK(AP165:AP169)), "·", bdRateExtend( R165:R169,T165:T169, AN165:AN169,AP165:AP169))</f>
        <v>-2.5368248071833799E-2</v>
      </c>
      <c r="BE165" s="29">
        <f>IF( OR(ISBLANK(R165:R169),ISBLANK(AN165:AN169), ISBLANK(U165:U169),ISBLANK(AQ165:AQ169)), "·", bdRateExtend( R165:R169,U165:U169, AN165:AN169,AQ165:AQ169))</f>
        <v>-4.0031186981314248E-2</v>
      </c>
      <c r="BF165" s="29">
        <f>IF( OR(ISBLANK(R165:R169),ISBLANK(AN165:AN169), ISBLANK(V165:V169),ISBLANK(AR165:AR169)), "·", bdRateExtend( R165:R169,V165:V169, AN165:AN169,AR165:AR169))</f>
        <v>-4.1829789285399488E-2</v>
      </c>
      <c r="BG165" s="30"/>
      <c r="BI165" s="29">
        <f>IF( OR(ISBLANK(R165:R169),ISBLANK(AN165:AN169), ISBLANK(X165:X169),ISBLANK(AT165:AT169)), "·", bdRateExtend( R165:R169,X165:X169, AN165:AN169,AT165:AT169))</f>
        <v>-2.6214306217531402E-2</v>
      </c>
      <c r="BJ165" s="29">
        <f>IF( OR(ISBLANK(R165:R169),ISBLANK(AN165:AN169), ISBLANK(Y165:Y169),ISBLANK(AU165:AU169)), "·", bdRateExtend( R165:R169,Y165:Y169, AN165:AN169,AU165:AU169))</f>
        <v>-2.6214306217531402E-2</v>
      </c>
      <c r="BK165" s="29">
        <f>IF( OR(ISBLANK(R165:R169),ISBLANK(AN165:AN169), ISBLANK(Z165:Z169),ISBLANK(AV165:AV169)), "·", bdRateExtend( R165:R169,Z165:Z169, AN165:AN169,AV165:AV169))</f>
        <v>-2.6214306217531402E-2</v>
      </c>
      <c r="BL165" s="30"/>
      <c r="BN165" s="29">
        <f>IF( OR(ISBLANK(P165:P169),ISBLANK(AL165:AL169), ISBLANK(T165:T169),ISBLANK(AP165:AP169)), "·", bdRateExtend( P165:P169,T165:T169, AL165:AL169,AP165:AP169))</f>
        <v>-1.0167840341212542E-2</v>
      </c>
      <c r="BO165" s="29">
        <f>IF( OR(ISBLANK(P165:P169),ISBLANK(AL165:AL169), ISBLANK(U165:U169),ISBLANK(AQ165:AQ169)), "·", bdRateExtend( P165:P169,U165:U169, AL165:AL169,AQ165:AQ169))</f>
        <v>-1.5893939817898661E-2</v>
      </c>
      <c r="BP165" s="29">
        <f>IF( OR(ISBLANK(P165:P169),ISBLANK(AL165:AL169), ISBLANK(V165:V169),ISBLANK(AR165:AR169)), "·", bdRateExtend( P165:P169,V165:V169, AL165:AL169,AR165:AR169))</f>
        <v>-1.6531950680261254E-2</v>
      </c>
      <c r="BQ165" s="30"/>
      <c r="BS165" s="29">
        <f>IF( OR(ISBLANK(P165:P169),ISBLANK(AL165:AL169), ISBLANK(X165:X169),ISBLANK(AT165:AT169)), "·", bdRateExtend( P165:P169,X165:X169, AL165:AL169,AT165:AT169))</f>
        <v>-1.0784986058690271E-2</v>
      </c>
      <c r="BT165" s="29">
        <f>IF( OR(ISBLANK(P165:P169),ISBLANK(AL165:AL169), ISBLANK(Y165:Y169),ISBLANK(AU165:AU169)), "·", bdRateExtend( P165:P169,Y165:Y169, AL165:AL169,AU165:AU169))</f>
        <v>-1.0784986058690271E-2</v>
      </c>
      <c r="BU165" s="29">
        <f>IF( OR(ISBLANK(P165:P169),ISBLANK(AL165:AL169), ISBLANK(Z165:Z169),ISBLANK(AV165:AV169)), "·", bdRateExtend( P165:P169,Z165:Z169, AL165:AL169,AV165:AV169))</f>
        <v>-1.0784986058690271E-2</v>
      </c>
      <c r="BV165" s="30"/>
    </row>
    <row r="166" spans="1:74" outlineLevel="1" x14ac:dyDescent="0.15">
      <c r="A166" s="31"/>
      <c r="B166" s="31" t="s">
        <v>327</v>
      </c>
      <c r="C166" s="32" t="s">
        <v>226</v>
      </c>
      <c r="D166" s="31">
        <v>71948094</v>
      </c>
      <c r="E166" s="33">
        <v>14</v>
      </c>
      <c r="F166" s="32">
        <v>1</v>
      </c>
      <c r="G166" s="32"/>
      <c r="I166" s="34" t="str">
        <f t="shared" si="22"/>
        <v>·</v>
      </c>
      <c r="J166" s="35">
        <f t="shared" si="23"/>
        <v>9.6980477064479285</v>
      </c>
      <c r="K166" s="35">
        <f t="shared" si="24"/>
        <v>4.0031617237838155</v>
      </c>
      <c r="L166" s="35">
        <f t="shared" si="25"/>
        <v>5.6947863552855198</v>
      </c>
      <c r="M166" s="36"/>
      <c r="N166" s="35">
        <f t="shared" si="26"/>
        <v>9.6980477064479285</v>
      </c>
      <c r="O166" s="37">
        <v>71948094</v>
      </c>
      <c r="P166" s="38">
        <v>697756048</v>
      </c>
      <c r="Q166" s="38">
        <v>288019856</v>
      </c>
      <c r="R166" s="38">
        <v>409729024</v>
      </c>
      <c r="S166" s="39"/>
      <c r="T166" s="40">
        <v>48.107999999999997</v>
      </c>
      <c r="U166" s="40">
        <v>51.178600000000003</v>
      </c>
      <c r="V166" s="40">
        <v>51.0167</v>
      </c>
      <c r="W166" s="41"/>
      <c r="X166" s="40">
        <v>42.110199999999999</v>
      </c>
      <c r="Y166" s="40">
        <v>42.110199999999999</v>
      </c>
      <c r="Z166" s="40">
        <v>42.110199999999999</v>
      </c>
      <c r="AA166" s="41"/>
      <c r="AB166" s="42"/>
      <c r="AC166" s="42"/>
      <c r="AE166" s="34" t="str">
        <f t="shared" si="27"/>
        <v>·</v>
      </c>
      <c r="AF166" s="35">
        <f t="shared" si="28"/>
        <v>9.5982606571898899</v>
      </c>
      <c r="AG166" s="35">
        <f t="shared" si="29"/>
        <v>4.0031617237838155</v>
      </c>
      <c r="AH166" s="35">
        <f t="shared" si="30"/>
        <v>5.5949993060274812</v>
      </c>
      <c r="AI166" s="36"/>
      <c r="AJ166" s="35">
        <f t="shared" si="31"/>
        <v>9.5982606571898899</v>
      </c>
      <c r="AK166" s="37">
        <v>71948094</v>
      </c>
      <c r="AL166" s="38">
        <v>690576560</v>
      </c>
      <c r="AM166" s="38">
        <v>288019856</v>
      </c>
      <c r="AN166" s="38">
        <v>402549536</v>
      </c>
      <c r="AO166" s="39"/>
      <c r="AP166" s="40">
        <v>48.075899999999997</v>
      </c>
      <c r="AQ166" s="40">
        <v>51.238100000000003</v>
      </c>
      <c r="AR166" s="40">
        <v>51.089100000000002</v>
      </c>
      <c r="AS166" s="41"/>
      <c r="AT166" s="40">
        <v>42.110199999999999</v>
      </c>
      <c r="AU166" s="40">
        <v>42.110199999999999</v>
      </c>
      <c r="AV166" s="40">
        <v>42.110199999999999</v>
      </c>
      <c r="AW166" s="41"/>
      <c r="AX166" s="42">
        <v>260.053</v>
      </c>
      <c r="AY166" s="42">
        <v>188.215</v>
      </c>
      <c r="BA166" s="43">
        <f t="shared" si="32"/>
        <v>4.291414459308196E-3</v>
      </c>
      <c r="BB166" s="43"/>
      <c r="BD166" s="44"/>
      <c r="BE166" s="44"/>
      <c r="BF166" s="44"/>
      <c r="BG166" s="45"/>
      <c r="BI166" s="44"/>
      <c r="BJ166" s="44"/>
      <c r="BK166" s="44"/>
      <c r="BL166" s="45"/>
      <c r="BN166" s="44"/>
      <c r="BO166" s="44"/>
      <c r="BP166" s="44"/>
      <c r="BQ166" s="45"/>
      <c r="BS166" s="44"/>
      <c r="BT166" s="44"/>
      <c r="BU166" s="44"/>
      <c r="BV166" s="45"/>
    </row>
    <row r="167" spans="1:74" outlineLevel="1" x14ac:dyDescent="0.15">
      <c r="A167" s="16"/>
      <c r="B167" s="16" t="s">
        <v>327</v>
      </c>
      <c r="C167" s="17" t="s">
        <v>227</v>
      </c>
      <c r="D167" s="16">
        <v>71948094</v>
      </c>
      <c r="E167" s="18">
        <v>14</v>
      </c>
      <c r="F167" s="17">
        <v>1</v>
      </c>
      <c r="G167" s="17"/>
      <c r="I167" s="19" t="str">
        <f t="shared" si="22"/>
        <v>·</v>
      </c>
      <c r="J167" s="20">
        <f t="shared" si="23"/>
        <v>7.5390223401887475</v>
      </c>
      <c r="K167" s="20">
        <f t="shared" si="24"/>
        <v>4.0031617237838155</v>
      </c>
      <c r="L167" s="20">
        <f t="shared" si="25"/>
        <v>3.5357609890263388</v>
      </c>
      <c r="M167" s="21"/>
      <c r="N167" s="20">
        <f t="shared" si="26"/>
        <v>7.5390223401887475</v>
      </c>
      <c r="O167" s="22">
        <v>71948094</v>
      </c>
      <c r="P167" s="23">
        <v>542418288</v>
      </c>
      <c r="Q167" s="23">
        <v>288019856</v>
      </c>
      <c r="R167" s="23">
        <v>254391264</v>
      </c>
      <c r="S167" s="24"/>
      <c r="T167" s="25">
        <v>40.804400000000001</v>
      </c>
      <c r="U167" s="25">
        <v>45.7517</v>
      </c>
      <c r="V167" s="25">
        <v>45.670900000000003</v>
      </c>
      <c r="W167" s="26"/>
      <c r="X167" s="25">
        <v>34.151400000000002</v>
      </c>
      <c r="Y167" s="25">
        <v>34.151400000000002</v>
      </c>
      <c r="Z167" s="25">
        <v>34.151400000000002</v>
      </c>
      <c r="AA167" s="26"/>
      <c r="AB167" s="27"/>
      <c r="AC167" s="27"/>
      <c r="AE167" s="19" t="str">
        <f t="shared" si="27"/>
        <v>·</v>
      </c>
      <c r="AF167" s="20">
        <f t="shared" si="28"/>
        <v>7.4542900330340922</v>
      </c>
      <c r="AG167" s="20">
        <f t="shared" si="29"/>
        <v>4.0031617237838155</v>
      </c>
      <c r="AH167" s="20">
        <f t="shared" si="30"/>
        <v>3.451028681871684</v>
      </c>
      <c r="AI167" s="21"/>
      <c r="AJ167" s="20">
        <f t="shared" si="31"/>
        <v>7.4542900330340922</v>
      </c>
      <c r="AK167" s="22">
        <v>71948094</v>
      </c>
      <c r="AL167" s="23">
        <v>536321960</v>
      </c>
      <c r="AM167" s="23">
        <v>288019856</v>
      </c>
      <c r="AN167" s="23">
        <v>248294936</v>
      </c>
      <c r="AO167" s="24"/>
      <c r="AP167" s="25">
        <v>40.776800000000001</v>
      </c>
      <c r="AQ167" s="25">
        <v>45.863300000000002</v>
      </c>
      <c r="AR167" s="25">
        <v>45.806899999999999</v>
      </c>
      <c r="AS167" s="26"/>
      <c r="AT167" s="25">
        <v>34.151400000000002</v>
      </c>
      <c r="AU167" s="25">
        <v>34.151400000000002</v>
      </c>
      <c r="AV167" s="25">
        <v>34.151400000000002</v>
      </c>
      <c r="AW167" s="26"/>
      <c r="AX167" s="27">
        <v>245.46700000000001</v>
      </c>
      <c r="AY167" s="27">
        <v>181.101</v>
      </c>
      <c r="BA167" s="28">
        <f t="shared" si="32"/>
        <v>6.0357445482320804E-3</v>
      </c>
      <c r="BB167" s="28"/>
      <c r="BD167" s="29"/>
      <c r="BE167" s="29"/>
      <c r="BF167" s="29"/>
      <c r="BG167" s="30"/>
      <c r="BI167" s="29"/>
      <c r="BJ167" s="29"/>
      <c r="BK167" s="29"/>
      <c r="BL167" s="30"/>
      <c r="BN167" s="29"/>
      <c r="BO167" s="29"/>
      <c r="BP167" s="29"/>
      <c r="BQ167" s="30"/>
      <c r="BS167" s="29"/>
      <c r="BT167" s="29"/>
      <c r="BU167" s="29"/>
      <c r="BV167" s="30"/>
    </row>
    <row r="168" spans="1:74" outlineLevel="1" x14ac:dyDescent="0.15">
      <c r="A168" s="31"/>
      <c r="B168" s="31" t="s">
        <v>327</v>
      </c>
      <c r="C168" s="32" t="s">
        <v>228</v>
      </c>
      <c r="D168" s="31">
        <v>71948094</v>
      </c>
      <c r="E168" s="33">
        <v>14</v>
      </c>
      <c r="F168" s="32">
        <v>1</v>
      </c>
      <c r="G168" s="32"/>
      <c r="I168" s="34" t="str">
        <f t="shared" si="22"/>
        <v>·</v>
      </c>
      <c r="J168" s="35">
        <f t="shared" si="23"/>
        <v>6.125906601500799</v>
      </c>
      <c r="K168" s="35">
        <f t="shared" si="24"/>
        <v>4.0031617237838155</v>
      </c>
      <c r="L168" s="35">
        <f t="shared" si="25"/>
        <v>2.1226452503383899</v>
      </c>
      <c r="M168" s="36"/>
      <c r="N168" s="35">
        <f t="shared" si="26"/>
        <v>6.125906601500799</v>
      </c>
      <c r="O168" s="37">
        <v>71948094</v>
      </c>
      <c r="P168" s="38">
        <v>440747304</v>
      </c>
      <c r="Q168" s="38">
        <v>288019856</v>
      </c>
      <c r="R168" s="38">
        <v>152720280</v>
      </c>
      <c r="S168" s="39"/>
      <c r="T168" s="40">
        <v>35.196199999999997</v>
      </c>
      <c r="U168" s="40">
        <v>41.178899999999999</v>
      </c>
      <c r="V168" s="40">
        <v>40.906500000000001</v>
      </c>
      <c r="W168" s="41"/>
      <c r="X168" s="40">
        <v>28.130800000000001</v>
      </c>
      <c r="Y168" s="40">
        <v>28.130800000000001</v>
      </c>
      <c r="Z168" s="40">
        <v>28.130800000000001</v>
      </c>
      <c r="AA168" s="41"/>
      <c r="AB168" s="42"/>
      <c r="AC168" s="42"/>
      <c r="AE168" s="34" t="str">
        <f t="shared" si="27"/>
        <v>·</v>
      </c>
      <c r="AF168" s="35">
        <f t="shared" si="28"/>
        <v>6.0505464953665067</v>
      </c>
      <c r="AG168" s="35">
        <f t="shared" si="29"/>
        <v>4.0031617237838155</v>
      </c>
      <c r="AH168" s="35">
        <f t="shared" si="30"/>
        <v>2.047285144204098</v>
      </c>
      <c r="AI168" s="36"/>
      <c r="AJ168" s="35">
        <f t="shared" si="31"/>
        <v>6.0505464953665067</v>
      </c>
      <c r="AK168" s="37">
        <v>71948094</v>
      </c>
      <c r="AL168" s="38">
        <v>435325288</v>
      </c>
      <c r="AM168" s="38">
        <v>288019856</v>
      </c>
      <c r="AN168" s="38">
        <v>147298264</v>
      </c>
      <c r="AO168" s="39"/>
      <c r="AP168" s="40">
        <v>35.180300000000003</v>
      </c>
      <c r="AQ168" s="40">
        <v>41.363599999999998</v>
      </c>
      <c r="AR168" s="40">
        <v>41.093800000000002</v>
      </c>
      <c r="AS168" s="41"/>
      <c r="AT168" s="40">
        <v>28.130800000000001</v>
      </c>
      <c r="AU168" s="40">
        <v>28.130800000000001</v>
      </c>
      <c r="AV168" s="40">
        <v>28.130800000000001</v>
      </c>
      <c r="AW168" s="41"/>
      <c r="AX168" s="42">
        <v>247.60400000000001</v>
      </c>
      <c r="AY168" s="42">
        <v>189.60300000000001</v>
      </c>
      <c r="BA168" s="43">
        <f t="shared" si="32"/>
        <v>8.1391614492541953E-3</v>
      </c>
      <c r="BB168" s="43"/>
      <c r="BD168" s="44"/>
      <c r="BE168" s="44"/>
      <c r="BF168" s="44"/>
      <c r="BG168" s="45"/>
      <c r="BI168" s="44"/>
      <c r="BJ168" s="44"/>
      <c r="BK168" s="44"/>
      <c r="BL168" s="45"/>
      <c r="BN168" s="44"/>
      <c r="BO168" s="44"/>
      <c r="BP168" s="44"/>
      <c r="BQ168" s="45"/>
      <c r="BS168" s="44"/>
      <c r="BT168" s="44"/>
      <c r="BU168" s="44"/>
      <c r="BV168" s="45"/>
    </row>
    <row r="169" spans="1:74" outlineLevel="1" x14ac:dyDescent="0.15">
      <c r="A169" s="16"/>
      <c r="B169" s="65" t="s">
        <v>327</v>
      </c>
      <c r="C169" s="67" t="s">
        <v>229</v>
      </c>
      <c r="D169" s="65">
        <v>71948094</v>
      </c>
      <c r="E169" s="66">
        <v>14</v>
      </c>
      <c r="F169" s="67">
        <v>1</v>
      </c>
      <c r="G169" s="67"/>
      <c r="I169" s="69" t="str">
        <f t="shared" si="22"/>
        <v>·</v>
      </c>
      <c r="J169" s="70">
        <f t="shared" si="23"/>
        <v>4.913835132310802</v>
      </c>
      <c r="K169" s="70">
        <f t="shared" si="24"/>
        <v>4.0031617237838155</v>
      </c>
      <c r="L169" s="70">
        <f t="shared" si="25"/>
        <v>0.91057378114839294</v>
      </c>
      <c r="M169" s="75"/>
      <c r="N169" s="70">
        <f t="shared" si="26"/>
        <v>4.913835132310802</v>
      </c>
      <c r="O169" s="71">
        <v>71948094</v>
      </c>
      <c r="P169" s="72">
        <v>353541072</v>
      </c>
      <c r="Q169" s="72">
        <v>288019856</v>
      </c>
      <c r="R169" s="72">
        <v>65514048</v>
      </c>
      <c r="S169" s="76"/>
      <c r="T169" s="77">
        <v>29.486799999999999</v>
      </c>
      <c r="U169" s="77">
        <v>36.755400000000002</v>
      </c>
      <c r="V169" s="77">
        <v>36.318600000000004</v>
      </c>
      <c r="W169" s="78"/>
      <c r="X169" s="77">
        <v>21.686399999999999</v>
      </c>
      <c r="Y169" s="77">
        <v>21.686399999999999</v>
      </c>
      <c r="Z169" s="77">
        <v>21.686399999999999</v>
      </c>
      <c r="AA169" s="78"/>
      <c r="AB169" s="73"/>
      <c r="AC169" s="73"/>
      <c r="AE169" s="69" t="str">
        <f t="shared" si="27"/>
        <v>·</v>
      </c>
      <c r="AF169" s="70">
        <f t="shared" si="28"/>
        <v>4.8739310314460864</v>
      </c>
      <c r="AG169" s="70">
        <f t="shared" si="29"/>
        <v>4.0031617237838155</v>
      </c>
      <c r="AH169" s="70">
        <f t="shared" si="30"/>
        <v>0.87066968028367786</v>
      </c>
      <c r="AI169" s="75"/>
      <c r="AJ169" s="70">
        <f t="shared" si="31"/>
        <v>4.8739310314460864</v>
      </c>
      <c r="AK169" s="71">
        <v>71948094</v>
      </c>
      <c r="AL169" s="72">
        <v>350670048</v>
      </c>
      <c r="AM169" s="72">
        <v>288019856</v>
      </c>
      <c r="AN169" s="72">
        <v>62643024</v>
      </c>
      <c r="AO169" s="76"/>
      <c r="AP169" s="77">
        <v>29.526299999999999</v>
      </c>
      <c r="AQ169" s="77">
        <v>36.902500000000003</v>
      </c>
      <c r="AR169" s="77">
        <v>36.533099999999997</v>
      </c>
      <c r="AS169" s="78"/>
      <c r="AT169" s="77">
        <v>21.686399999999999</v>
      </c>
      <c r="AU169" s="77">
        <v>21.686399999999999</v>
      </c>
      <c r="AV169" s="77">
        <v>21.686399999999999</v>
      </c>
      <c r="AW169" s="78"/>
      <c r="AX169" s="73">
        <v>234.84299999999999</v>
      </c>
      <c r="AY169" s="73">
        <v>191.49100000000001</v>
      </c>
      <c r="BA169" s="68">
        <f t="shared" si="32"/>
        <v>6.6699212234869742E-3</v>
      </c>
      <c r="BB169" s="68"/>
      <c r="BD169" s="74"/>
      <c r="BE169" s="74"/>
      <c r="BF169" s="74"/>
      <c r="BG169" s="79"/>
      <c r="BI169" s="74"/>
      <c r="BJ169" s="74"/>
      <c r="BK169" s="74"/>
      <c r="BL169" s="79"/>
      <c r="BN169" s="74"/>
      <c r="BO169" s="74"/>
      <c r="BP169" s="74"/>
      <c r="BQ169" s="79"/>
      <c r="BS169" s="74"/>
      <c r="BT169" s="74"/>
      <c r="BU169" s="74"/>
      <c r="BV169" s="79"/>
    </row>
    <row r="170" spans="1:74" x14ac:dyDescent="0.15">
      <c r="A170" s="31"/>
      <c r="B170" s="31" t="s">
        <v>330</v>
      </c>
      <c r="C170" s="32" t="s">
        <v>225</v>
      </c>
      <c r="D170" s="31">
        <v>72145549</v>
      </c>
      <c r="E170" s="33">
        <v>20</v>
      </c>
      <c r="F170" s="32">
        <v>1</v>
      </c>
      <c r="G170" s="32"/>
      <c r="I170" s="34" t="str">
        <f t="shared" si="22"/>
        <v>·</v>
      </c>
      <c r="J170" s="35">
        <f t="shared" si="23"/>
        <v>28.364155133118469</v>
      </c>
      <c r="K170" s="35">
        <f t="shared" si="24"/>
        <v>20.789421451349689</v>
      </c>
      <c r="L170" s="35">
        <f t="shared" si="25"/>
        <v>7.574634105286246</v>
      </c>
      <c r="M170" s="36"/>
      <c r="N170" s="35">
        <f t="shared" si="26"/>
        <v>28.364155133118469</v>
      </c>
      <c r="O170" s="37">
        <v>72145549</v>
      </c>
      <c r="P170" s="38">
        <v>2046347544</v>
      </c>
      <c r="Q170" s="38">
        <v>1499864224</v>
      </c>
      <c r="R170" s="38">
        <v>546476136</v>
      </c>
      <c r="S170" s="39"/>
      <c r="T170" s="40">
        <v>52.861400000000003</v>
      </c>
      <c r="U170" s="40">
        <v>55.816699999999997</v>
      </c>
      <c r="V170" s="40">
        <v>55.929000000000002</v>
      </c>
      <c r="W170" s="41"/>
      <c r="X170" s="40">
        <v>48.130800000000001</v>
      </c>
      <c r="Y170" s="40">
        <v>48.130800000000001</v>
      </c>
      <c r="Z170" s="40">
        <v>48.130800000000001</v>
      </c>
      <c r="AA170" s="41"/>
      <c r="AB170" s="42"/>
      <c r="AC170" s="42"/>
      <c r="AE170" s="34" t="str">
        <f t="shared" si="27"/>
        <v>·</v>
      </c>
      <c r="AF170" s="35">
        <f t="shared" si="28"/>
        <v>28.33931534709092</v>
      </c>
      <c r="AG170" s="35">
        <f t="shared" si="29"/>
        <v>20.789421451349689</v>
      </c>
      <c r="AH170" s="35">
        <f t="shared" si="30"/>
        <v>7.5497943192586972</v>
      </c>
      <c r="AI170" s="36"/>
      <c r="AJ170" s="35">
        <f t="shared" si="31"/>
        <v>28.33931534709092</v>
      </c>
      <c r="AK170" s="37">
        <v>72145549</v>
      </c>
      <c r="AL170" s="38">
        <v>2044555464</v>
      </c>
      <c r="AM170" s="38">
        <v>1499864224</v>
      </c>
      <c r="AN170" s="38">
        <v>544684056</v>
      </c>
      <c r="AO170" s="39"/>
      <c r="AP170" s="40">
        <v>52.859400000000001</v>
      </c>
      <c r="AQ170" s="40">
        <v>55.818899999999999</v>
      </c>
      <c r="AR170" s="40">
        <v>55.932499999999997</v>
      </c>
      <c r="AS170" s="41"/>
      <c r="AT170" s="40">
        <v>48.130800000000001</v>
      </c>
      <c r="AU170" s="40">
        <v>48.130800000000001</v>
      </c>
      <c r="AV170" s="40">
        <v>48.130800000000001</v>
      </c>
      <c r="AW170" s="41"/>
      <c r="AX170" s="42">
        <v>456.56799999999998</v>
      </c>
      <c r="AY170" s="42">
        <v>412.45100000000002</v>
      </c>
      <c r="BA170" s="43">
        <f t="shared" si="32"/>
        <v>6.424377436418105E-4</v>
      </c>
      <c r="BB170" s="43">
        <f t="array" ref="BB170">AVERAGE(AM170:AM174/AL170:AL174) - AVERAGE(Q170:Q174/P170:P174)</f>
        <v>6.8773875928318517E-4</v>
      </c>
      <c r="BD170" s="44">
        <f>IF( OR(ISBLANK(R170:R174),ISBLANK(AN170:AN174), ISBLANK(T170:T174),ISBLANK(AP170:AP174)), "·", bdRateExtend( R170:R174,T170:T174, AN170:AN174,AP170:AP174))</f>
        <v>-6.7409309009016649E-3</v>
      </c>
      <c r="BE170" s="44">
        <f>IF( OR(ISBLANK(R170:R174),ISBLANK(AN170:AN174), ISBLANK(U170:U174),ISBLANK(AQ170:AQ174)), "·", bdRateExtend( R170:R174,U170:U174, AN170:AN174,AQ170:AQ174))</f>
        <v>-1.128837109115588E-2</v>
      </c>
      <c r="BF170" s="44">
        <f>IF( OR(ISBLANK(R170:R174),ISBLANK(AN170:AN174), ISBLANK(V170:V174),ISBLANK(AR170:AR174)), "·", bdRateExtend( R170:R174,V170:V174, AN170:AN174,AR170:AR174))</f>
        <v>-1.0389774625826464E-2</v>
      </c>
      <c r="BG170" s="45"/>
      <c r="BI170" s="44">
        <f>IF( OR(ISBLANK(R170:R174),ISBLANK(AN170:AN174), ISBLANK(X170:X174),ISBLANK(AT170:AT174)), "·", bdRateExtend( R170:R174,X170:X174, AN170:AN174,AT170:AT174))</f>
        <v>-7.1608668880801529E-3</v>
      </c>
      <c r="BJ170" s="44">
        <f>IF( OR(ISBLANK(R170:R174),ISBLANK(AN170:AN174), ISBLANK(Y170:Y174),ISBLANK(AU170:AU174)), "·", bdRateExtend( R170:R174,Y170:Y174, AN170:AN174,AU170:AU174))</f>
        <v>-7.1608668880801529E-3</v>
      </c>
      <c r="BK170" s="44">
        <f>IF( OR(ISBLANK(R170:R174),ISBLANK(AN170:AN174), ISBLANK(Z170:Z174),ISBLANK(AV170:AV174)), "·", bdRateExtend( R170:R174,Z170:Z174, AN170:AN174,AV170:AV174))</f>
        <v>-7.1608668880801529E-3</v>
      </c>
      <c r="BL170" s="45"/>
      <c r="BN170" s="44">
        <f>IF( OR(ISBLANK(P170:P174),ISBLANK(AL170:AL174), ISBLANK(T170:T174),ISBLANK(AP170:AP174)), "·", bdRateExtend( P170:P174,T170:T174, AL170:AL174,AP170:AP174))</f>
        <v>-7.6299826473258392E-4</v>
      </c>
      <c r="BO170" s="44">
        <f>IF( OR(ISBLANK(P170:P174),ISBLANK(AL170:AL174), ISBLANK(U170:U174),ISBLANK(AQ170:AQ174)), "·", bdRateExtend( P170:P174,U170:U174, AL170:AL174,AQ170:AQ174))</f>
        <v>-1.1933404390793712E-3</v>
      </c>
      <c r="BP170" s="44">
        <f>IF( OR(ISBLANK(P170:P174),ISBLANK(AL170:AL174), ISBLANK(V170:V174),ISBLANK(AR170:AR174)), "·", bdRateExtend( P170:P174,V170:V174, AL170:AL174,AR170:AR174))</f>
        <v>-1.1844029086381935E-3</v>
      </c>
      <c r="BQ170" s="45"/>
      <c r="BS170" s="44">
        <f>IF( OR(ISBLANK(P170:P174),ISBLANK(AL170:AL174), ISBLANK(X170:X174),ISBLANK(AT170:AT174)), "·", bdRateExtend( P170:P174,X170:X174, AL170:AL174,AT170:AT174))</f>
        <v>-8.1682985895059623E-4</v>
      </c>
      <c r="BT170" s="44">
        <f>IF( OR(ISBLANK(P170:P174),ISBLANK(AL170:AL174), ISBLANK(Y170:Y174),ISBLANK(AU170:AU174)), "·", bdRateExtend( P170:P174,Y170:Y174, AL170:AL174,AU170:AU174))</f>
        <v>-8.1682985895059623E-4</v>
      </c>
      <c r="BU170" s="44">
        <f>IF( OR(ISBLANK(P170:P174),ISBLANK(AL170:AL174), ISBLANK(Z170:Z174),ISBLANK(AV170:AV174)), "·", bdRateExtend( P170:P174,Z170:Z174, AL170:AL174,AV170:AV174))</f>
        <v>-8.1682985895059623E-4</v>
      </c>
      <c r="BV170" s="45"/>
    </row>
    <row r="171" spans="1:74" outlineLevel="1" x14ac:dyDescent="0.15">
      <c r="A171" s="16"/>
      <c r="B171" s="16" t="s">
        <v>330</v>
      </c>
      <c r="C171" s="17" t="s">
        <v>226</v>
      </c>
      <c r="D171" s="16">
        <v>72145549</v>
      </c>
      <c r="E171" s="18">
        <v>20</v>
      </c>
      <c r="F171" s="17">
        <v>1</v>
      </c>
      <c r="G171" s="17"/>
      <c r="I171" s="19" t="str">
        <f t="shared" si="22"/>
        <v>·</v>
      </c>
      <c r="J171" s="20">
        <f t="shared" si="23"/>
        <v>26.310262549946081</v>
      </c>
      <c r="K171" s="20">
        <f t="shared" si="24"/>
        <v>20.789421451349689</v>
      </c>
      <c r="L171" s="20">
        <f t="shared" si="25"/>
        <v>5.5207415221138589</v>
      </c>
      <c r="M171" s="21"/>
      <c r="N171" s="20">
        <f t="shared" si="26"/>
        <v>26.310262549946081</v>
      </c>
      <c r="O171" s="22">
        <v>72145549</v>
      </c>
      <c r="P171" s="23">
        <v>1898168336</v>
      </c>
      <c r="Q171" s="23">
        <v>1499864224</v>
      </c>
      <c r="R171" s="23">
        <v>398296928</v>
      </c>
      <c r="S171" s="24"/>
      <c r="T171" s="25">
        <v>48.061</v>
      </c>
      <c r="U171" s="25">
        <v>51.264499999999998</v>
      </c>
      <c r="V171" s="25">
        <v>51.117800000000003</v>
      </c>
      <c r="W171" s="26"/>
      <c r="X171" s="25">
        <v>42.110199999999999</v>
      </c>
      <c r="Y171" s="25">
        <v>42.110199999999999</v>
      </c>
      <c r="Z171" s="25">
        <v>42.110199999999999</v>
      </c>
      <c r="AA171" s="26"/>
      <c r="AB171" s="27"/>
      <c r="AC171" s="27"/>
      <c r="AE171" s="19" t="str">
        <f t="shared" si="27"/>
        <v>·</v>
      </c>
      <c r="AF171" s="20">
        <f t="shared" si="28"/>
        <v>26.28975145784808</v>
      </c>
      <c r="AG171" s="20">
        <f t="shared" si="29"/>
        <v>20.789421451349689</v>
      </c>
      <c r="AH171" s="20">
        <f t="shared" si="30"/>
        <v>5.500230430015856</v>
      </c>
      <c r="AI171" s="21"/>
      <c r="AJ171" s="20">
        <f t="shared" si="31"/>
        <v>26.28975145784808</v>
      </c>
      <c r="AK171" s="22">
        <v>72145549</v>
      </c>
      <c r="AL171" s="23">
        <v>1896688552</v>
      </c>
      <c r="AM171" s="23">
        <v>1499864224</v>
      </c>
      <c r="AN171" s="23">
        <v>396817144</v>
      </c>
      <c r="AO171" s="24"/>
      <c r="AP171" s="25">
        <v>48.0563</v>
      </c>
      <c r="AQ171" s="25">
        <v>51.273600000000002</v>
      </c>
      <c r="AR171" s="25">
        <v>51.130899999999997</v>
      </c>
      <c r="AS171" s="26"/>
      <c r="AT171" s="25">
        <v>42.110199999999999</v>
      </c>
      <c r="AU171" s="25">
        <v>42.110199999999999</v>
      </c>
      <c r="AV171" s="25">
        <v>42.110199999999999</v>
      </c>
      <c r="AW171" s="26"/>
      <c r="AX171" s="27">
        <v>455.71</v>
      </c>
      <c r="AY171" s="27">
        <v>417.11500000000001</v>
      </c>
      <c r="BA171" s="28">
        <f t="shared" si="32"/>
        <v>6.1648075839948469E-4</v>
      </c>
      <c r="BB171" s="28"/>
      <c r="BD171" s="29"/>
      <c r="BE171" s="29"/>
      <c r="BF171" s="29"/>
      <c r="BG171" s="30"/>
      <c r="BI171" s="29"/>
      <c r="BJ171" s="29"/>
      <c r="BK171" s="29"/>
      <c r="BL171" s="30"/>
      <c r="BN171" s="29"/>
      <c r="BO171" s="29"/>
      <c r="BP171" s="29"/>
      <c r="BQ171" s="30"/>
      <c r="BS171" s="29"/>
      <c r="BT171" s="29"/>
      <c r="BU171" s="29"/>
      <c r="BV171" s="30"/>
    </row>
    <row r="172" spans="1:74" outlineLevel="1" x14ac:dyDescent="0.15">
      <c r="A172" s="31"/>
      <c r="B172" s="31" t="s">
        <v>330</v>
      </c>
      <c r="C172" s="32" t="s">
        <v>227</v>
      </c>
      <c r="D172" s="31">
        <v>72145549</v>
      </c>
      <c r="E172" s="33">
        <v>20</v>
      </c>
      <c r="F172" s="32">
        <v>1</v>
      </c>
      <c r="G172" s="32"/>
      <c r="I172" s="34" t="str">
        <f t="shared" si="22"/>
        <v>·</v>
      </c>
      <c r="J172" s="35">
        <f t="shared" si="23"/>
        <v>24.189174580957172</v>
      </c>
      <c r="K172" s="35">
        <f t="shared" si="24"/>
        <v>20.789421451349689</v>
      </c>
      <c r="L172" s="35">
        <f t="shared" si="25"/>
        <v>3.3996535531249474</v>
      </c>
      <c r="M172" s="36"/>
      <c r="N172" s="35">
        <f t="shared" si="26"/>
        <v>24.189174580957172</v>
      </c>
      <c r="O172" s="37">
        <v>72145549</v>
      </c>
      <c r="P172" s="38">
        <v>1745141280</v>
      </c>
      <c r="Q172" s="38">
        <v>1499864224</v>
      </c>
      <c r="R172" s="38">
        <v>245269872</v>
      </c>
      <c r="S172" s="39"/>
      <c r="T172" s="40">
        <v>40.776600000000002</v>
      </c>
      <c r="U172" s="40">
        <v>45.889000000000003</v>
      </c>
      <c r="V172" s="40">
        <v>45.835500000000003</v>
      </c>
      <c r="W172" s="41"/>
      <c r="X172" s="40">
        <v>34.151400000000002</v>
      </c>
      <c r="Y172" s="40">
        <v>34.151400000000002</v>
      </c>
      <c r="Z172" s="40">
        <v>34.151400000000002</v>
      </c>
      <c r="AA172" s="41"/>
      <c r="AB172" s="42"/>
      <c r="AC172" s="42"/>
      <c r="AE172" s="34" t="str">
        <f t="shared" si="27"/>
        <v>·</v>
      </c>
      <c r="AF172" s="35">
        <f t="shared" si="28"/>
        <v>24.168280041780541</v>
      </c>
      <c r="AG172" s="35">
        <f t="shared" si="29"/>
        <v>20.789421451349689</v>
      </c>
      <c r="AH172" s="35">
        <f t="shared" si="30"/>
        <v>3.3787590139483172</v>
      </c>
      <c r="AI172" s="36"/>
      <c r="AJ172" s="35">
        <f t="shared" si="31"/>
        <v>24.168280041780541</v>
      </c>
      <c r="AK172" s="37">
        <v>72145549</v>
      </c>
      <c r="AL172" s="38">
        <v>1743633832</v>
      </c>
      <c r="AM172" s="38">
        <v>1499864224</v>
      </c>
      <c r="AN172" s="38">
        <v>243762424</v>
      </c>
      <c r="AO172" s="39"/>
      <c r="AP172" s="40">
        <v>40.770000000000003</v>
      </c>
      <c r="AQ172" s="40">
        <v>45.919699999999999</v>
      </c>
      <c r="AR172" s="40">
        <v>45.870800000000003</v>
      </c>
      <c r="AS172" s="41"/>
      <c r="AT172" s="40">
        <v>34.151400000000002</v>
      </c>
      <c r="AU172" s="40">
        <v>34.151400000000002</v>
      </c>
      <c r="AV172" s="40">
        <v>34.151400000000002</v>
      </c>
      <c r="AW172" s="41"/>
      <c r="AX172" s="42">
        <v>439.84399999999999</v>
      </c>
      <c r="AY172" s="42">
        <v>397.98899999999998</v>
      </c>
      <c r="BA172" s="43">
        <f t="shared" si="32"/>
        <v>7.4303352188198613E-4</v>
      </c>
      <c r="BB172" s="43"/>
      <c r="BD172" s="44"/>
      <c r="BE172" s="44"/>
      <c r="BF172" s="44"/>
      <c r="BG172" s="45"/>
      <c r="BI172" s="44"/>
      <c r="BJ172" s="44"/>
      <c r="BK172" s="44"/>
      <c r="BL172" s="45"/>
      <c r="BN172" s="44"/>
      <c r="BO172" s="44"/>
      <c r="BP172" s="44"/>
      <c r="BQ172" s="45"/>
      <c r="BS172" s="44"/>
      <c r="BT172" s="44"/>
      <c r="BU172" s="44"/>
      <c r="BV172" s="45"/>
    </row>
    <row r="173" spans="1:74" outlineLevel="1" x14ac:dyDescent="0.15">
      <c r="A173" s="16"/>
      <c r="B173" s="16" t="s">
        <v>330</v>
      </c>
      <c r="C173" s="17" t="s">
        <v>228</v>
      </c>
      <c r="D173" s="16">
        <v>72145549</v>
      </c>
      <c r="E173" s="18">
        <v>20</v>
      </c>
      <c r="F173" s="17">
        <v>1</v>
      </c>
      <c r="G173" s="17"/>
      <c r="I173" s="19" t="str">
        <f t="shared" si="22"/>
        <v>·</v>
      </c>
      <c r="J173" s="20">
        <f t="shared" si="23"/>
        <v>22.797537683163238</v>
      </c>
      <c r="K173" s="20">
        <f t="shared" si="24"/>
        <v>20.789421451349689</v>
      </c>
      <c r="L173" s="20">
        <f t="shared" si="25"/>
        <v>2.008016655331017</v>
      </c>
      <c r="M173" s="21"/>
      <c r="N173" s="20">
        <f t="shared" si="26"/>
        <v>22.797537683163238</v>
      </c>
      <c r="O173" s="22">
        <v>72145549</v>
      </c>
      <c r="P173" s="23">
        <v>1644740872</v>
      </c>
      <c r="Q173" s="23">
        <v>1499864224</v>
      </c>
      <c r="R173" s="23">
        <v>144869464</v>
      </c>
      <c r="S173" s="24"/>
      <c r="T173" s="25">
        <v>35.194400000000002</v>
      </c>
      <c r="U173" s="25">
        <v>41.395200000000003</v>
      </c>
      <c r="V173" s="25">
        <v>41.136000000000003</v>
      </c>
      <c r="W173" s="26"/>
      <c r="X173" s="25">
        <v>28.130800000000001</v>
      </c>
      <c r="Y173" s="25">
        <v>28.130800000000001</v>
      </c>
      <c r="Z173" s="25">
        <v>28.130800000000001</v>
      </c>
      <c r="AA173" s="26"/>
      <c r="AB173" s="27"/>
      <c r="AC173" s="27"/>
      <c r="AE173" s="19" t="str">
        <f t="shared" si="27"/>
        <v>·</v>
      </c>
      <c r="AF173" s="20">
        <f t="shared" si="28"/>
        <v>22.778463907731854</v>
      </c>
      <c r="AG173" s="20">
        <f t="shared" si="29"/>
        <v>20.789421451349689</v>
      </c>
      <c r="AH173" s="20">
        <f t="shared" si="30"/>
        <v>1.9889428798996318</v>
      </c>
      <c r="AI173" s="21"/>
      <c r="AJ173" s="20">
        <f t="shared" si="31"/>
        <v>22.778463907731854</v>
      </c>
      <c r="AK173" s="22">
        <v>72145549</v>
      </c>
      <c r="AL173" s="23">
        <v>1643364784</v>
      </c>
      <c r="AM173" s="23">
        <v>1499864224</v>
      </c>
      <c r="AN173" s="23">
        <v>143493376</v>
      </c>
      <c r="AO173" s="24"/>
      <c r="AP173" s="25">
        <v>35.192</v>
      </c>
      <c r="AQ173" s="25">
        <v>41.439</v>
      </c>
      <c r="AR173" s="25">
        <v>41.190100000000001</v>
      </c>
      <c r="AS173" s="26"/>
      <c r="AT173" s="25">
        <v>28.130800000000001</v>
      </c>
      <c r="AU173" s="25">
        <v>28.130800000000001</v>
      </c>
      <c r="AV173" s="25">
        <v>28.130800000000001</v>
      </c>
      <c r="AW173" s="26"/>
      <c r="AX173" s="27">
        <v>446.83300000000003</v>
      </c>
      <c r="AY173" s="27">
        <v>406.17899999999997</v>
      </c>
      <c r="BA173" s="28">
        <f t="shared" si="32"/>
        <v>7.6360135923514427E-4</v>
      </c>
      <c r="BB173" s="28"/>
      <c r="BD173" s="29"/>
      <c r="BE173" s="29"/>
      <c r="BF173" s="29"/>
      <c r="BG173" s="30"/>
      <c r="BI173" s="29"/>
      <c r="BJ173" s="29"/>
      <c r="BK173" s="29"/>
      <c r="BL173" s="30"/>
      <c r="BN173" s="29"/>
      <c r="BO173" s="29"/>
      <c r="BP173" s="29"/>
      <c r="BQ173" s="30"/>
      <c r="BS173" s="29"/>
      <c r="BT173" s="29"/>
      <c r="BU173" s="29"/>
      <c r="BV173" s="30"/>
    </row>
    <row r="174" spans="1:74" outlineLevel="1" x14ac:dyDescent="0.15">
      <c r="A174" s="31"/>
      <c r="B174" s="46" t="s">
        <v>330</v>
      </c>
      <c r="C174" s="47" t="s">
        <v>229</v>
      </c>
      <c r="D174" s="46">
        <v>72145549</v>
      </c>
      <c r="E174" s="48">
        <v>20</v>
      </c>
      <c r="F174" s="47">
        <v>1</v>
      </c>
      <c r="G174" s="47"/>
      <c r="I174" s="49" t="str">
        <f t="shared" si="22"/>
        <v>·</v>
      </c>
      <c r="J174" s="50">
        <f t="shared" si="23"/>
        <v>21.644767357720156</v>
      </c>
      <c r="K174" s="50">
        <f t="shared" si="24"/>
        <v>20.789421451349689</v>
      </c>
      <c r="L174" s="50">
        <f t="shared" si="25"/>
        <v>0.85524632988793248</v>
      </c>
      <c r="M174" s="51"/>
      <c r="N174" s="50">
        <f t="shared" si="26"/>
        <v>21.644767357720156</v>
      </c>
      <c r="O174" s="52">
        <v>72145549</v>
      </c>
      <c r="P174" s="53">
        <v>1561573624</v>
      </c>
      <c r="Q174" s="53">
        <v>1499864224</v>
      </c>
      <c r="R174" s="53">
        <v>61702216</v>
      </c>
      <c r="S174" s="54"/>
      <c r="T174" s="55">
        <v>29.510999999999999</v>
      </c>
      <c r="U174" s="55">
        <v>37.009399999999999</v>
      </c>
      <c r="V174" s="55">
        <v>36.590800000000002</v>
      </c>
      <c r="W174" s="56"/>
      <c r="X174" s="55">
        <v>21.686399999999999</v>
      </c>
      <c r="Y174" s="55">
        <v>21.686399999999999</v>
      </c>
      <c r="Z174" s="55">
        <v>21.686399999999999</v>
      </c>
      <c r="AA174" s="56"/>
      <c r="AB174" s="57"/>
      <c r="AC174" s="57"/>
      <c r="AE174" s="49" t="str">
        <f t="shared" si="27"/>
        <v>·</v>
      </c>
      <c r="AF174" s="50">
        <f t="shared" si="28"/>
        <v>21.629608557001902</v>
      </c>
      <c r="AG174" s="50">
        <f t="shared" si="29"/>
        <v>20.789421451349689</v>
      </c>
      <c r="AH174" s="50">
        <f t="shared" si="30"/>
        <v>0.84008752916967888</v>
      </c>
      <c r="AI174" s="51"/>
      <c r="AJ174" s="50">
        <f t="shared" si="31"/>
        <v>21.629608557001902</v>
      </c>
      <c r="AK174" s="52">
        <v>72145549</v>
      </c>
      <c r="AL174" s="53">
        <v>1560479984</v>
      </c>
      <c r="AM174" s="53">
        <v>1499864224</v>
      </c>
      <c r="AN174" s="53">
        <v>60608576</v>
      </c>
      <c r="AO174" s="54"/>
      <c r="AP174" s="55">
        <v>29.500699999999998</v>
      </c>
      <c r="AQ174" s="55">
        <v>37.081299999999999</v>
      </c>
      <c r="AR174" s="55">
        <v>36.589700000000001</v>
      </c>
      <c r="AS174" s="56"/>
      <c r="AT174" s="55">
        <v>21.686399999999999</v>
      </c>
      <c r="AU174" s="55">
        <v>21.686399999999999</v>
      </c>
      <c r="AV174" s="55">
        <v>21.686399999999999</v>
      </c>
      <c r="AW174" s="56"/>
      <c r="AX174" s="57">
        <v>434.4</v>
      </c>
      <c r="AY174" s="57">
        <v>394.01100000000002</v>
      </c>
      <c r="BA174" s="58">
        <f t="shared" si="32"/>
        <v>6.7314041325772234E-4</v>
      </c>
      <c r="BB174" s="58"/>
      <c r="BD174" s="59"/>
      <c r="BE174" s="59"/>
      <c r="BF174" s="59"/>
      <c r="BG174" s="60"/>
      <c r="BI174" s="59"/>
      <c r="BJ174" s="59"/>
      <c r="BK174" s="59"/>
      <c r="BL174" s="60"/>
      <c r="BN174" s="59"/>
      <c r="BO174" s="59"/>
      <c r="BP174" s="59"/>
      <c r="BQ174" s="60"/>
      <c r="BS174" s="59"/>
      <c r="BT174" s="59"/>
      <c r="BU174" s="59"/>
      <c r="BV174" s="60"/>
    </row>
    <row r="175" spans="1:74" x14ac:dyDescent="0.15">
      <c r="A175" s="16"/>
      <c r="B175" s="16" t="s">
        <v>333</v>
      </c>
      <c r="C175" s="17" t="s">
        <v>225</v>
      </c>
      <c r="D175" s="16">
        <v>4187594</v>
      </c>
      <c r="E175" s="18">
        <v>14</v>
      </c>
      <c r="F175" s="17">
        <v>1</v>
      </c>
      <c r="G175" s="17"/>
      <c r="I175" s="19" t="str">
        <f t="shared" si="22"/>
        <v>·</v>
      </c>
      <c r="J175" s="20">
        <f t="shared" si="23"/>
        <v>26.539526038102071</v>
      </c>
      <c r="K175" s="20">
        <f t="shared" si="24"/>
        <v>13.515159301498665</v>
      </c>
      <c r="L175" s="20">
        <f t="shared" si="25"/>
        <v>13.024145129637686</v>
      </c>
      <c r="M175" s="21"/>
      <c r="N175" s="20">
        <f t="shared" si="26"/>
        <v>26.539526038102071</v>
      </c>
      <c r="O175" s="22">
        <v>4187594</v>
      </c>
      <c r="P175" s="23">
        <v>111136760</v>
      </c>
      <c r="Q175" s="23">
        <v>56596000</v>
      </c>
      <c r="R175" s="23">
        <v>54539832</v>
      </c>
      <c r="S175" s="24"/>
      <c r="T175" s="25">
        <v>53.448500000000003</v>
      </c>
      <c r="U175" s="25">
        <v>55.1693</v>
      </c>
      <c r="V175" s="25">
        <v>54.661700000000003</v>
      </c>
      <c r="W175" s="26"/>
      <c r="X175" s="25">
        <v>48.130800000000001</v>
      </c>
      <c r="Y175" s="25">
        <v>48.130800000000001</v>
      </c>
      <c r="Z175" s="25">
        <v>48.130800000000001</v>
      </c>
      <c r="AA175" s="26"/>
      <c r="AB175" s="27"/>
      <c r="AC175" s="27"/>
      <c r="AE175" s="19" t="str">
        <f t="shared" si="27"/>
        <v>·</v>
      </c>
      <c r="AF175" s="20">
        <f t="shared" si="28"/>
        <v>26.551391562792382</v>
      </c>
      <c r="AG175" s="20">
        <f t="shared" si="29"/>
        <v>13.515159301498665</v>
      </c>
      <c r="AH175" s="20">
        <f t="shared" si="30"/>
        <v>13.036010654327999</v>
      </c>
      <c r="AI175" s="21"/>
      <c r="AJ175" s="20">
        <f t="shared" si="31"/>
        <v>26.551391562792382</v>
      </c>
      <c r="AK175" s="22">
        <v>4187594</v>
      </c>
      <c r="AL175" s="23">
        <v>111186448</v>
      </c>
      <c r="AM175" s="23">
        <v>56596000</v>
      </c>
      <c r="AN175" s="23">
        <v>54589520</v>
      </c>
      <c r="AO175" s="24"/>
      <c r="AP175" s="25">
        <v>53.459400000000002</v>
      </c>
      <c r="AQ175" s="25">
        <v>55.166899999999998</v>
      </c>
      <c r="AR175" s="25">
        <v>54.665500000000002</v>
      </c>
      <c r="AS175" s="26"/>
      <c r="AT175" s="25">
        <v>48.130800000000001</v>
      </c>
      <c r="AU175" s="25">
        <v>48.130800000000001</v>
      </c>
      <c r="AV175" s="25">
        <v>48.130800000000001</v>
      </c>
      <c r="AW175" s="26"/>
      <c r="AX175" s="27">
        <v>23.757999999999999</v>
      </c>
      <c r="AY175" s="27">
        <v>21.559000000000001</v>
      </c>
      <c r="BA175" s="28">
        <f t="shared" si="32"/>
        <v>-2.275766322394901E-4</v>
      </c>
      <c r="BB175" s="28">
        <f t="array" ref="BB175">AVERAGE(AM175:AM179/AL175:AL179) - AVERAGE(Q175:Q179/P175:P179)</f>
        <v>2.7159699336742893E-4</v>
      </c>
      <c r="BD175" s="29">
        <f>IF( OR(ISBLANK(R175:R179),ISBLANK(AN175:AN179), ISBLANK(T175:T179),ISBLANK(AP175:AP179)), "·", bdRateExtend( R175:R179,T175:T179, AN175:AN179,AP175:AP179))</f>
        <v>-1.2141695217078308E-3</v>
      </c>
      <c r="BE175" s="29">
        <f>IF( OR(ISBLANK(R175:R179),ISBLANK(AN175:AN179), ISBLANK(U175:U179),ISBLANK(AQ175:AQ179)), "·", bdRateExtend( R175:R179,U175:U179, AN175:AN179,AQ175:AQ179))</f>
        <v>-4.8378160128248471E-3</v>
      </c>
      <c r="BF175" s="29">
        <f>IF( OR(ISBLANK(R175:R179),ISBLANK(AN175:AN179), ISBLANK(V175:V179),ISBLANK(AR175:AR179)), "·", bdRateExtend( R175:R179,V175:V179, AN175:AN179,AR175:AR179))</f>
        <v>-3.6588204041737571E-3</v>
      </c>
      <c r="BG175" s="30"/>
      <c r="BI175" s="29">
        <f>IF( OR(ISBLANK(R175:R179),ISBLANK(AN175:AN179), ISBLANK(X175:X179),ISBLANK(AT175:AT179)), "·", bdRateExtend( R175:R179,X175:X179, AN175:AN179,AT175:AT179))</f>
        <v>-1.3139128175450043E-3</v>
      </c>
      <c r="BJ175" s="29">
        <f>IF( OR(ISBLANK(R175:R179),ISBLANK(AN175:AN179), ISBLANK(Y175:Y179),ISBLANK(AU175:AU179)), "·", bdRateExtend( R175:R179,Y175:Y179, AN175:AN179,AU175:AU179))</f>
        <v>-1.3139128175450043E-3</v>
      </c>
      <c r="BK175" s="29">
        <f>IF( OR(ISBLANK(R175:R179),ISBLANK(AN175:AN179), ISBLANK(Z175:Z179),ISBLANK(AV175:AV179)), "·", bdRateExtend( R175:R179,Z175:Z179, AN175:AN179,AV175:AV179))</f>
        <v>-1.3139128175450043E-3</v>
      </c>
      <c r="BL175" s="30"/>
      <c r="BN175" s="29">
        <f>IF( OR(ISBLANK(P175:P179),ISBLANK(AL175:AL179), ISBLANK(T175:T179),ISBLANK(AP175:AP179)), "·", bdRateExtend( P175:P179,T175:T179, AL175:AL179,AP175:AP179))</f>
        <v>-2.9964271435134471E-4</v>
      </c>
      <c r="BO175" s="29">
        <f>IF( OR(ISBLANK(P175:P179),ISBLANK(AL175:AL179), ISBLANK(U175:U179),ISBLANK(AQ175:AQ179)), "·", bdRateExtend( P175:P179,U175:U179, AL175:AL179,AQ175:AQ179))</f>
        <v>-1.2347616108722148E-3</v>
      </c>
      <c r="BP175" s="29">
        <f>IF( OR(ISBLANK(P175:P179),ISBLANK(AL175:AL179), ISBLANK(V175:V179),ISBLANK(AR175:AR179)), "·", bdRateExtend( P175:P179,V175:V179, AL175:AL179,AR175:AR179))</f>
        <v>-9.0480729523712E-4</v>
      </c>
      <c r="BQ175" s="30"/>
      <c r="BS175" s="29">
        <f>IF( OR(ISBLANK(P175:P179),ISBLANK(AL175:AL179), ISBLANK(X175:X179),ISBLANK(AT175:AT179)), "·", bdRateExtend( P175:P179,X175:X179, AL175:AL179,AT175:AT179))</f>
        <v>-2.776573492330181E-4</v>
      </c>
      <c r="BT175" s="29">
        <f>IF( OR(ISBLANK(P175:P179),ISBLANK(AL175:AL179), ISBLANK(Y175:Y179),ISBLANK(AU175:AU179)), "·", bdRateExtend( P175:P179,Y175:Y179, AL175:AL179,AU175:AU179))</f>
        <v>-2.776573492330181E-4</v>
      </c>
      <c r="BU175" s="29">
        <f>IF( OR(ISBLANK(P175:P179),ISBLANK(AL175:AL179), ISBLANK(Z175:Z179),ISBLANK(AV175:AV179)), "·", bdRateExtend( P175:P179,Z175:Z179, AL175:AL179,AV175:AV179))</f>
        <v>-2.776573492330181E-4</v>
      </c>
      <c r="BV175" s="30"/>
    </row>
    <row r="176" spans="1:74" outlineLevel="1" x14ac:dyDescent="0.15">
      <c r="A176" s="31"/>
      <c r="B176" s="31" t="s">
        <v>333</v>
      </c>
      <c r="C176" s="32" t="s">
        <v>226</v>
      </c>
      <c r="D176" s="31">
        <v>4187594</v>
      </c>
      <c r="E176" s="33">
        <v>14</v>
      </c>
      <c r="F176" s="32">
        <v>1</v>
      </c>
      <c r="G176" s="32"/>
      <c r="I176" s="34" t="str">
        <f t="shared" si="22"/>
        <v>·</v>
      </c>
      <c r="J176" s="35">
        <f t="shared" si="23"/>
        <v>23.705818663413883</v>
      </c>
      <c r="K176" s="35">
        <f t="shared" si="24"/>
        <v>13.515159301498665</v>
      </c>
      <c r="L176" s="35">
        <f t="shared" si="25"/>
        <v>10.190437754949501</v>
      </c>
      <c r="M176" s="36"/>
      <c r="N176" s="35">
        <f t="shared" si="26"/>
        <v>23.705818663413883</v>
      </c>
      <c r="O176" s="37">
        <v>4187594</v>
      </c>
      <c r="P176" s="38">
        <v>99270344</v>
      </c>
      <c r="Q176" s="38">
        <v>56596000</v>
      </c>
      <c r="R176" s="38">
        <v>42673416</v>
      </c>
      <c r="S176" s="39"/>
      <c r="T176" s="40">
        <v>48.596899999999998</v>
      </c>
      <c r="U176" s="40">
        <v>50.567599999999999</v>
      </c>
      <c r="V176" s="40">
        <v>49.957099999999997</v>
      </c>
      <c r="W176" s="41"/>
      <c r="X176" s="40">
        <v>42.110199999999999</v>
      </c>
      <c r="Y176" s="40">
        <v>42.110199999999999</v>
      </c>
      <c r="Z176" s="40">
        <v>42.110199999999999</v>
      </c>
      <c r="AA176" s="41"/>
      <c r="AB176" s="42"/>
      <c r="AC176" s="42"/>
      <c r="AE176" s="34" t="str">
        <f t="shared" si="27"/>
        <v>·</v>
      </c>
      <c r="AF176" s="35">
        <f t="shared" si="28"/>
        <v>23.71225863825385</v>
      </c>
      <c r="AG176" s="35">
        <f t="shared" si="29"/>
        <v>13.515159301498665</v>
      </c>
      <c r="AH176" s="35">
        <f t="shared" si="30"/>
        <v>10.196877729789469</v>
      </c>
      <c r="AI176" s="36"/>
      <c r="AJ176" s="35">
        <f t="shared" si="31"/>
        <v>23.71225863825385</v>
      </c>
      <c r="AK176" s="37">
        <v>4187594</v>
      </c>
      <c r="AL176" s="38">
        <v>99297312</v>
      </c>
      <c r="AM176" s="38">
        <v>56596000</v>
      </c>
      <c r="AN176" s="38">
        <v>42700384</v>
      </c>
      <c r="AO176" s="39"/>
      <c r="AP176" s="40">
        <v>48.608400000000003</v>
      </c>
      <c r="AQ176" s="40">
        <v>50.572899999999997</v>
      </c>
      <c r="AR176" s="40">
        <v>49.960099999999997</v>
      </c>
      <c r="AS176" s="41"/>
      <c r="AT176" s="40">
        <v>42.110199999999999</v>
      </c>
      <c r="AU176" s="40">
        <v>42.110199999999999</v>
      </c>
      <c r="AV176" s="40">
        <v>42.110199999999999</v>
      </c>
      <c r="AW176" s="41"/>
      <c r="AX176" s="42">
        <v>24.46</v>
      </c>
      <c r="AY176" s="42">
        <v>21.542999999999999</v>
      </c>
      <c r="BA176" s="43">
        <f t="shared" si="32"/>
        <v>-1.5483796625925805E-4</v>
      </c>
      <c r="BB176" s="43"/>
      <c r="BD176" s="44"/>
      <c r="BE176" s="44"/>
      <c r="BF176" s="44"/>
      <c r="BG176" s="45"/>
      <c r="BI176" s="44"/>
      <c r="BJ176" s="44"/>
      <c r="BK176" s="44"/>
      <c r="BL176" s="45"/>
      <c r="BN176" s="44"/>
      <c r="BO176" s="44"/>
      <c r="BP176" s="44"/>
      <c r="BQ176" s="45"/>
      <c r="BS176" s="44"/>
      <c r="BT176" s="44"/>
      <c r="BU176" s="44"/>
      <c r="BV176" s="45"/>
    </row>
    <row r="177" spans="1:74" outlineLevel="1" x14ac:dyDescent="0.15">
      <c r="A177" s="16"/>
      <c r="B177" s="16" t="s">
        <v>333</v>
      </c>
      <c r="C177" s="17" t="s">
        <v>227</v>
      </c>
      <c r="D177" s="16">
        <v>4187594</v>
      </c>
      <c r="E177" s="18">
        <v>14</v>
      </c>
      <c r="F177" s="17">
        <v>1</v>
      </c>
      <c r="G177" s="17"/>
      <c r="I177" s="19" t="str">
        <f t="shared" si="22"/>
        <v>·</v>
      </c>
      <c r="J177" s="20">
        <f t="shared" si="23"/>
        <v>20.785031213627683</v>
      </c>
      <c r="K177" s="20">
        <f t="shared" si="24"/>
        <v>13.515159301498665</v>
      </c>
      <c r="L177" s="20">
        <f t="shared" si="25"/>
        <v>7.2696503051632995</v>
      </c>
      <c r="M177" s="21"/>
      <c r="N177" s="20">
        <f t="shared" si="26"/>
        <v>20.785031213627683</v>
      </c>
      <c r="O177" s="22">
        <v>4187594</v>
      </c>
      <c r="P177" s="23">
        <v>87039272</v>
      </c>
      <c r="Q177" s="23">
        <v>56596000</v>
      </c>
      <c r="R177" s="23">
        <v>30442344</v>
      </c>
      <c r="S177" s="24"/>
      <c r="T177" s="25">
        <v>41.276400000000002</v>
      </c>
      <c r="U177" s="25">
        <v>44.522399999999998</v>
      </c>
      <c r="V177" s="25">
        <v>43.545400000000001</v>
      </c>
      <c r="W177" s="26"/>
      <c r="X177" s="25">
        <v>34.151400000000002</v>
      </c>
      <c r="Y177" s="25">
        <v>34.151400000000002</v>
      </c>
      <c r="Z177" s="25">
        <v>34.151400000000002</v>
      </c>
      <c r="AA177" s="26"/>
      <c r="AB177" s="27"/>
      <c r="AC177" s="27"/>
      <c r="AE177" s="19" t="str">
        <f t="shared" si="27"/>
        <v>·</v>
      </c>
      <c r="AF177" s="20">
        <f t="shared" si="28"/>
        <v>20.78212166700019</v>
      </c>
      <c r="AG177" s="20">
        <f t="shared" si="29"/>
        <v>13.515159301498665</v>
      </c>
      <c r="AH177" s="20">
        <f t="shared" si="30"/>
        <v>7.2667407585358088</v>
      </c>
      <c r="AI177" s="21"/>
      <c r="AJ177" s="20">
        <f t="shared" si="31"/>
        <v>20.78212166700019</v>
      </c>
      <c r="AK177" s="22">
        <v>4187594</v>
      </c>
      <c r="AL177" s="23">
        <v>87027088</v>
      </c>
      <c r="AM177" s="23">
        <v>56596000</v>
      </c>
      <c r="AN177" s="23">
        <v>30430160</v>
      </c>
      <c r="AO177" s="24"/>
      <c r="AP177" s="25">
        <v>41.276800000000001</v>
      </c>
      <c r="AQ177" s="25">
        <v>44.563099999999999</v>
      </c>
      <c r="AR177" s="25">
        <v>43.567700000000002</v>
      </c>
      <c r="AS177" s="26"/>
      <c r="AT177" s="25">
        <v>34.151400000000002</v>
      </c>
      <c r="AU177" s="25">
        <v>34.151400000000002</v>
      </c>
      <c r="AV177" s="25">
        <v>34.151400000000002</v>
      </c>
      <c r="AW177" s="26"/>
      <c r="AX177" s="27">
        <v>24.117000000000001</v>
      </c>
      <c r="AY177" s="27">
        <v>21.074999999999999</v>
      </c>
      <c r="BA177" s="28">
        <f t="shared" si="32"/>
        <v>9.1034482224916502E-5</v>
      </c>
      <c r="BB177" s="28"/>
      <c r="BD177" s="29"/>
      <c r="BE177" s="29"/>
      <c r="BF177" s="29"/>
      <c r="BG177" s="30"/>
      <c r="BI177" s="29"/>
      <c r="BJ177" s="29"/>
      <c r="BK177" s="29"/>
      <c r="BL177" s="30"/>
      <c r="BN177" s="29"/>
      <c r="BO177" s="29"/>
      <c r="BP177" s="29"/>
      <c r="BQ177" s="30"/>
      <c r="BS177" s="29"/>
      <c r="BT177" s="29"/>
      <c r="BU177" s="29"/>
      <c r="BV177" s="30"/>
    </row>
    <row r="178" spans="1:74" outlineLevel="1" x14ac:dyDescent="0.15">
      <c r="A178" s="31"/>
      <c r="B178" s="31" t="s">
        <v>333</v>
      </c>
      <c r="C178" s="32" t="s">
        <v>228</v>
      </c>
      <c r="D178" s="31">
        <v>4187594</v>
      </c>
      <c r="E178" s="33">
        <v>14</v>
      </c>
      <c r="F178" s="32">
        <v>1</v>
      </c>
      <c r="G178" s="32"/>
      <c r="I178" s="34" t="str">
        <f t="shared" si="22"/>
        <v>·</v>
      </c>
      <c r="J178" s="35">
        <f t="shared" si="23"/>
        <v>18.674996668731495</v>
      </c>
      <c r="K178" s="35">
        <f t="shared" si="24"/>
        <v>13.515159301498665</v>
      </c>
      <c r="L178" s="35">
        <f t="shared" si="25"/>
        <v>5.1596157602671129</v>
      </c>
      <c r="M178" s="36"/>
      <c r="N178" s="35">
        <f t="shared" si="26"/>
        <v>18.674996668731495</v>
      </c>
      <c r="O178" s="37">
        <v>4187594</v>
      </c>
      <c r="P178" s="38">
        <v>78203304</v>
      </c>
      <c r="Q178" s="38">
        <v>56596000</v>
      </c>
      <c r="R178" s="38">
        <v>21606376</v>
      </c>
      <c r="S178" s="39"/>
      <c r="T178" s="40">
        <v>35.347700000000003</v>
      </c>
      <c r="U178" s="40">
        <v>39.750100000000003</v>
      </c>
      <c r="V178" s="40">
        <v>38.411499999999997</v>
      </c>
      <c r="W178" s="41"/>
      <c r="X178" s="40">
        <v>28.130800000000001</v>
      </c>
      <c r="Y178" s="40">
        <v>28.130800000000001</v>
      </c>
      <c r="Z178" s="40">
        <v>28.130800000000001</v>
      </c>
      <c r="AA178" s="41"/>
      <c r="AB178" s="42"/>
      <c r="AC178" s="42"/>
      <c r="AE178" s="34" t="str">
        <f t="shared" si="27"/>
        <v>·</v>
      </c>
      <c r="AF178" s="35">
        <f t="shared" si="28"/>
        <v>18.657959678039465</v>
      </c>
      <c r="AG178" s="35">
        <f t="shared" si="29"/>
        <v>13.515159301498665</v>
      </c>
      <c r="AH178" s="35">
        <f t="shared" si="30"/>
        <v>5.1425787695750831</v>
      </c>
      <c r="AI178" s="36"/>
      <c r="AJ178" s="35">
        <f t="shared" si="31"/>
        <v>18.657959678039465</v>
      </c>
      <c r="AK178" s="37">
        <v>4187594</v>
      </c>
      <c r="AL178" s="38">
        <v>78131960</v>
      </c>
      <c r="AM178" s="38">
        <v>56596000</v>
      </c>
      <c r="AN178" s="38">
        <v>21535032</v>
      </c>
      <c r="AO178" s="39"/>
      <c r="AP178" s="40">
        <v>35.334299999999999</v>
      </c>
      <c r="AQ178" s="40">
        <v>39.8292</v>
      </c>
      <c r="AR178" s="40">
        <v>38.466500000000003</v>
      </c>
      <c r="AS178" s="41"/>
      <c r="AT178" s="40">
        <v>28.130800000000001</v>
      </c>
      <c r="AU178" s="40">
        <v>28.130800000000001</v>
      </c>
      <c r="AV178" s="40">
        <v>28.130800000000001</v>
      </c>
      <c r="AW178" s="41"/>
      <c r="AX178" s="42">
        <v>23.446000000000002</v>
      </c>
      <c r="AY178" s="42">
        <v>21.044</v>
      </c>
      <c r="BA178" s="43">
        <f t="shared" si="32"/>
        <v>6.608294238372725E-4</v>
      </c>
      <c r="BB178" s="43"/>
      <c r="BD178" s="44"/>
      <c r="BE178" s="44"/>
      <c r="BF178" s="44"/>
      <c r="BG178" s="45"/>
      <c r="BI178" s="44"/>
      <c r="BJ178" s="44"/>
      <c r="BK178" s="44"/>
      <c r="BL178" s="45"/>
      <c r="BN178" s="44"/>
      <c r="BO178" s="44"/>
      <c r="BP178" s="44"/>
      <c r="BQ178" s="45"/>
      <c r="BS178" s="44"/>
      <c r="BT178" s="44"/>
      <c r="BU178" s="44"/>
      <c r="BV178" s="45"/>
    </row>
    <row r="179" spans="1:74" outlineLevel="1" x14ac:dyDescent="0.15">
      <c r="A179" s="16"/>
      <c r="B179" s="65" t="s">
        <v>333</v>
      </c>
      <c r="C179" s="67" t="s">
        <v>229</v>
      </c>
      <c r="D179" s="65">
        <v>4187594</v>
      </c>
      <c r="E179" s="66">
        <v>14</v>
      </c>
      <c r="F179" s="67">
        <v>1</v>
      </c>
      <c r="G179" s="67"/>
      <c r="I179" s="69" t="str">
        <f t="shared" si="22"/>
        <v>·</v>
      </c>
      <c r="J179" s="70">
        <f t="shared" si="23"/>
        <v>16.811115881816622</v>
      </c>
      <c r="K179" s="70">
        <f t="shared" si="24"/>
        <v>13.515159301498665</v>
      </c>
      <c r="L179" s="70">
        <f t="shared" si="25"/>
        <v>3.2957349733522401</v>
      </c>
      <c r="M179" s="75"/>
      <c r="N179" s="70">
        <f t="shared" si="26"/>
        <v>16.811115881816622</v>
      </c>
      <c r="O179" s="71">
        <v>4187594</v>
      </c>
      <c r="P179" s="72">
        <v>70398128</v>
      </c>
      <c r="Q179" s="72">
        <v>56596000</v>
      </c>
      <c r="R179" s="72">
        <v>13801200</v>
      </c>
      <c r="S179" s="76"/>
      <c r="T179" s="77">
        <v>28.661799999999999</v>
      </c>
      <c r="U179" s="77">
        <v>35.405099999999997</v>
      </c>
      <c r="V179" s="77">
        <v>33.648000000000003</v>
      </c>
      <c r="W179" s="78"/>
      <c r="X179" s="77">
        <v>21.686399999999999</v>
      </c>
      <c r="Y179" s="77">
        <v>21.686399999999999</v>
      </c>
      <c r="Z179" s="77">
        <v>21.686399999999999</v>
      </c>
      <c r="AA179" s="78"/>
      <c r="AB179" s="73"/>
      <c r="AC179" s="73"/>
      <c r="AE179" s="69" t="str">
        <f t="shared" si="27"/>
        <v>·</v>
      </c>
      <c r="AF179" s="70">
        <f t="shared" si="28"/>
        <v>16.790470136312162</v>
      </c>
      <c r="AG179" s="70">
        <f t="shared" si="29"/>
        <v>13.515159301498665</v>
      </c>
      <c r="AH179" s="70">
        <f t="shared" si="30"/>
        <v>3.275089227847781</v>
      </c>
      <c r="AI179" s="75"/>
      <c r="AJ179" s="70">
        <f t="shared" si="31"/>
        <v>16.790470136312162</v>
      </c>
      <c r="AK179" s="71">
        <v>4187594</v>
      </c>
      <c r="AL179" s="72">
        <v>70311672</v>
      </c>
      <c r="AM179" s="72">
        <v>56596000</v>
      </c>
      <c r="AN179" s="72">
        <v>13714744</v>
      </c>
      <c r="AO179" s="76"/>
      <c r="AP179" s="77">
        <v>28.6312</v>
      </c>
      <c r="AQ179" s="77">
        <v>35.5227</v>
      </c>
      <c r="AR179" s="77">
        <v>33.741999999999997</v>
      </c>
      <c r="AS179" s="78"/>
      <c r="AT179" s="77">
        <v>21.686399999999999</v>
      </c>
      <c r="AU179" s="77">
        <v>21.686399999999999</v>
      </c>
      <c r="AV179" s="77">
        <v>21.686399999999999</v>
      </c>
      <c r="AW179" s="78"/>
      <c r="AX179" s="73">
        <v>23.15</v>
      </c>
      <c r="AY179" s="73">
        <v>20.81</v>
      </c>
      <c r="BA179" s="68">
        <f t="shared" si="32"/>
        <v>9.8853565927348175E-4</v>
      </c>
      <c r="BB179" s="68"/>
      <c r="BD179" s="74"/>
      <c r="BE179" s="74"/>
      <c r="BF179" s="74"/>
      <c r="BG179" s="79"/>
      <c r="BI179" s="74"/>
      <c r="BJ179" s="74"/>
      <c r="BK179" s="74"/>
      <c r="BL179" s="79"/>
      <c r="BN179" s="74"/>
      <c r="BO179" s="74"/>
      <c r="BP179" s="74"/>
      <c r="BQ179" s="79"/>
      <c r="BS179" s="74"/>
      <c r="BT179" s="74"/>
      <c r="BU179" s="74"/>
      <c r="BV179" s="79"/>
    </row>
    <row r="180" spans="1:74" x14ac:dyDescent="0.15">
      <c r="A180" s="31"/>
      <c r="B180" s="31" t="s">
        <v>336</v>
      </c>
      <c r="C180" s="32" t="s">
        <v>225</v>
      </c>
      <c r="D180" s="31">
        <v>4203962</v>
      </c>
      <c r="E180" s="33">
        <v>20</v>
      </c>
      <c r="F180" s="32">
        <v>1</v>
      </c>
      <c r="G180" s="32"/>
      <c r="I180" s="34" t="str">
        <f t="shared" si="22"/>
        <v>·</v>
      </c>
      <c r="J180" s="35">
        <f t="shared" si="23"/>
        <v>44.862675733034692</v>
      </c>
      <c r="K180" s="35">
        <f t="shared" si="24"/>
        <v>31.85194537914472</v>
      </c>
      <c r="L180" s="35">
        <f t="shared" si="25"/>
        <v>13.010505803810785</v>
      </c>
      <c r="M180" s="36"/>
      <c r="N180" s="35">
        <f t="shared" si="26"/>
        <v>44.862675733034692</v>
      </c>
      <c r="O180" s="37">
        <v>4203962</v>
      </c>
      <c r="P180" s="38">
        <v>188600984</v>
      </c>
      <c r="Q180" s="38">
        <v>133904368</v>
      </c>
      <c r="R180" s="38">
        <v>54695672</v>
      </c>
      <c r="S180" s="39"/>
      <c r="T180" s="40">
        <v>53.448399999999999</v>
      </c>
      <c r="U180" s="40">
        <v>55.167900000000003</v>
      </c>
      <c r="V180" s="40">
        <v>54.654899999999998</v>
      </c>
      <c r="W180" s="41"/>
      <c r="X180" s="40">
        <v>48.130800000000001</v>
      </c>
      <c r="Y180" s="40">
        <v>48.130800000000001</v>
      </c>
      <c r="Z180" s="40">
        <v>48.130800000000001</v>
      </c>
      <c r="AA180" s="41"/>
      <c r="AB180" s="42"/>
      <c r="AC180" s="42"/>
      <c r="AE180" s="34" t="str">
        <f t="shared" si="27"/>
        <v>·</v>
      </c>
      <c r="AF180" s="35">
        <f t="shared" si="28"/>
        <v>44.875981276709922</v>
      </c>
      <c r="AG180" s="35">
        <f t="shared" si="29"/>
        <v>31.85194537914472</v>
      </c>
      <c r="AH180" s="35">
        <f t="shared" si="30"/>
        <v>13.023811347486014</v>
      </c>
      <c r="AI180" s="36"/>
      <c r="AJ180" s="35">
        <f t="shared" si="31"/>
        <v>44.875981276709922</v>
      </c>
      <c r="AK180" s="37">
        <v>4203962</v>
      </c>
      <c r="AL180" s="38">
        <v>188656920</v>
      </c>
      <c r="AM180" s="38">
        <v>133904368</v>
      </c>
      <c r="AN180" s="38">
        <v>54751608</v>
      </c>
      <c r="AO180" s="39"/>
      <c r="AP180" s="40">
        <v>53.458199999999998</v>
      </c>
      <c r="AQ180" s="40">
        <v>55.161000000000001</v>
      </c>
      <c r="AR180" s="40">
        <v>54.662799999999997</v>
      </c>
      <c r="AS180" s="41"/>
      <c r="AT180" s="40">
        <v>48.130800000000001</v>
      </c>
      <c r="AU180" s="40">
        <v>48.130800000000001</v>
      </c>
      <c r="AV180" s="40">
        <v>48.130800000000001</v>
      </c>
      <c r="AW180" s="41"/>
      <c r="AX180" s="42">
        <v>35.49</v>
      </c>
      <c r="AY180" s="42">
        <v>31.699000000000002</v>
      </c>
      <c r="BA180" s="43">
        <f t="shared" si="32"/>
        <v>-2.1050841267789E-4</v>
      </c>
      <c r="BB180" s="43">
        <f t="array" ref="BB180">AVERAGE(AM180:AM184/AL180:AL184) - AVERAGE(Q180:Q184/P180:P184)</f>
        <v>1.3030786643919434E-4</v>
      </c>
      <c r="BD180" s="44">
        <f>IF( OR(ISBLANK(R180:R184),ISBLANK(AN180:AN184), ISBLANK(T180:T184),ISBLANK(AP180:AP184)), "·", bdRateExtend( R180:R184,T180:T184, AN180:AN184,AP180:AP184))</f>
        <v>-1.1717104134595369E-3</v>
      </c>
      <c r="BE180" s="44">
        <f>IF( OR(ISBLANK(R180:R184),ISBLANK(AN180:AN184), ISBLANK(U180:U184),ISBLANK(AQ180:AQ184)), "·", bdRateExtend( R180:R184,U180:U184, AN180:AN184,AQ180:AQ184))</f>
        <v>-4.7849825887485986E-3</v>
      </c>
      <c r="BF180" s="44">
        <f>IF( OR(ISBLANK(R180:R184),ISBLANK(AN180:AN184), ISBLANK(V180:V184),ISBLANK(AR180:AR184)), "·", bdRateExtend( R180:R184,V180:V184, AN180:AN184,AR180:AR184))</f>
        <v>-3.8202656667135626E-3</v>
      </c>
      <c r="BG180" s="45"/>
      <c r="BI180" s="44">
        <f>IF( OR(ISBLANK(R180:R184),ISBLANK(AN180:AN184), ISBLANK(X180:X184),ISBLANK(AT180:AT184)), "·", bdRateExtend( R180:R184,X180:X184, AN180:AN184,AT180:AT184))</f>
        <v>-1.300131092871748E-3</v>
      </c>
      <c r="BJ180" s="44">
        <f>IF( OR(ISBLANK(R180:R184),ISBLANK(AN180:AN184), ISBLANK(Y180:Y184),ISBLANK(AU180:AU184)), "·", bdRateExtend( R180:R184,Y180:Y184, AN180:AN184,AU180:AU184))</f>
        <v>-1.300131092871748E-3</v>
      </c>
      <c r="BK180" s="44">
        <f>IF( OR(ISBLANK(R180:R184),ISBLANK(AN180:AN184), ISBLANK(Z180:Z184),ISBLANK(AV180:AV184)), "·", bdRateExtend( R180:R184,Z180:Z184, AN180:AN184,AV180:AV184))</f>
        <v>-1.300131092871748E-3</v>
      </c>
      <c r="BL180" s="45"/>
      <c r="BN180" s="44">
        <f>IF( OR(ISBLANK(P180:P184),ISBLANK(AL180:AL184), ISBLANK(T180:T184),ISBLANK(AP180:AP184)), "·", bdRateExtend( P180:P184,T180:T184, AL180:AL184,AP180:AP184))</f>
        <v>-1.3401209010133197E-4</v>
      </c>
      <c r="BO180" s="44">
        <f>IF( OR(ISBLANK(P180:P184),ISBLANK(AL180:AL184), ISBLANK(U180:U184),ISBLANK(AQ180:AQ184)), "·", bdRateExtend( P180:P184,U180:U184, AL180:AL184,AQ180:AQ184))</f>
        <v>-6.1715593038902394E-4</v>
      </c>
      <c r="BP180" s="44">
        <f>IF( OR(ISBLANK(P180:P184),ISBLANK(AL180:AL184), ISBLANK(V180:V184),ISBLANK(AR180:AR184)), "·", bdRateExtend( P180:P184,V180:V184, AL180:AL184,AR180:AR184))</f>
        <v>-4.7415322462729392E-4</v>
      </c>
      <c r="BQ180" s="45"/>
      <c r="BS180" s="44">
        <f>IF( OR(ISBLANK(P180:P184),ISBLANK(AL180:AL184), ISBLANK(X180:X184),ISBLANK(AT180:AT184)), "·", bdRateExtend( P180:P184,X180:X184, AL180:AL184,AT180:AT184))</f>
        <v>-1.2933815368620927E-4</v>
      </c>
      <c r="BT180" s="44">
        <f>IF( OR(ISBLANK(P180:P184),ISBLANK(AL180:AL184), ISBLANK(Y180:Y184),ISBLANK(AU180:AU184)), "·", bdRateExtend( P180:P184,Y180:Y184, AL180:AL184,AU180:AU184))</f>
        <v>-1.2933815368620927E-4</v>
      </c>
      <c r="BU180" s="44">
        <f>IF( OR(ISBLANK(P180:P184),ISBLANK(AL180:AL184), ISBLANK(Z180:Z184),ISBLANK(AV180:AV184)), "·", bdRateExtend( P180:P184,Z180:Z184, AL180:AL184,AV180:AV184))</f>
        <v>-1.2933815368620927E-4</v>
      </c>
      <c r="BV180" s="45"/>
    </row>
    <row r="181" spans="1:74" outlineLevel="1" x14ac:dyDescent="0.15">
      <c r="A181" s="16"/>
      <c r="B181" s="16" t="s">
        <v>336</v>
      </c>
      <c r="C181" s="17" t="s">
        <v>226</v>
      </c>
      <c r="D181" s="16">
        <v>4203962</v>
      </c>
      <c r="E181" s="18">
        <v>20</v>
      </c>
      <c r="F181" s="17">
        <v>1</v>
      </c>
      <c r="G181" s="17"/>
      <c r="I181" s="19" t="str">
        <f t="shared" si="22"/>
        <v>·</v>
      </c>
      <c r="J181" s="20">
        <f t="shared" si="23"/>
        <v>42.031919413163109</v>
      </c>
      <c r="K181" s="20">
        <f t="shared" si="24"/>
        <v>31.85194537914472</v>
      </c>
      <c r="L181" s="20">
        <f t="shared" si="25"/>
        <v>10.179749483939199</v>
      </c>
      <c r="M181" s="21"/>
      <c r="N181" s="20">
        <f t="shared" si="26"/>
        <v>42.031919413163109</v>
      </c>
      <c r="O181" s="22">
        <v>4203962</v>
      </c>
      <c r="P181" s="23">
        <v>176700592</v>
      </c>
      <c r="Q181" s="23">
        <v>133904368</v>
      </c>
      <c r="R181" s="23">
        <v>42795280</v>
      </c>
      <c r="S181" s="24"/>
      <c r="T181" s="25">
        <v>48.601399999999998</v>
      </c>
      <c r="U181" s="25">
        <v>50.564799999999998</v>
      </c>
      <c r="V181" s="25">
        <v>49.954599999999999</v>
      </c>
      <c r="W181" s="26"/>
      <c r="X181" s="25">
        <v>42.110199999999999</v>
      </c>
      <c r="Y181" s="25">
        <v>42.110199999999999</v>
      </c>
      <c r="Z181" s="25">
        <v>42.110199999999999</v>
      </c>
      <c r="AA181" s="26"/>
      <c r="AB181" s="27"/>
      <c r="AC181" s="27"/>
      <c r="AE181" s="19" t="str">
        <f t="shared" si="27"/>
        <v>·</v>
      </c>
      <c r="AF181" s="20">
        <f t="shared" si="28"/>
        <v>42.037898534763158</v>
      </c>
      <c r="AG181" s="20">
        <f t="shared" si="29"/>
        <v>31.85194537914472</v>
      </c>
      <c r="AH181" s="20">
        <f t="shared" si="30"/>
        <v>10.18572860553925</v>
      </c>
      <c r="AI181" s="21"/>
      <c r="AJ181" s="20">
        <f t="shared" si="31"/>
        <v>42.037898534763158</v>
      </c>
      <c r="AK181" s="22">
        <v>4203962</v>
      </c>
      <c r="AL181" s="23">
        <v>176725728</v>
      </c>
      <c r="AM181" s="23">
        <v>133904368</v>
      </c>
      <c r="AN181" s="23">
        <v>42820416</v>
      </c>
      <c r="AO181" s="24"/>
      <c r="AP181" s="25">
        <v>48.606099999999998</v>
      </c>
      <c r="AQ181" s="25">
        <v>50.570300000000003</v>
      </c>
      <c r="AR181" s="25">
        <v>49.960500000000003</v>
      </c>
      <c r="AS181" s="26"/>
      <c r="AT181" s="25">
        <v>42.110199999999999</v>
      </c>
      <c r="AU181" s="25">
        <v>42.110199999999999</v>
      </c>
      <c r="AV181" s="25">
        <v>42.110199999999999</v>
      </c>
      <c r="AW181" s="26"/>
      <c r="AX181" s="27">
        <v>35.598999999999997</v>
      </c>
      <c r="AY181" s="27">
        <v>30.481999999999999</v>
      </c>
      <c r="BA181" s="28">
        <f t="shared" si="32"/>
        <v>-1.0778370989883435E-4</v>
      </c>
      <c r="BB181" s="28"/>
      <c r="BD181" s="29"/>
      <c r="BE181" s="29"/>
      <c r="BF181" s="29"/>
      <c r="BG181" s="30"/>
      <c r="BI181" s="29"/>
      <c r="BJ181" s="29"/>
      <c r="BK181" s="29"/>
      <c r="BL181" s="30"/>
      <c r="BN181" s="29"/>
      <c r="BO181" s="29"/>
      <c r="BP181" s="29"/>
      <c r="BQ181" s="30"/>
      <c r="BS181" s="29"/>
      <c r="BT181" s="29"/>
      <c r="BU181" s="29"/>
      <c r="BV181" s="30"/>
    </row>
    <row r="182" spans="1:74" outlineLevel="1" x14ac:dyDescent="0.15">
      <c r="A182" s="31"/>
      <c r="B182" s="31" t="s">
        <v>336</v>
      </c>
      <c r="C182" s="32" t="s">
        <v>227</v>
      </c>
      <c r="D182" s="31">
        <v>4203962</v>
      </c>
      <c r="E182" s="33">
        <v>20</v>
      </c>
      <c r="F182" s="32">
        <v>1</v>
      </c>
      <c r="G182" s="32"/>
      <c r="I182" s="34" t="str">
        <f t="shared" si="22"/>
        <v>·</v>
      </c>
      <c r="J182" s="35">
        <f t="shared" si="23"/>
        <v>39.112374469607481</v>
      </c>
      <c r="K182" s="35">
        <f t="shared" si="24"/>
        <v>31.85194537914472</v>
      </c>
      <c r="L182" s="35">
        <f t="shared" si="25"/>
        <v>7.2602045403835715</v>
      </c>
      <c r="M182" s="36"/>
      <c r="N182" s="35">
        <f t="shared" si="26"/>
        <v>39.112374469607481</v>
      </c>
      <c r="O182" s="37">
        <v>4203962</v>
      </c>
      <c r="P182" s="38">
        <v>164426936</v>
      </c>
      <c r="Q182" s="38">
        <v>133904368</v>
      </c>
      <c r="R182" s="38">
        <v>30521624</v>
      </c>
      <c r="S182" s="39"/>
      <c r="T182" s="40">
        <v>41.275799999999997</v>
      </c>
      <c r="U182" s="40">
        <v>44.520499999999998</v>
      </c>
      <c r="V182" s="40">
        <v>43.540799999999997</v>
      </c>
      <c r="W182" s="41"/>
      <c r="X182" s="40">
        <v>34.151400000000002</v>
      </c>
      <c r="Y182" s="40">
        <v>34.151400000000002</v>
      </c>
      <c r="Z182" s="40">
        <v>34.151400000000002</v>
      </c>
      <c r="AA182" s="41"/>
      <c r="AB182" s="42"/>
      <c r="AC182" s="42"/>
      <c r="AE182" s="34" t="str">
        <f t="shared" si="27"/>
        <v>·</v>
      </c>
      <c r="AF182" s="35">
        <f t="shared" si="28"/>
        <v>39.109268827834313</v>
      </c>
      <c r="AG182" s="35">
        <f t="shared" si="29"/>
        <v>31.85194537914472</v>
      </c>
      <c r="AH182" s="35">
        <f t="shared" si="30"/>
        <v>7.2570988986104057</v>
      </c>
      <c r="AI182" s="36"/>
      <c r="AJ182" s="35">
        <f t="shared" si="31"/>
        <v>39.109268827834313</v>
      </c>
      <c r="AK182" s="37">
        <v>4203962</v>
      </c>
      <c r="AL182" s="38">
        <v>164413880</v>
      </c>
      <c r="AM182" s="38">
        <v>133904368</v>
      </c>
      <c r="AN182" s="38">
        <v>30508568</v>
      </c>
      <c r="AO182" s="39"/>
      <c r="AP182" s="40">
        <v>41.275399999999998</v>
      </c>
      <c r="AQ182" s="40">
        <v>44.568899999999999</v>
      </c>
      <c r="AR182" s="40">
        <v>43.563299999999998</v>
      </c>
      <c r="AS182" s="41"/>
      <c r="AT182" s="40">
        <v>34.151400000000002</v>
      </c>
      <c r="AU182" s="40">
        <v>34.151400000000002</v>
      </c>
      <c r="AV182" s="40">
        <v>34.151400000000002</v>
      </c>
      <c r="AW182" s="41"/>
      <c r="AX182" s="42">
        <v>35.738999999999997</v>
      </c>
      <c r="AY182" s="42">
        <v>31.512</v>
      </c>
      <c r="BA182" s="43">
        <f t="shared" si="32"/>
        <v>6.4668597614225831E-5</v>
      </c>
      <c r="BB182" s="43"/>
      <c r="BD182" s="44"/>
      <c r="BE182" s="44"/>
      <c r="BF182" s="44"/>
      <c r="BG182" s="45"/>
      <c r="BI182" s="44"/>
      <c r="BJ182" s="44"/>
      <c r="BK182" s="44"/>
      <c r="BL182" s="45"/>
      <c r="BN182" s="44"/>
      <c r="BO182" s="44"/>
      <c r="BP182" s="44"/>
      <c r="BQ182" s="45"/>
      <c r="BS182" s="44"/>
      <c r="BT182" s="44"/>
      <c r="BU182" s="44"/>
      <c r="BV182" s="45"/>
    </row>
    <row r="183" spans="1:74" outlineLevel="1" x14ac:dyDescent="0.15">
      <c r="A183" s="16"/>
      <c r="B183" s="16" t="s">
        <v>336</v>
      </c>
      <c r="C183" s="17" t="s">
        <v>228</v>
      </c>
      <c r="D183" s="16">
        <v>4203962</v>
      </c>
      <c r="E183" s="18">
        <v>20</v>
      </c>
      <c r="F183" s="17">
        <v>1</v>
      </c>
      <c r="G183" s="17"/>
      <c r="I183" s="19" t="str">
        <f t="shared" si="22"/>
        <v>·</v>
      </c>
      <c r="J183" s="20">
        <f t="shared" si="23"/>
        <v>37.007546690479124</v>
      </c>
      <c r="K183" s="20">
        <f t="shared" si="24"/>
        <v>31.85194537914472</v>
      </c>
      <c r="L183" s="20">
        <f t="shared" si="25"/>
        <v>5.1553767612552157</v>
      </c>
      <c r="M183" s="21"/>
      <c r="N183" s="20">
        <f t="shared" si="26"/>
        <v>37.007546690479124</v>
      </c>
      <c r="O183" s="22">
        <v>4203962</v>
      </c>
      <c r="P183" s="23">
        <v>155578320</v>
      </c>
      <c r="Q183" s="23">
        <v>133904368</v>
      </c>
      <c r="R183" s="23">
        <v>21673008</v>
      </c>
      <c r="S183" s="24"/>
      <c r="T183" s="25">
        <v>35.3461</v>
      </c>
      <c r="U183" s="25">
        <v>39.741199999999999</v>
      </c>
      <c r="V183" s="25">
        <v>38.4071</v>
      </c>
      <c r="W183" s="26"/>
      <c r="X183" s="25">
        <v>28.130800000000001</v>
      </c>
      <c r="Y183" s="25">
        <v>28.130800000000001</v>
      </c>
      <c r="Z183" s="25">
        <v>28.130800000000001</v>
      </c>
      <c r="AA183" s="26"/>
      <c r="AB183" s="27"/>
      <c r="AC183" s="27"/>
      <c r="AE183" s="19" t="str">
        <f t="shared" si="27"/>
        <v>·</v>
      </c>
      <c r="AF183" s="20">
        <f t="shared" si="28"/>
        <v>36.990545585331169</v>
      </c>
      <c r="AG183" s="20">
        <f t="shared" si="29"/>
        <v>31.85194537914472</v>
      </c>
      <c r="AH183" s="20">
        <f t="shared" si="30"/>
        <v>5.1383756561072627</v>
      </c>
      <c r="AI183" s="21"/>
      <c r="AJ183" s="20">
        <f t="shared" si="31"/>
        <v>36.990545585331169</v>
      </c>
      <c r="AK183" s="22">
        <v>4203962</v>
      </c>
      <c r="AL183" s="23">
        <v>155506848</v>
      </c>
      <c r="AM183" s="23">
        <v>133904368</v>
      </c>
      <c r="AN183" s="23">
        <v>21601536</v>
      </c>
      <c r="AO183" s="24"/>
      <c r="AP183" s="25">
        <v>35.3371</v>
      </c>
      <c r="AQ183" s="25">
        <v>39.818300000000001</v>
      </c>
      <c r="AR183" s="25">
        <v>38.4621</v>
      </c>
      <c r="AS183" s="26"/>
      <c r="AT183" s="25">
        <v>28.130800000000001</v>
      </c>
      <c r="AU183" s="25">
        <v>28.130800000000001</v>
      </c>
      <c r="AV183" s="25">
        <v>28.130800000000001</v>
      </c>
      <c r="AW183" s="26"/>
      <c r="AX183" s="27">
        <v>35.1</v>
      </c>
      <c r="AY183" s="27">
        <v>31.152999999999999</v>
      </c>
      <c r="BA183" s="28">
        <f t="shared" si="32"/>
        <v>3.9557795687850117E-4</v>
      </c>
      <c r="BB183" s="28"/>
      <c r="BD183" s="29"/>
      <c r="BE183" s="29"/>
      <c r="BF183" s="29"/>
      <c r="BG183" s="30"/>
      <c r="BI183" s="29"/>
      <c r="BJ183" s="29"/>
      <c r="BK183" s="29"/>
      <c r="BL183" s="30"/>
      <c r="BN183" s="29"/>
      <c r="BO183" s="29"/>
      <c r="BP183" s="29"/>
      <c r="BQ183" s="30"/>
      <c r="BS183" s="29"/>
      <c r="BT183" s="29"/>
      <c r="BU183" s="29"/>
      <c r="BV183" s="30"/>
    </row>
    <row r="184" spans="1:74" outlineLevel="1" x14ac:dyDescent="0.15">
      <c r="A184" s="31"/>
      <c r="B184" s="46" t="s">
        <v>336</v>
      </c>
      <c r="C184" s="47" t="s">
        <v>229</v>
      </c>
      <c r="D184" s="46">
        <v>4203962</v>
      </c>
      <c r="E184" s="48">
        <v>20</v>
      </c>
      <c r="F184" s="47">
        <v>1</v>
      </c>
      <c r="G184" s="47"/>
      <c r="I184" s="49" t="str">
        <f t="shared" si="22"/>
        <v>·</v>
      </c>
      <c r="J184" s="50">
        <f t="shared" si="23"/>
        <v>35.142549813723342</v>
      </c>
      <c r="K184" s="50">
        <f t="shared" si="24"/>
        <v>31.85194537914472</v>
      </c>
      <c r="L184" s="50">
        <f t="shared" si="25"/>
        <v>3.2903798844994316</v>
      </c>
      <c r="M184" s="51"/>
      <c r="N184" s="50">
        <f t="shared" si="26"/>
        <v>35.142549813723342</v>
      </c>
      <c r="O184" s="52">
        <v>4203962</v>
      </c>
      <c r="P184" s="53">
        <v>147737944</v>
      </c>
      <c r="Q184" s="53">
        <v>133904368</v>
      </c>
      <c r="R184" s="53">
        <v>13832632</v>
      </c>
      <c r="S184" s="54"/>
      <c r="T184" s="55">
        <v>28.663</v>
      </c>
      <c r="U184" s="55">
        <v>35.392699999999998</v>
      </c>
      <c r="V184" s="55">
        <v>33.641100000000002</v>
      </c>
      <c r="W184" s="56"/>
      <c r="X184" s="55">
        <v>21.686399999999999</v>
      </c>
      <c r="Y184" s="55">
        <v>21.686399999999999</v>
      </c>
      <c r="Z184" s="55">
        <v>21.686399999999999</v>
      </c>
      <c r="AA184" s="56"/>
      <c r="AB184" s="57"/>
      <c r="AC184" s="57"/>
      <c r="AE184" s="49" t="str">
        <f t="shared" si="27"/>
        <v>·</v>
      </c>
      <c r="AF184" s="50">
        <f t="shared" si="28"/>
        <v>35.122802727522277</v>
      </c>
      <c r="AG184" s="50">
        <f t="shared" si="29"/>
        <v>31.85194537914472</v>
      </c>
      <c r="AH184" s="50">
        <f t="shared" si="30"/>
        <v>3.270632798298367</v>
      </c>
      <c r="AI184" s="51"/>
      <c r="AJ184" s="50">
        <f t="shared" si="31"/>
        <v>35.122802727522277</v>
      </c>
      <c r="AK184" s="52">
        <v>4203962</v>
      </c>
      <c r="AL184" s="53">
        <v>147654928</v>
      </c>
      <c r="AM184" s="53">
        <v>133904368</v>
      </c>
      <c r="AN184" s="53">
        <v>13749616</v>
      </c>
      <c r="AO184" s="54"/>
      <c r="AP184" s="55">
        <v>28.631799999999998</v>
      </c>
      <c r="AQ184" s="55">
        <v>35.497999999999998</v>
      </c>
      <c r="AR184" s="55">
        <v>33.747199999999999</v>
      </c>
      <c r="AS184" s="56"/>
      <c r="AT184" s="55">
        <v>21.686399999999999</v>
      </c>
      <c r="AU184" s="55">
        <v>21.686399999999999</v>
      </c>
      <c r="AV184" s="55">
        <v>21.686399999999999</v>
      </c>
      <c r="AW184" s="56"/>
      <c r="AX184" s="57">
        <v>36.020000000000003</v>
      </c>
      <c r="AY184" s="57">
        <v>30.934000000000001</v>
      </c>
      <c r="BA184" s="58">
        <f t="shared" si="32"/>
        <v>5.0958490027974701E-4</v>
      </c>
      <c r="BB184" s="58"/>
      <c r="BD184" s="59"/>
      <c r="BE184" s="59"/>
      <c r="BF184" s="59"/>
      <c r="BG184" s="60"/>
      <c r="BI184" s="59"/>
      <c r="BJ184" s="59"/>
      <c r="BK184" s="59"/>
      <c r="BL184" s="60"/>
      <c r="BN184" s="59"/>
      <c r="BO184" s="59"/>
      <c r="BP184" s="59"/>
      <c r="BQ184" s="60"/>
      <c r="BS184" s="59"/>
      <c r="BT184" s="59"/>
      <c r="BU184" s="59"/>
      <c r="BV184" s="60"/>
    </row>
    <row r="185" spans="1:74" x14ac:dyDescent="0.15">
      <c r="A185" s="16"/>
      <c r="B185" s="16" t="s">
        <v>339</v>
      </c>
      <c r="C185" s="17" t="s">
        <v>225</v>
      </c>
      <c r="D185" s="16">
        <v>1010591</v>
      </c>
      <c r="E185" s="18">
        <v>20</v>
      </c>
      <c r="F185" s="17">
        <v>1</v>
      </c>
      <c r="G185" s="17"/>
      <c r="I185" s="19" t="str">
        <f t="shared" si="22"/>
        <v>·</v>
      </c>
      <c r="J185" s="20">
        <f t="shared" si="23"/>
        <v>44.230680859022094</v>
      </c>
      <c r="K185" s="20">
        <f t="shared" si="24"/>
        <v>32.437819058352986</v>
      </c>
      <c r="L185" s="20">
        <f t="shared" si="25"/>
        <v>11.792323501792515</v>
      </c>
      <c r="M185" s="21"/>
      <c r="N185" s="20">
        <f t="shared" si="26"/>
        <v>44.230680859022094</v>
      </c>
      <c r="O185" s="22">
        <v>1010591</v>
      </c>
      <c r="P185" s="23">
        <v>44699128</v>
      </c>
      <c r="Q185" s="23">
        <v>32781368</v>
      </c>
      <c r="R185" s="23">
        <v>11917216</v>
      </c>
      <c r="S185" s="24"/>
      <c r="T185" s="25">
        <v>53.5184</v>
      </c>
      <c r="U185" s="25">
        <v>55.046900000000001</v>
      </c>
      <c r="V185" s="25">
        <v>54.757800000000003</v>
      </c>
      <c r="W185" s="26"/>
      <c r="X185" s="25">
        <v>48.130800000000001</v>
      </c>
      <c r="Y185" s="25">
        <v>48.130800000000001</v>
      </c>
      <c r="Z185" s="25">
        <v>48.130800000000001</v>
      </c>
      <c r="AA185" s="26"/>
      <c r="AB185" s="27"/>
      <c r="AC185" s="27"/>
      <c r="AE185" s="19" t="str">
        <f t="shared" si="27"/>
        <v>·</v>
      </c>
      <c r="AF185" s="20">
        <f t="shared" si="28"/>
        <v>44.178362957912746</v>
      </c>
      <c r="AG185" s="20">
        <f t="shared" si="29"/>
        <v>32.437819058352986</v>
      </c>
      <c r="AH185" s="20">
        <f t="shared" si="30"/>
        <v>11.740005600683165</v>
      </c>
      <c r="AI185" s="21"/>
      <c r="AJ185" s="20">
        <f t="shared" si="31"/>
        <v>44.178362957912746</v>
      </c>
      <c r="AK185" s="22">
        <v>1010591</v>
      </c>
      <c r="AL185" s="23">
        <v>44646256</v>
      </c>
      <c r="AM185" s="23">
        <v>32781368</v>
      </c>
      <c r="AN185" s="23">
        <v>11864344</v>
      </c>
      <c r="AO185" s="24"/>
      <c r="AP185" s="25">
        <v>53.504300000000001</v>
      </c>
      <c r="AQ185" s="25">
        <v>55.048200000000001</v>
      </c>
      <c r="AR185" s="25">
        <v>54.7667</v>
      </c>
      <c r="AS185" s="26"/>
      <c r="AT185" s="25">
        <v>48.130800000000001</v>
      </c>
      <c r="AU185" s="25">
        <v>48.130800000000001</v>
      </c>
      <c r="AV185" s="25">
        <v>48.130800000000001</v>
      </c>
      <c r="AW185" s="26"/>
      <c r="AX185" s="27">
        <v>9.2189999999999994</v>
      </c>
      <c r="AY185" s="27">
        <v>7.7370000000000001</v>
      </c>
      <c r="BA185" s="28">
        <f t="shared" si="32"/>
        <v>8.6849778659203736E-4</v>
      </c>
      <c r="BB185" s="28">
        <f t="array" ref="BB185">AVERAGE(AM185:AM189/AL185:AL189) - AVERAGE(Q185:Q189/P185:P189)</f>
        <v>9.7861246895192266E-4</v>
      </c>
      <c r="BD185" s="29">
        <f>IF( OR(ISBLANK(R185:R189),ISBLANK(AN185:AN189), ISBLANK(T185:T189),ISBLANK(AP185:AP189)), "·", bdRateExtend( R185:R189,T185:T189, AN185:AN189,AP185:AP189))</f>
        <v>-8.1852651016068867E-3</v>
      </c>
      <c r="BE185" s="29">
        <f>IF( OR(ISBLANK(R185:R189),ISBLANK(AN185:AN189), ISBLANK(U185:U189),ISBLANK(AQ185:AQ189)), "·", bdRateExtend( R185:R189,U185:U189, AN185:AN189,AQ185:AQ189))</f>
        <v>-1.0827404750379688E-2</v>
      </c>
      <c r="BF185" s="29">
        <f>IF( OR(ISBLANK(R185:R189),ISBLANK(AN185:AN189), ISBLANK(V185:V189),ISBLANK(AR185:AR189)), "·", bdRateExtend( R185:R189,V185:V189, AN185:AN189,AR185:AR189))</f>
        <v>-1.0597579170750659E-2</v>
      </c>
      <c r="BG185" s="30"/>
      <c r="BI185" s="29">
        <f>IF( OR(ISBLANK(R185:R189),ISBLANK(AN185:AN189), ISBLANK(X185:X189),ISBLANK(AT185:AT189)), "·", bdRateExtend( R185:R189,X185:X189, AN185:AN189,AT185:AT189))</f>
        <v>-8.4780123370193916E-3</v>
      </c>
      <c r="BJ185" s="29">
        <f>IF( OR(ISBLANK(R185:R189),ISBLANK(AN185:AN189), ISBLANK(Y185:Y189),ISBLANK(AU185:AU189)), "·", bdRateExtend( R185:R189,Y185:Y189, AN185:AN189,AU185:AU189))</f>
        <v>-8.4780123370193916E-3</v>
      </c>
      <c r="BK185" s="29">
        <f>IF( OR(ISBLANK(R185:R189),ISBLANK(AN185:AN189), ISBLANK(Z185:Z189),ISBLANK(AV185:AV189)), "·", bdRateExtend( R185:R189,Z185:Z189, AN185:AN189,AV185:AV189))</f>
        <v>-8.4780123370193916E-3</v>
      </c>
      <c r="BL185" s="30"/>
      <c r="BN185" s="29">
        <f>IF( OR(ISBLANK(P185:P189),ISBLANK(AL185:AL189), ISBLANK(T185:T189),ISBLANK(AP185:AP189)), "·", bdRateExtend( P185:P189,T185:T189, AL185:AL189,AP185:AP189))</f>
        <v>-1.11683565146381E-3</v>
      </c>
      <c r="BO185" s="29">
        <f>IF( OR(ISBLANK(P185:P189),ISBLANK(AL185:AL189), ISBLANK(U185:U189),ISBLANK(AQ185:AQ189)), "·", bdRateExtend( P185:P189,U185:U189, AL185:AL189,AQ185:AQ189))</f>
        <v>-1.4078911505827074E-3</v>
      </c>
      <c r="BP185" s="29">
        <f>IF( OR(ISBLANK(P185:P189),ISBLANK(AL185:AL189), ISBLANK(V185:V189),ISBLANK(AR185:AR189)), "·", bdRateExtend( P185:P189,V185:V189, AL185:AL189,AR185:AR189))</f>
        <v>-1.4372211313288252E-3</v>
      </c>
      <c r="BQ185" s="30"/>
      <c r="BS185" s="29">
        <f>IF( OR(ISBLANK(P185:P189),ISBLANK(AL185:AL189), ISBLANK(X185:X189),ISBLANK(AT185:AT189)), "·", bdRateExtend( P185:P189,X185:X189, AL185:AL189,AT185:AT189))</f>
        <v>-1.1781804472069668E-3</v>
      </c>
      <c r="BT185" s="29">
        <f>IF( OR(ISBLANK(P185:P189),ISBLANK(AL185:AL189), ISBLANK(Y185:Y189),ISBLANK(AU185:AU189)), "·", bdRateExtend( P185:P189,Y185:Y189, AL185:AL189,AU185:AU189))</f>
        <v>-1.1781804472069668E-3</v>
      </c>
      <c r="BU185" s="29">
        <f>IF( OR(ISBLANK(P185:P189),ISBLANK(AL185:AL189), ISBLANK(Z185:Z189),ISBLANK(AV185:AV189)), "·", bdRateExtend( P185:P189,Z185:Z189, AL185:AL189,AV185:AV189))</f>
        <v>-1.1781804472069668E-3</v>
      </c>
      <c r="BV185" s="30"/>
    </row>
    <row r="186" spans="1:74" outlineLevel="1" x14ac:dyDescent="0.15">
      <c r="A186" s="31"/>
      <c r="B186" s="31" t="s">
        <v>339</v>
      </c>
      <c r="C186" s="32" t="s">
        <v>226</v>
      </c>
      <c r="D186" s="31">
        <v>1010591</v>
      </c>
      <c r="E186" s="33">
        <v>20</v>
      </c>
      <c r="F186" s="32">
        <v>1</v>
      </c>
      <c r="G186" s="32"/>
      <c r="I186" s="34" t="str">
        <f t="shared" si="22"/>
        <v>·</v>
      </c>
      <c r="J186" s="35">
        <f t="shared" si="23"/>
        <v>41.446852386375895</v>
      </c>
      <c r="K186" s="35">
        <f t="shared" si="24"/>
        <v>32.437819058352986</v>
      </c>
      <c r="L186" s="35">
        <f t="shared" si="25"/>
        <v>9.0084950291463119</v>
      </c>
      <c r="M186" s="36"/>
      <c r="N186" s="35">
        <f t="shared" si="26"/>
        <v>41.446852386375895</v>
      </c>
      <c r="O186" s="37">
        <v>1010591</v>
      </c>
      <c r="P186" s="38">
        <v>41885816</v>
      </c>
      <c r="Q186" s="38">
        <v>32781368</v>
      </c>
      <c r="R186" s="38">
        <v>9103904</v>
      </c>
      <c r="S186" s="39"/>
      <c r="T186" s="40">
        <v>48.584800000000001</v>
      </c>
      <c r="U186" s="40">
        <v>50.483699999999999</v>
      </c>
      <c r="V186" s="40">
        <v>50.1541</v>
      </c>
      <c r="W186" s="41"/>
      <c r="X186" s="40">
        <v>42.110199999999999</v>
      </c>
      <c r="Y186" s="40">
        <v>42.110199999999999</v>
      </c>
      <c r="Z186" s="40">
        <v>42.110199999999999</v>
      </c>
      <c r="AA186" s="41"/>
      <c r="AB186" s="42"/>
      <c r="AC186" s="42"/>
      <c r="AE186" s="34" t="str">
        <f t="shared" si="27"/>
        <v>·</v>
      </c>
      <c r="AF186" s="35">
        <f t="shared" si="28"/>
        <v>41.39551608910034</v>
      </c>
      <c r="AG186" s="35">
        <f t="shared" si="29"/>
        <v>32.437819058352986</v>
      </c>
      <c r="AH186" s="35">
        <f t="shared" si="30"/>
        <v>8.9571587318707575</v>
      </c>
      <c r="AI186" s="36"/>
      <c r="AJ186" s="35">
        <f t="shared" si="31"/>
        <v>41.39551608910034</v>
      </c>
      <c r="AK186" s="37">
        <v>1010591</v>
      </c>
      <c r="AL186" s="38">
        <v>41833936</v>
      </c>
      <c r="AM186" s="38">
        <v>32781368</v>
      </c>
      <c r="AN186" s="38">
        <v>9052024</v>
      </c>
      <c r="AO186" s="39"/>
      <c r="AP186" s="40">
        <v>48.589599999999997</v>
      </c>
      <c r="AQ186" s="40">
        <v>50.479199999999999</v>
      </c>
      <c r="AR186" s="40">
        <v>50.156999999999996</v>
      </c>
      <c r="AS186" s="41"/>
      <c r="AT186" s="40">
        <v>42.110199999999999</v>
      </c>
      <c r="AU186" s="40">
        <v>42.110199999999999</v>
      </c>
      <c r="AV186" s="40">
        <v>42.110199999999999</v>
      </c>
      <c r="AW186" s="41"/>
      <c r="AX186" s="42">
        <v>7.9560000000000004</v>
      </c>
      <c r="AY186" s="42">
        <v>7.7220000000000004</v>
      </c>
      <c r="BA186" s="43">
        <f t="shared" si="32"/>
        <v>9.7057998756289177E-4</v>
      </c>
      <c r="BB186" s="43"/>
      <c r="BD186" s="44"/>
      <c r="BE186" s="44"/>
      <c r="BF186" s="44"/>
      <c r="BG186" s="45"/>
      <c r="BI186" s="44"/>
      <c r="BJ186" s="44"/>
      <c r="BK186" s="44"/>
      <c r="BL186" s="45"/>
      <c r="BN186" s="44"/>
      <c r="BO186" s="44"/>
      <c r="BP186" s="44"/>
      <c r="BQ186" s="45"/>
      <c r="BS186" s="44"/>
      <c r="BT186" s="44"/>
      <c r="BU186" s="44"/>
      <c r="BV186" s="45"/>
    </row>
    <row r="187" spans="1:74" outlineLevel="1" x14ac:dyDescent="0.15">
      <c r="A187" s="16"/>
      <c r="B187" s="16" t="s">
        <v>339</v>
      </c>
      <c r="C187" s="17" t="s">
        <v>227</v>
      </c>
      <c r="D187" s="16">
        <v>1010591</v>
      </c>
      <c r="E187" s="18">
        <v>20</v>
      </c>
      <c r="F187" s="17">
        <v>1</v>
      </c>
      <c r="G187" s="17"/>
      <c r="I187" s="19" t="str">
        <f t="shared" si="22"/>
        <v>·</v>
      </c>
      <c r="J187" s="20">
        <f t="shared" si="23"/>
        <v>38.49480551479283</v>
      </c>
      <c r="K187" s="20">
        <f t="shared" si="24"/>
        <v>32.437819058352986</v>
      </c>
      <c r="L187" s="20">
        <f t="shared" si="25"/>
        <v>6.0564481575632474</v>
      </c>
      <c r="M187" s="21"/>
      <c r="N187" s="20">
        <f t="shared" si="26"/>
        <v>38.49480551479283</v>
      </c>
      <c r="O187" s="22">
        <v>1010591</v>
      </c>
      <c r="P187" s="23">
        <v>38902504</v>
      </c>
      <c r="Q187" s="23">
        <v>32781368</v>
      </c>
      <c r="R187" s="23">
        <v>6120592</v>
      </c>
      <c r="S187" s="24"/>
      <c r="T187" s="25">
        <v>41.336599999999997</v>
      </c>
      <c r="U187" s="25">
        <v>44.137500000000003</v>
      </c>
      <c r="V187" s="25">
        <v>43.996000000000002</v>
      </c>
      <c r="W187" s="26"/>
      <c r="X187" s="25">
        <v>34.151400000000002</v>
      </c>
      <c r="Y187" s="25">
        <v>34.151400000000002</v>
      </c>
      <c r="Z187" s="25">
        <v>34.151400000000002</v>
      </c>
      <c r="AA187" s="26"/>
      <c r="AB187" s="27"/>
      <c r="AC187" s="27"/>
      <c r="AE187" s="19" t="str">
        <f t="shared" si="27"/>
        <v>·</v>
      </c>
      <c r="AF187" s="20">
        <f t="shared" si="28"/>
        <v>38.448424733645957</v>
      </c>
      <c r="AG187" s="20">
        <f t="shared" si="29"/>
        <v>32.437819058352986</v>
      </c>
      <c r="AH187" s="20">
        <f t="shared" si="30"/>
        <v>6.0100673764163739</v>
      </c>
      <c r="AI187" s="21"/>
      <c r="AJ187" s="20">
        <f t="shared" si="31"/>
        <v>38.448424733645957</v>
      </c>
      <c r="AK187" s="22">
        <v>1010591</v>
      </c>
      <c r="AL187" s="23">
        <v>38855632</v>
      </c>
      <c r="AM187" s="23">
        <v>32781368</v>
      </c>
      <c r="AN187" s="23">
        <v>6073720</v>
      </c>
      <c r="AO187" s="24"/>
      <c r="AP187" s="25">
        <v>41.329500000000003</v>
      </c>
      <c r="AQ187" s="25">
        <v>44.160600000000002</v>
      </c>
      <c r="AR187" s="25">
        <v>44.0199</v>
      </c>
      <c r="AS187" s="26"/>
      <c r="AT187" s="25">
        <v>34.151400000000002</v>
      </c>
      <c r="AU187" s="25">
        <v>34.151400000000002</v>
      </c>
      <c r="AV187" s="25">
        <v>34.151400000000002</v>
      </c>
      <c r="AW187" s="26"/>
      <c r="AX187" s="27">
        <v>8.0489999999999995</v>
      </c>
      <c r="AY187" s="27">
        <v>7.4560000000000004</v>
      </c>
      <c r="BA187" s="28">
        <f t="shared" si="32"/>
        <v>1.0165038428859852E-3</v>
      </c>
      <c r="BB187" s="28"/>
      <c r="BD187" s="29"/>
      <c r="BE187" s="29"/>
      <c r="BF187" s="29"/>
      <c r="BG187" s="30"/>
      <c r="BI187" s="29"/>
      <c r="BJ187" s="29"/>
      <c r="BK187" s="29"/>
      <c r="BL187" s="30"/>
      <c r="BN187" s="29"/>
      <c r="BO187" s="29"/>
      <c r="BP187" s="29"/>
      <c r="BQ187" s="30"/>
      <c r="BS187" s="29"/>
      <c r="BT187" s="29"/>
      <c r="BU187" s="29"/>
      <c r="BV187" s="30"/>
    </row>
    <row r="188" spans="1:74" outlineLevel="1" x14ac:dyDescent="0.15">
      <c r="A188" s="31"/>
      <c r="B188" s="31" t="s">
        <v>339</v>
      </c>
      <c r="C188" s="32" t="s">
        <v>228</v>
      </c>
      <c r="D188" s="31">
        <v>1010591</v>
      </c>
      <c r="E188" s="33">
        <v>20</v>
      </c>
      <c r="F188" s="32">
        <v>1</v>
      </c>
      <c r="G188" s="32"/>
      <c r="I188" s="34" t="str">
        <f t="shared" si="22"/>
        <v>·</v>
      </c>
      <c r="J188" s="35">
        <f t="shared" si="23"/>
        <v>36.359650936927004</v>
      </c>
      <c r="K188" s="35">
        <f t="shared" si="24"/>
        <v>32.437819058352986</v>
      </c>
      <c r="L188" s="35">
        <f t="shared" si="25"/>
        <v>3.9212935796974246</v>
      </c>
      <c r="M188" s="36"/>
      <c r="N188" s="35">
        <f t="shared" si="26"/>
        <v>36.359650936927004</v>
      </c>
      <c r="O188" s="37">
        <v>1010591</v>
      </c>
      <c r="P188" s="38">
        <v>36744736</v>
      </c>
      <c r="Q188" s="38">
        <v>32781368</v>
      </c>
      <c r="R188" s="38">
        <v>3962824</v>
      </c>
      <c r="S188" s="39"/>
      <c r="T188" s="40">
        <v>35.460299999999997</v>
      </c>
      <c r="U188" s="40">
        <v>39.152999999999999</v>
      </c>
      <c r="V188" s="40">
        <v>39.128799999999998</v>
      </c>
      <c r="W188" s="41"/>
      <c r="X188" s="40">
        <v>28.130800000000001</v>
      </c>
      <c r="Y188" s="40">
        <v>28.130800000000001</v>
      </c>
      <c r="Z188" s="40">
        <v>28.130800000000001</v>
      </c>
      <c r="AA188" s="41"/>
      <c r="AB188" s="42"/>
      <c r="AC188" s="42"/>
      <c r="AE188" s="34" t="str">
        <f t="shared" si="27"/>
        <v>·</v>
      </c>
      <c r="AF188" s="35">
        <f t="shared" si="28"/>
        <v>36.319508089820708</v>
      </c>
      <c r="AG188" s="35">
        <f t="shared" si="29"/>
        <v>32.437819058352986</v>
      </c>
      <c r="AH188" s="35">
        <f t="shared" si="30"/>
        <v>3.8811507325911272</v>
      </c>
      <c r="AI188" s="36"/>
      <c r="AJ188" s="35">
        <f t="shared" si="31"/>
        <v>36.319508089820708</v>
      </c>
      <c r="AK188" s="37">
        <v>1010591</v>
      </c>
      <c r="AL188" s="38">
        <v>36704168</v>
      </c>
      <c r="AM188" s="38">
        <v>32781368</v>
      </c>
      <c r="AN188" s="38">
        <v>3922256</v>
      </c>
      <c r="AO188" s="39"/>
      <c r="AP188" s="40">
        <v>35.445099999999996</v>
      </c>
      <c r="AQ188" s="40">
        <v>39.191099999999999</v>
      </c>
      <c r="AR188" s="40">
        <v>39.173900000000003</v>
      </c>
      <c r="AS188" s="41"/>
      <c r="AT188" s="40">
        <v>28.130800000000001</v>
      </c>
      <c r="AU188" s="40">
        <v>28.130800000000001</v>
      </c>
      <c r="AV188" s="40">
        <v>28.130800000000001</v>
      </c>
      <c r="AW188" s="41"/>
      <c r="AX188" s="42">
        <v>7.8620000000000001</v>
      </c>
      <c r="AY188" s="42">
        <v>6.8789999999999996</v>
      </c>
      <c r="BA188" s="43">
        <f t="shared" si="32"/>
        <v>9.8605276491692262E-4</v>
      </c>
      <c r="BB188" s="43"/>
      <c r="BD188" s="44"/>
      <c r="BE188" s="44"/>
      <c r="BF188" s="44"/>
      <c r="BG188" s="45"/>
      <c r="BI188" s="44"/>
      <c r="BJ188" s="44"/>
      <c r="BK188" s="44"/>
      <c r="BL188" s="45"/>
      <c r="BN188" s="44"/>
      <c r="BO188" s="44"/>
      <c r="BP188" s="44"/>
      <c r="BQ188" s="45"/>
      <c r="BS188" s="44"/>
      <c r="BT188" s="44"/>
      <c r="BU188" s="44"/>
      <c r="BV188" s="45"/>
    </row>
    <row r="189" spans="1:74" outlineLevel="1" x14ac:dyDescent="0.15">
      <c r="A189" s="16"/>
      <c r="B189" s="65" t="s">
        <v>339</v>
      </c>
      <c r="C189" s="67" t="s">
        <v>229</v>
      </c>
      <c r="D189" s="65">
        <v>1010591</v>
      </c>
      <c r="E189" s="66">
        <v>20</v>
      </c>
      <c r="F189" s="67">
        <v>1</v>
      </c>
      <c r="G189" s="67"/>
      <c r="I189" s="69" t="str">
        <f t="shared" si="22"/>
        <v>·</v>
      </c>
      <c r="J189" s="70">
        <f t="shared" si="23"/>
        <v>34.57021881255622</v>
      </c>
      <c r="K189" s="70">
        <f t="shared" si="24"/>
        <v>32.437819058352986</v>
      </c>
      <c r="L189" s="70">
        <f t="shared" si="25"/>
        <v>2.1318614553266357</v>
      </c>
      <c r="M189" s="75"/>
      <c r="N189" s="70">
        <f t="shared" si="26"/>
        <v>34.57021881255622</v>
      </c>
      <c r="O189" s="71">
        <v>1010591</v>
      </c>
      <c r="P189" s="72">
        <v>34936352</v>
      </c>
      <c r="Q189" s="72">
        <v>32781368</v>
      </c>
      <c r="R189" s="72">
        <v>2154440</v>
      </c>
      <c r="S189" s="76"/>
      <c r="T189" s="77">
        <v>29.058299999999999</v>
      </c>
      <c r="U189" s="77">
        <v>34.161200000000001</v>
      </c>
      <c r="V189" s="77">
        <v>34.548499999999997</v>
      </c>
      <c r="W189" s="78"/>
      <c r="X189" s="77">
        <v>21.686399999999999</v>
      </c>
      <c r="Y189" s="77">
        <v>21.686399999999999</v>
      </c>
      <c r="Z189" s="77">
        <v>21.686399999999999</v>
      </c>
      <c r="AA189" s="78"/>
      <c r="AB189" s="73"/>
      <c r="AC189" s="73"/>
      <c r="AE189" s="69" t="str">
        <f t="shared" si="27"/>
        <v>·</v>
      </c>
      <c r="AF189" s="70">
        <f t="shared" si="28"/>
        <v>34.531524622720767</v>
      </c>
      <c r="AG189" s="70">
        <f t="shared" si="29"/>
        <v>32.437819058352986</v>
      </c>
      <c r="AH189" s="70">
        <f t="shared" si="30"/>
        <v>2.093167265491183</v>
      </c>
      <c r="AI189" s="75"/>
      <c r="AJ189" s="70">
        <f t="shared" si="31"/>
        <v>34.531524622720767</v>
      </c>
      <c r="AK189" s="71">
        <v>1010591</v>
      </c>
      <c r="AL189" s="72">
        <v>34897248</v>
      </c>
      <c r="AM189" s="72">
        <v>32781368</v>
      </c>
      <c r="AN189" s="72">
        <v>2115336</v>
      </c>
      <c r="AO189" s="76"/>
      <c r="AP189" s="77">
        <v>29.055</v>
      </c>
      <c r="AQ189" s="77">
        <v>34.236400000000003</v>
      </c>
      <c r="AR189" s="77">
        <v>34.5764</v>
      </c>
      <c r="AS189" s="78"/>
      <c r="AT189" s="77">
        <v>21.686399999999999</v>
      </c>
      <c r="AU189" s="77">
        <v>21.686399999999999</v>
      </c>
      <c r="AV189" s="77">
        <v>21.686399999999999</v>
      </c>
      <c r="AW189" s="78"/>
      <c r="AX189" s="73">
        <v>7.7839999999999998</v>
      </c>
      <c r="AY189" s="73">
        <v>7.7839999999999998</v>
      </c>
      <c r="BA189" s="68">
        <f t="shared" si="32"/>
        <v>1.0514279628009993E-3</v>
      </c>
      <c r="BB189" s="68"/>
      <c r="BD189" s="74"/>
      <c r="BE189" s="74"/>
      <c r="BF189" s="74"/>
      <c r="BG189" s="79"/>
      <c r="BI189" s="74"/>
      <c r="BJ189" s="74"/>
      <c r="BK189" s="74"/>
      <c r="BL189" s="79"/>
      <c r="BN189" s="74"/>
      <c r="BO189" s="74"/>
      <c r="BP189" s="74"/>
      <c r="BQ189" s="79"/>
      <c r="BS189" s="74"/>
      <c r="BT189" s="74"/>
      <c r="BU189" s="74"/>
      <c r="BV189" s="79"/>
    </row>
    <row r="190" spans="1:74" x14ac:dyDescent="0.15">
      <c r="A190" s="31"/>
      <c r="B190" s="31" t="s">
        <v>342</v>
      </c>
      <c r="C190" s="32" t="s">
        <v>225</v>
      </c>
      <c r="D190" s="31">
        <v>47062002</v>
      </c>
      <c r="E190" s="33">
        <v>16</v>
      </c>
      <c r="F190" s="32">
        <v>1</v>
      </c>
      <c r="G190" s="32"/>
      <c r="I190" s="34" t="str">
        <f t="shared" si="22"/>
        <v>·</v>
      </c>
      <c r="J190" s="35">
        <f t="shared" si="23"/>
        <v>16.534812607419465</v>
      </c>
      <c r="K190" s="35">
        <f t="shared" si="24"/>
        <v>11.060105942794358</v>
      </c>
      <c r="L190" s="35">
        <f t="shared" si="25"/>
        <v>5.4745983819387876</v>
      </c>
      <c r="M190" s="36"/>
      <c r="N190" s="35">
        <f t="shared" si="26"/>
        <v>16.534812607419465</v>
      </c>
      <c r="O190" s="37">
        <v>47062002</v>
      </c>
      <c r="P190" s="38">
        <v>778161384</v>
      </c>
      <c r="Q190" s="38">
        <v>520510728</v>
      </c>
      <c r="R190" s="38">
        <v>257645560</v>
      </c>
      <c r="S190" s="39"/>
      <c r="T190" s="40">
        <v>52.8994</v>
      </c>
      <c r="U190" s="40">
        <v>55.920099999999998</v>
      </c>
      <c r="V190" s="40">
        <v>55.836599999999997</v>
      </c>
      <c r="W190" s="41"/>
      <c r="X190" s="40">
        <v>48.130800000000001</v>
      </c>
      <c r="Y190" s="40">
        <v>48.130800000000001</v>
      </c>
      <c r="Z190" s="40">
        <v>48.130800000000001</v>
      </c>
      <c r="AA190" s="41"/>
      <c r="AB190" s="42"/>
      <c r="AC190" s="42"/>
      <c r="AE190" s="34" t="str">
        <f t="shared" si="27"/>
        <v>·</v>
      </c>
      <c r="AF190" s="35">
        <f t="shared" si="28"/>
        <v>16.593009026687813</v>
      </c>
      <c r="AG190" s="35">
        <f t="shared" si="29"/>
        <v>11.060105942794358</v>
      </c>
      <c r="AH190" s="35">
        <f t="shared" si="30"/>
        <v>5.5327948012071397</v>
      </c>
      <c r="AI190" s="36"/>
      <c r="AJ190" s="35">
        <f t="shared" si="31"/>
        <v>16.593009026687813</v>
      </c>
      <c r="AK190" s="37">
        <v>47062002</v>
      </c>
      <c r="AL190" s="38">
        <v>780900224</v>
      </c>
      <c r="AM190" s="38">
        <v>520510728</v>
      </c>
      <c r="AN190" s="38">
        <v>260384400</v>
      </c>
      <c r="AO190" s="39"/>
      <c r="AP190" s="40">
        <v>52.909700000000001</v>
      </c>
      <c r="AQ190" s="40">
        <v>55.885599999999997</v>
      </c>
      <c r="AR190" s="40">
        <v>55.8125</v>
      </c>
      <c r="AS190" s="41"/>
      <c r="AT190" s="40">
        <v>48.130800000000001</v>
      </c>
      <c r="AU190" s="40">
        <v>48.130800000000001</v>
      </c>
      <c r="AV190" s="40">
        <v>48.130800000000001</v>
      </c>
      <c r="AW190" s="41"/>
      <c r="AX190" s="42">
        <v>215.952</v>
      </c>
      <c r="AY190" s="42">
        <v>193.34700000000001</v>
      </c>
      <c r="BA190" s="43">
        <f t="shared" si="32"/>
        <v>-2.3460168349748178E-3</v>
      </c>
      <c r="BB190" s="43">
        <f t="array" ref="BB190">AVERAGE(AM190:AM194/AL190:AL194) - AVERAGE(Q190:Q194/P190:P194)</f>
        <v>3.9384371913031568E-4</v>
      </c>
      <c r="BD190" s="44">
        <f>IF( OR(ISBLANK(R190:R194),ISBLANK(AN190:AN194), ISBLANK(T190:T194),ISBLANK(AP190:AP194)), "·", bdRateExtend( R190:R194,T190:T194, AN190:AN194,AP190:AP194))</f>
        <v>-1.6146498373769802E-2</v>
      </c>
      <c r="BE190" s="44">
        <f>IF( OR(ISBLANK(R190:R194),ISBLANK(AN190:AN194), ISBLANK(U190:U194),ISBLANK(AQ190:AQ194)), "·", bdRateExtend( R190:R194,U190:U194, AN190:AN194,AQ190:AQ194))</f>
        <v>-1.9625395515071697E-2</v>
      </c>
      <c r="BF190" s="44">
        <f>IF( OR(ISBLANK(R190:R194),ISBLANK(AN190:AN194), ISBLANK(V190:V194),ISBLANK(AR190:AR194)), "·", bdRateExtend( R190:R194,V190:V194, AN190:AN194,AR190:AR194))</f>
        <v>-2.2196562355973781E-2</v>
      </c>
      <c r="BG190" s="45"/>
      <c r="BI190" s="44">
        <f>IF( OR(ISBLANK(R190:R194),ISBLANK(AN190:AN194), ISBLANK(X190:X194),ISBLANK(AT190:AT194)), "·", bdRateExtend( R190:R194,X190:X194, AN190:AN194,AT190:AT194))</f>
        <v>-8.8031346709491753E-3</v>
      </c>
      <c r="BJ190" s="44">
        <f>IF( OR(ISBLANK(R190:R194),ISBLANK(AN190:AN194), ISBLANK(Y190:Y194),ISBLANK(AU190:AU194)), "·", bdRateExtend( R190:R194,Y190:Y194, AN190:AN194,AU190:AU194))</f>
        <v>-8.8031346709491753E-3</v>
      </c>
      <c r="BK190" s="44">
        <f>IF( OR(ISBLANK(R190:R194),ISBLANK(AN190:AN194), ISBLANK(Z190:Z194),ISBLANK(AV190:AV194)), "·", bdRateExtend( R190:R194,Z190:Z194, AN190:AN194,AV190:AV194))</f>
        <v>-8.8031346709491753E-3</v>
      </c>
      <c r="BL190" s="45"/>
      <c r="BN190" s="44">
        <f>IF( OR(ISBLANK(P190:P194),ISBLANK(AL190:AL194), ISBLANK(T190:T194),ISBLANK(AP190:AP194)), "·", bdRateExtend( P190:P194,T190:T194, AL190:AL194,AP190:AP194))</f>
        <v>-1.6958853370367954E-3</v>
      </c>
      <c r="BO190" s="44">
        <f>IF( OR(ISBLANK(P190:P194),ISBLANK(AL190:AL194), ISBLANK(U190:U194),ISBLANK(AQ190:AQ194)), "·", bdRateExtend( P190:P194,U190:U194, AL190:AL194,AQ190:AQ194))</f>
        <v>-2.31357615646266E-3</v>
      </c>
      <c r="BP190" s="44">
        <f>IF( OR(ISBLANK(P190:P194),ISBLANK(AL190:AL194), ISBLANK(V190:V194),ISBLANK(AR190:AR194)), "·", bdRateExtend( P190:P194,V190:V194, AL190:AL194,AR190:AR194))</f>
        <v>-2.7189894901841205E-3</v>
      </c>
      <c r="BQ190" s="45"/>
      <c r="BS190" s="44">
        <f>IF( OR(ISBLANK(P190:P194),ISBLANK(AL190:AL194), ISBLANK(X190:X194),ISBLANK(AT190:AT194)), "·", bdRateExtend( P190:P194,X190:X194, AL190:AL194,AT190:AT194))</f>
        <v>-8.1105608347709079E-4</v>
      </c>
      <c r="BT190" s="44">
        <f>IF( OR(ISBLANK(P190:P194),ISBLANK(AL190:AL194), ISBLANK(Y190:Y194),ISBLANK(AU190:AU194)), "·", bdRateExtend( P190:P194,Y190:Y194, AL190:AL194,AU190:AU194))</f>
        <v>-8.1105608347709079E-4</v>
      </c>
      <c r="BU190" s="44">
        <f>IF( OR(ISBLANK(P190:P194),ISBLANK(AL190:AL194), ISBLANK(Z190:Z194),ISBLANK(AV190:AV194)), "·", bdRateExtend( P190:P194,Z190:Z194, AL190:AL194,AV190:AV194))</f>
        <v>-8.1105608347709079E-4</v>
      </c>
      <c r="BV190" s="45"/>
    </row>
    <row r="191" spans="1:74" outlineLevel="1" x14ac:dyDescent="0.15">
      <c r="A191" s="16"/>
      <c r="B191" s="16" t="s">
        <v>342</v>
      </c>
      <c r="C191" s="17" t="s">
        <v>226</v>
      </c>
      <c r="D191" s="16">
        <v>47062002</v>
      </c>
      <c r="E191" s="18">
        <v>16</v>
      </c>
      <c r="F191" s="17">
        <v>1</v>
      </c>
      <c r="G191" s="17"/>
      <c r="I191" s="19" t="str">
        <f t="shared" si="22"/>
        <v>·</v>
      </c>
      <c r="J191" s="20">
        <f t="shared" si="23"/>
        <v>14.858569255086088</v>
      </c>
      <c r="K191" s="20">
        <f t="shared" si="24"/>
        <v>11.060105942794358</v>
      </c>
      <c r="L191" s="20">
        <f t="shared" si="25"/>
        <v>3.7983550296054127</v>
      </c>
      <c r="M191" s="21"/>
      <c r="N191" s="20">
        <f t="shared" si="26"/>
        <v>14.858569255086088</v>
      </c>
      <c r="O191" s="22">
        <v>47062002</v>
      </c>
      <c r="P191" s="23">
        <v>699274016</v>
      </c>
      <c r="Q191" s="23">
        <v>520510728</v>
      </c>
      <c r="R191" s="23">
        <v>178758192</v>
      </c>
      <c r="S191" s="24"/>
      <c r="T191" s="25">
        <v>48.377200000000002</v>
      </c>
      <c r="U191" s="25">
        <v>51.375300000000003</v>
      </c>
      <c r="V191" s="25">
        <v>51.388199999999998</v>
      </c>
      <c r="W191" s="26"/>
      <c r="X191" s="25">
        <v>42.110199999999999</v>
      </c>
      <c r="Y191" s="25">
        <v>42.110199999999999</v>
      </c>
      <c r="Z191" s="25">
        <v>42.110199999999999</v>
      </c>
      <c r="AA191" s="26"/>
      <c r="AB191" s="27"/>
      <c r="AC191" s="27"/>
      <c r="AE191" s="19" t="str">
        <f t="shared" si="27"/>
        <v>·</v>
      </c>
      <c r="AF191" s="20">
        <f t="shared" si="28"/>
        <v>14.852204884951558</v>
      </c>
      <c r="AG191" s="20">
        <f t="shared" si="29"/>
        <v>11.060105942794358</v>
      </c>
      <c r="AH191" s="20">
        <f t="shared" si="30"/>
        <v>3.7919906594708825</v>
      </c>
      <c r="AI191" s="21"/>
      <c r="AJ191" s="20">
        <f t="shared" si="31"/>
        <v>14.852204884951558</v>
      </c>
      <c r="AK191" s="22">
        <v>47062002</v>
      </c>
      <c r="AL191" s="23">
        <v>698974496</v>
      </c>
      <c r="AM191" s="23">
        <v>520510728</v>
      </c>
      <c r="AN191" s="23">
        <v>178458672</v>
      </c>
      <c r="AO191" s="24"/>
      <c r="AP191" s="25">
        <v>48.403700000000001</v>
      </c>
      <c r="AQ191" s="25">
        <v>51.453099999999999</v>
      </c>
      <c r="AR191" s="25">
        <v>51.483899999999998</v>
      </c>
      <c r="AS191" s="26"/>
      <c r="AT191" s="25">
        <v>42.110199999999999</v>
      </c>
      <c r="AU191" s="25">
        <v>42.110199999999999</v>
      </c>
      <c r="AV191" s="25">
        <v>42.110199999999999</v>
      </c>
      <c r="AW191" s="26"/>
      <c r="AX191" s="27">
        <v>213.79900000000001</v>
      </c>
      <c r="AY191" s="27">
        <v>192.255</v>
      </c>
      <c r="BA191" s="28">
        <f t="shared" si="32"/>
        <v>3.1896776229556334E-4</v>
      </c>
      <c r="BB191" s="28"/>
      <c r="BD191" s="29"/>
      <c r="BE191" s="29"/>
      <c r="BF191" s="29"/>
      <c r="BG191" s="30"/>
      <c r="BI191" s="29"/>
      <c r="BJ191" s="29"/>
      <c r="BK191" s="29"/>
      <c r="BL191" s="30"/>
      <c r="BN191" s="29"/>
      <c r="BO191" s="29"/>
      <c r="BP191" s="29"/>
      <c r="BQ191" s="30"/>
      <c r="BS191" s="29"/>
      <c r="BT191" s="29"/>
      <c r="BU191" s="29"/>
      <c r="BV191" s="30"/>
    </row>
    <row r="192" spans="1:74" outlineLevel="1" x14ac:dyDescent="0.15">
      <c r="A192" s="31"/>
      <c r="B192" s="31" t="s">
        <v>342</v>
      </c>
      <c r="C192" s="32" t="s">
        <v>227</v>
      </c>
      <c r="D192" s="31">
        <v>47062002</v>
      </c>
      <c r="E192" s="33">
        <v>16</v>
      </c>
      <c r="F192" s="32">
        <v>1</v>
      </c>
      <c r="G192" s="32"/>
      <c r="I192" s="34" t="str">
        <f t="shared" si="22"/>
        <v>·</v>
      </c>
      <c r="J192" s="35">
        <f t="shared" si="23"/>
        <v>13.190592274421306</v>
      </c>
      <c r="K192" s="35">
        <f t="shared" si="24"/>
        <v>11.060105942794358</v>
      </c>
      <c r="L192" s="35">
        <f t="shared" si="25"/>
        <v>2.1303780489406292</v>
      </c>
      <c r="M192" s="36"/>
      <c r="N192" s="35">
        <f t="shared" si="26"/>
        <v>13.190592274421306</v>
      </c>
      <c r="O192" s="37">
        <v>47062002</v>
      </c>
      <c r="P192" s="38">
        <v>620775680</v>
      </c>
      <c r="Q192" s="38">
        <v>520510728</v>
      </c>
      <c r="R192" s="38">
        <v>100259856</v>
      </c>
      <c r="S192" s="39"/>
      <c r="T192" s="40">
        <v>41.445500000000003</v>
      </c>
      <c r="U192" s="40">
        <v>45.759599999999999</v>
      </c>
      <c r="V192" s="40">
        <v>46.169699999999999</v>
      </c>
      <c r="W192" s="41"/>
      <c r="X192" s="40">
        <v>34.151400000000002</v>
      </c>
      <c r="Y192" s="40">
        <v>34.151400000000002</v>
      </c>
      <c r="Z192" s="40">
        <v>34.151400000000002</v>
      </c>
      <c r="AA192" s="41"/>
      <c r="AB192" s="42"/>
      <c r="AC192" s="42"/>
      <c r="AE192" s="34" t="str">
        <f t="shared" si="27"/>
        <v>·</v>
      </c>
      <c r="AF192" s="35">
        <f t="shared" si="28"/>
        <v>13.17055096806124</v>
      </c>
      <c r="AG192" s="35">
        <f t="shared" si="29"/>
        <v>11.060105942794358</v>
      </c>
      <c r="AH192" s="35">
        <f t="shared" si="30"/>
        <v>2.1103367425805644</v>
      </c>
      <c r="AI192" s="36"/>
      <c r="AJ192" s="35">
        <f t="shared" si="31"/>
        <v>13.17055096806124</v>
      </c>
      <c r="AK192" s="37">
        <v>47062002</v>
      </c>
      <c r="AL192" s="38">
        <v>619832496</v>
      </c>
      <c r="AM192" s="38">
        <v>520510728</v>
      </c>
      <c r="AN192" s="38">
        <v>99316672</v>
      </c>
      <c r="AO192" s="39"/>
      <c r="AP192" s="40">
        <v>41.5017</v>
      </c>
      <c r="AQ192" s="40">
        <v>45.877899999999997</v>
      </c>
      <c r="AR192" s="40">
        <v>46.323</v>
      </c>
      <c r="AS192" s="41"/>
      <c r="AT192" s="40">
        <v>34.151400000000002</v>
      </c>
      <c r="AU192" s="40">
        <v>34.151400000000002</v>
      </c>
      <c r="AV192" s="40">
        <v>34.151400000000002</v>
      </c>
      <c r="AW192" s="41"/>
      <c r="AX192" s="42">
        <v>212.64400000000001</v>
      </c>
      <c r="AY192" s="42">
        <v>190.78899999999999</v>
      </c>
      <c r="BA192" s="43">
        <f t="shared" si="32"/>
        <v>1.2759012832493921E-3</v>
      </c>
      <c r="BB192" s="43"/>
      <c r="BD192" s="44"/>
      <c r="BE192" s="44"/>
      <c r="BF192" s="44"/>
      <c r="BG192" s="45"/>
      <c r="BI192" s="44"/>
      <c r="BJ192" s="44"/>
      <c r="BK192" s="44"/>
      <c r="BL192" s="45"/>
      <c r="BN192" s="44"/>
      <c r="BO192" s="44"/>
      <c r="BP192" s="44"/>
      <c r="BQ192" s="45"/>
      <c r="BS192" s="44"/>
      <c r="BT192" s="44"/>
      <c r="BU192" s="44"/>
      <c r="BV192" s="45"/>
    </row>
    <row r="193" spans="1:74" outlineLevel="1" x14ac:dyDescent="0.15">
      <c r="A193" s="16"/>
      <c r="B193" s="16" t="s">
        <v>342</v>
      </c>
      <c r="C193" s="17" t="s">
        <v>228</v>
      </c>
      <c r="D193" s="16">
        <v>47062002</v>
      </c>
      <c r="E193" s="18">
        <v>16</v>
      </c>
      <c r="F193" s="17">
        <v>1</v>
      </c>
      <c r="G193" s="17"/>
      <c r="I193" s="19" t="str">
        <f t="shared" si="22"/>
        <v>·</v>
      </c>
      <c r="J193" s="20">
        <f t="shared" si="23"/>
        <v>12.31259052685434</v>
      </c>
      <c r="K193" s="20">
        <f t="shared" si="24"/>
        <v>11.060105942794358</v>
      </c>
      <c r="L193" s="20">
        <f t="shared" si="25"/>
        <v>1.2523763013736644</v>
      </c>
      <c r="M193" s="21"/>
      <c r="N193" s="20">
        <f t="shared" si="26"/>
        <v>12.31259052685434</v>
      </c>
      <c r="O193" s="22">
        <v>47062002</v>
      </c>
      <c r="P193" s="23">
        <v>579455160</v>
      </c>
      <c r="Q193" s="23">
        <v>520510728</v>
      </c>
      <c r="R193" s="23">
        <v>58939336</v>
      </c>
      <c r="S193" s="24"/>
      <c r="T193" s="25">
        <v>35.805500000000002</v>
      </c>
      <c r="U193" s="25">
        <v>40.960500000000003</v>
      </c>
      <c r="V193" s="25">
        <v>41.622300000000003</v>
      </c>
      <c r="W193" s="26"/>
      <c r="X193" s="25">
        <v>28.130800000000001</v>
      </c>
      <c r="Y193" s="25">
        <v>28.130800000000001</v>
      </c>
      <c r="Z193" s="25">
        <v>28.130800000000001</v>
      </c>
      <c r="AA193" s="26"/>
      <c r="AB193" s="27"/>
      <c r="AC193" s="27"/>
      <c r="AE193" s="19" t="str">
        <f t="shared" si="27"/>
        <v>·</v>
      </c>
      <c r="AF193" s="20">
        <f t="shared" si="28"/>
        <v>12.291557677465569</v>
      </c>
      <c r="AG193" s="20">
        <f t="shared" si="29"/>
        <v>11.060105942794358</v>
      </c>
      <c r="AH193" s="20">
        <f t="shared" si="30"/>
        <v>1.2313434519848943</v>
      </c>
      <c r="AI193" s="21"/>
      <c r="AJ193" s="20">
        <f t="shared" si="31"/>
        <v>12.291557677465569</v>
      </c>
      <c r="AK193" s="22">
        <v>47062002</v>
      </c>
      <c r="AL193" s="23">
        <v>578465312</v>
      </c>
      <c r="AM193" s="23">
        <v>520510728</v>
      </c>
      <c r="AN193" s="23">
        <v>57949488</v>
      </c>
      <c r="AO193" s="24"/>
      <c r="AP193" s="25">
        <v>35.911900000000003</v>
      </c>
      <c r="AQ193" s="25">
        <v>41.094700000000003</v>
      </c>
      <c r="AR193" s="25">
        <v>41.746699999999997</v>
      </c>
      <c r="AS193" s="26"/>
      <c r="AT193" s="25">
        <v>28.130800000000001</v>
      </c>
      <c r="AU193" s="25">
        <v>28.130800000000001</v>
      </c>
      <c r="AV193" s="25">
        <v>28.130800000000001</v>
      </c>
      <c r="AW193" s="26"/>
      <c r="AX193" s="27">
        <v>210.53800000000001</v>
      </c>
      <c r="AY193" s="27">
        <v>189.572</v>
      </c>
      <c r="BA193" s="28">
        <f t="shared" si="32"/>
        <v>1.5370961648327741E-3</v>
      </c>
      <c r="BB193" s="28"/>
      <c r="BD193" s="29"/>
      <c r="BE193" s="29"/>
      <c r="BF193" s="29"/>
      <c r="BG193" s="30"/>
      <c r="BI193" s="29"/>
      <c r="BJ193" s="29"/>
      <c r="BK193" s="29"/>
      <c r="BL193" s="30"/>
      <c r="BN193" s="29"/>
      <c r="BO193" s="29"/>
      <c r="BP193" s="29"/>
      <c r="BQ193" s="30"/>
      <c r="BS193" s="29"/>
      <c r="BT193" s="29"/>
      <c r="BU193" s="29"/>
      <c r="BV193" s="30"/>
    </row>
    <row r="194" spans="1:74" outlineLevel="1" x14ac:dyDescent="0.15">
      <c r="A194" s="31"/>
      <c r="B194" s="46" t="s">
        <v>342</v>
      </c>
      <c r="C194" s="47" t="s">
        <v>229</v>
      </c>
      <c r="D194" s="46">
        <v>47062002</v>
      </c>
      <c r="E194" s="48">
        <v>16</v>
      </c>
      <c r="F194" s="47">
        <v>1</v>
      </c>
      <c r="G194" s="47"/>
      <c r="I194" s="49" t="str">
        <f t="shared" si="22"/>
        <v>·</v>
      </c>
      <c r="J194" s="50">
        <f t="shared" si="23"/>
        <v>11.68301051026261</v>
      </c>
      <c r="K194" s="50">
        <f t="shared" si="24"/>
        <v>11.060105942794358</v>
      </c>
      <c r="L194" s="50">
        <f t="shared" si="25"/>
        <v>0.62279628478193516</v>
      </c>
      <c r="M194" s="51"/>
      <c r="N194" s="50">
        <f t="shared" si="26"/>
        <v>11.68301051026261</v>
      </c>
      <c r="O194" s="52">
        <v>47062002</v>
      </c>
      <c r="P194" s="53">
        <v>549825864</v>
      </c>
      <c r="Q194" s="53">
        <v>520510728</v>
      </c>
      <c r="R194" s="53">
        <v>29310040</v>
      </c>
      <c r="S194" s="54"/>
      <c r="T194" s="55">
        <v>29.473500000000001</v>
      </c>
      <c r="U194" s="55">
        <v>35.696399999999997</v>
      </c>
      <c r="V194" s="55">
        <v>36.864600000000003</v>
      </c>
      <c r="W194" s="56"/>
      <c r="X194" s="55">
        <v>21.686399999999999</v>
      </c>
      <c r="Y194" s="55">
        <v>21.686399999999999</v>
      </c>
      <c r="Z194" s="55">
        <v>21.686399999999999</v>
      </c>
      <c r="AA194" s="56"/>
      <c r="AB194" s="57"/>
      <c r="AC194" s="57"/>
      <c r="AE194" s="49" t="str">
        <f t="shared" si="27"/>
        <v>·</v>
      </c>
      <c r="AF194" s="50">
        <f t="shared" si="28"/>
        <v>11.668426005336535</v>
      </c>
      <c r="AG194" s="50">
        <f t="shared" si="29"/>
        <v>11.060105942794358</v>
      </c>
      <c r="AH194" s="50">
        <f t="shared" si="30"/>
        <v>0.60821177985585906</v>
      </c>
      <c r="AI194" s="51"/>
      <c r="AJ194" s="50">
        <f t="shared" si="31"/>
        <v>11.668426005336535</v>
      </c>
      <c r="AK194" s="52">
        <v>47062002</v>
      </c>
      <c r="AL194" s="53">
        <v>549139488</v>
      </c>
      <c r="AM194" s="53">
        <v>520510728</v>
      </c>
      <c r="AN194" s="53">
        <v>28623664</v>
      </c>
      <c r="AO194" s="54"/>
      <c r="AP194" s="55">
        <v>29.5871</v>
      </c>
      <c r="AQ194" s="55">
        <v>35.752699999999997</v>
      </c>
      <c r="AR194" s="55">
        <v>36.988300000000002</v>
      </c>
      <c r="AS194" s="56"/>
      <c r="AT194" s="55">
        <v>21.686399999999999</v>
      </c>
      <c r="AU194" s="55">
        <v>21.686399999999999</v>
      </c>
      <c r="AV194" s="55">
        <v>21.686399999999999</v>
      </c>
      <c r="AW194" s="56"/>
      <c r="AX194" s="57">
        <v>211.131</v>
      </c>
      <c r="AY194" s="57">
        <v>189.30699999999999</v>
      </c>
      <c r="BA194" s="58">
        <f t="shared" si="32"/>
        <v>1.1832702202480005E-3</v>
      </c>
      <c r="BB194" s="58"/>
      <c r="BD194" s="59"/>
      <c r="BE194" s="59"/>
      <c r="BF194" s="59"/>
      <c r="BG194" s="60"/>
      <c r="BI194" s="59"/>
      <c r="BJ194" s="59"/>
      <c r="BK194" s="59"/>
      <c r="BL194" s="60"/>
      <c r="BN194" s="59"/>
      <c r="BO194" s="59"/>
      <c r="BP194" s="59"/>
      <c r="BQ194" s="60"/>
      <c r="BS194" s="59"/>
      <c r="BT194" s="59"/>
      <c r="BU194" s="59"/>
      <c r="BV194" s="60"/>
    </row>
    <row r="195" spans="1:74" x14ac:dyDescent="0.15">
      <c r="A195" s="16"/>
      <c r="B195" s="16" t="s">
        <v>345</v>
      </c>
      <c r="C195" s="17" t="s">
        <v>225</v>
      </c>
      <c r="D195" s="16">
        <v>47062018</v>
      </c>
      <c r="E195" s="18">
        <v>20</v>
      </c>
      <c r="F195" s="17">
        <v>1</v>
      </c>
      <c r="G195" s="17"/>
      <c r="I195" s="19" t="str">
        <f t="shared" si="22"/>
        <v>·</v>
      </c>
      <c r="J195" s="20">
        <f t="shared" si="23"/>
        <v>16.84318050279952</v>
      </c>
      <c r="K195" s="20">
        <f t="shared" si="24"/>
        <v>11.370199722417343</v>
      </c>
      <c r="L195" s="20">
        <f t="shared" si="25"/>
        <v>5.472872327744212</v>
      </c>
      <c r="M195" s="21"/>
      <c r="N195" s="20">
        <f t="shared" si="26"/>
        <v>16.84318050279952</v>
      </c>
      <c r="O195" s="22">
        <v>47062018</v>
      </c>
      <c r="P195" s="23">
        <v>792674064</v>
      </c>
      <c r="Q195" s="23">
        <v>535104544</v>
      </c>
      <c r="R195" s="23">
        <v>257564416</v>
      </c>
      <c r="S195" s="24"/>
      <c r="T195" s="25">
        <v>52.900500000000001</v>
      </c>
      <c r="U195" s="25">
        <v>55.926499999999997</v>
      </c>
      <c r="V195" s="25">
        <v>55.838999999999999</v>
      </c>
      <c r="W195" s="26"/>
      <c r="X195" s="25">
        <v>48.130800000000001</v>
      </c>
      <c r="Y195" s="25">
        <v>48.130800000000001</v>
      </c>
      <c r="Z195" s="25">
        <v>48.130800000000001</v>
      </c>
      <c r="AA195" s="26"/>
      <c r="AB195" s="27"/>
      <c r="AC195" s="27"/>
      <c r="AE195" s="19" t="str">
        <f t="shared" si="27"/>
        <v>·</v>
      </c>
      <c r="AF195" s="20">
        <f t="shared" si="28"/>
        <v>16.903685175591068</v>
      </c>
      <c r="AG195" s="20">
        <f t="shared" si="29"/>
        <v>11.370199722417343</v>
      </c>
      <c r="AH195" s="20">
        <f t="shared" si="30"/>
        <v>5.5333770005357614</v>
      </c>
      <c r="AI195" s="21"/>
      <c r="AJ195" s="20">
        <f t="shared" si="31"/>
        <v>16.903685175591068</v>
      </c>
      <c r="AK195" s="22">
        <v>47062018</v>
      </c>
      <c r="AL195" s="23">
        <v>795521536</v>
      </c>
      <c r="AM195" s="23">
        <v>535104544</v>
      </c>
      <c r="AN195" s="23">
        <v>260411888</v>
      </c>
      <c r="AO195" s="24"/>
      <c r="AP195" s="25">
        <v>52.908900000000003</v>
      </c>
      <c r="AQ195" s="25">
        <v>55.892800000000001</v>
      </c>
      <c r="AR195" s="25">
        <v>55.811999999999998</v>
      </c>
      <c r="AS195" s="26"/>
      <c r="AT195" s="25">
        <v>48.130800000000001</v>
      </c>
      <c r="AU195" s="25">
        <v>48.130800000000001</v>
      </c>
      <c r="AV195" s="25">
        <v>48.130800000000001</v>
      </c>
      <c r="AW195" s="26"/>
      <c r="AX195" s="27">
        <v>297.60300000000001</v>
      </c>
      <c r="AY195" s="27">
        <v>272.892</v>
      </c>
      <c r="BA195" s="28">
        <f t="shared" si="32"/>
        <v>-2.416303658872021E-3</v>
      </c>
      <c r="BB195" s="28">
        <f t="array" ref="BB195">AVERAGE(AM195:AM199/AL195:AL199) - AVERAGE(Q195:Q199/P195:P199)</f>
        <v>3.2475217297933678E-4</v>
      </c>
      <c r="BD195" s="29">
        <f>IF( OR(ISBLANK(R195:R199),ISBLANK(AN195:AN199), ISBLANK(T195:T199),ISBLANK(AP195:AP199)), "·", bdRateExtend( R195:R199,T195:T199, AN195:AN199,AP195:AP199))</f>
        <v>-1.6143990268387864E-2</v>
      </c>
      <c r="BE195" s="29">
        <f>IF( OR(ISBLANK(R195:R199),ISBLANK(AN195:AN199), ISBLANK(U195:U199),ISBLANK(AQ195:AQ199)), "·", bdRateExtend( R195:R199,U195:U199, AN195:AN199,AQ195:AQ199))</f>
        <v>-2.0107658945496931E-2</v>
      </c>
      <c r="BF195" s="29">
        <f>IF( OR(ISBLANK(R195:R199),ISBLANK(AN195:AN199), ISBLANK(V195:V199),ISBLANK(AR195:AR199)), "·", bdRateExtend( R195:R199,V195:V199, AN195:AN199,AR195:AR199))</f>
        <v>-2.0647319262065866E-2</v>
      </c>
      <c r="BG195" s="30"/>
      <c r="BI195" s="29">
        <f>IF( OR(ISBLANK(R195:R199),ISBLANK(AN195:AN199), ISBLANK(X195:X199),ISBLANK(AT195:AT199)), "·", bdRateExtend( R195:R199,X195:X199, AN195:AN199,AT195:AT199))</f>
        <v>-8.4840837268993496E-3</v>
      </c>
      <c r="BJ195" s="29">
        <f>IF( OR(ISBLANK(R195:R199),ISBLANK(AN195:AN199), ISBLANK(Y195:Y199),ISBLANK(AU195:AU199)), "·", bdRateExtend( R195:R199,Y195:Y199, AN195:AN199,AU195:AU199))</f>
        <v>-8.4840837268993496E-3</v>
      </c>
      <c r="BK195" s="29">
        <f>IF( OR(ISBLANK(R195:R199),ISBLANK(AN195:AN199), ISBLANK(Z195:Z199),ISBLANK(AV195:AV199)), "·", bdRateExtend( R195:R199,Z195:Z199, AN195:AN199,AV195:AV199))</f>
        <v>-8.4840837268993496E-3</v>
      </c>
      <c r="BL195" s="30"/>
      <c r="BN195" s="29">
        <f>IF( OR(ISBLANK(P195:P199),ISBLANK(AL195:AL199), ISBLANK(T195:T199),ISBLANK(AP195:AP199)), "·", bdRateExtend( P195:P199,T195:T199, AL195:AL199,AP195:AP199))</f>
        <v>-1.586301959469294E-3</v>
      </c>
      <c r="BO195" s="29">
        <f>IF( OR(ISBLANK(P195:P199),ISBLANK(AL195:AL199), ISBLANK(U195:U199),ISBLANK(AQ195:AQ199)), "·", bdRateExtend( P195:P199,U195:U199, AL195:AL199,AQ195:AQ199))</f>
        <v>-2.2594045369089821E-3</v>
      </c>
      <c r="BP195" s="29">
        <f>IF( OR(ISBLANK(P195:P199),ISBLANK(AL195:AL199), ISBLANK(V195:V199),ISBLANK(AR195:AR199)), "·", bdRateExtend( P195:P199,V195:V199, AL195:AL199,AR195:AR199))</f>
        <v>-2.5881409837836822E-3</v>
      </c>
      <c r="BQ195" s="30"/>
      <c r="BS195" s="29">
        <f>IF( OR(ISBLANK(P195:P199),ISBLANK(AL195:AL199), ISBLANK(X195:X199),ISBLANK(AT195:AT199)), "·", bdRateExtend( P195:P199,X195:X199, AL195:AL199,AT195:AT199))</f>
        <v>-7.2326651203979964E-4</v>
      </c>
      <c r="BT195" s="29">
        <f>IF( OR(ISBLANK(P195:P199),ISBLANK(AL195:AL199), ISBLANK(Y195:Y199),ISBLANK(AU195:AU199)), "·", bdRateExtend( P195:P199,Y195:Y199, AL195:AL199,AU195:AU199))</f>
        <v>-7.2326651203979964E-4</v>
      </c>
      <c r="BU195" s="29">
        <f>IF( OR(ISBLANK(P195:P199),ISBLANK(AL195:AL199), ISBLANK(Z195:Z199),ISBLANK(AV195:AV199)), "·", bdRateExtend( P195:P199,Z195:Z199, AL195:AL199,AV195:AV199))</f>
        <v>-7.2326651203979964E-4</v>
      </c>
      <c r="BV195" s="30"/>
    </row>
    <row r="196" spans="1:74" outlineLevel="1" x14ac:dyDescent="0.15">
      <c r="A196" s="31"/>
      <c r="B196" s="31" t="s">
        <v>345</v>
      </c>
      <c r="C196" s="32" t="s">
        <v>226</v>
      </c>
      <c r="D196" s="31">
        <v>47062018</v>
      </c>
      <c r="E196" s="33">
        <v>20</v>
      </c>
      <c r="F196" s="32">
        <v>1</v>
      </c>
      <c r="G196" s="32"/>
      <c r="I196" s="34" t="str">
        <f t="shared" si="22"/>
        <v>·</v>
      </c>
      <c r="J196" s="35">
        <f t="shared" si="23"/>
        <v>15.167356911894428</v>
      </c>
      <c r="K196" s="35">
        <f t="shared" si="24"/>
        <v>11.370199722417343</v>
      </c>
      <c r="L196" s="35">
        <f t="shared" si="25"/>
        <v>3.7970487368391215</v>
      </c>
      <c r="M196" s="36"/>
      <c r="N196" s="35">
        <f t="shared" si="26"/>
        <v>15.167356911894428</v>
      </c>
      <c r="O196" s="37">
        <v>47062018</v>
      </c>
      <c r="P196" s="38">
        <v>713806424</v>
      </c>
      <c r="Q196" s="38">
        <v>535104544</v>
      </c>
      <c r="R196" s="38">
        <v>178696776</v>
      </c>
      <c r="S196" s="39"/>
      <c r="T196" s="40">
        <v>48.374299999999998</v>
      </c>
      <c r="U196" s="40">
        <v>51.377800000000001</v>
      </c>
      <c r="V196" s="40">
        <v>51.389400000000002</v>
      </c>
      <c r="W196" s="41"/>
      <c r="X196" s="40">
        <v>42.110199999999999</v>
      </c>
      <c r="Y196" s="40">
        <v>42.110199999999999</v>
      </c>
      <c r="Z196" s="40">
        <v>42.110199999999999</v>
      </c>
      <c r="AA196" s="41"/>
      <c r="AB196" s="42"/>
      <c r="AC196" s="42"/>
      <c r="AE196" s="34" t="str">
        <f t="shared" si="27"/>
        <v>·</v>
      </c>
      <c r="AF196" s="35">
        <f t="shared" si="28"/>
        <v>15.162744954965595</v>
      </c>
      <c r="AG196" s="35">
        <f t="shared" si="29"/>
        <v>11.370199722417343</v>
      </c>
      <c r="AH196" s="35">
        <f t="shared" si="30"/>
        <v>3.7924367799102878</v>
      </c>
      <c r="AI196" s="36"/>
      <c r="AJ196" s="35">
        <f t="shared" si="31"/>
        <v>15.162744954965595</v>
      </c>
      <c r="AK196" s="37">
        <v>47062018</v>
      </c>
      <c r="AL196" s="38">
        <v>713589376</v>
      </c>
      <c r="AM196" s="38">
        <v>535104544</v>
      </c>
      <c r="AN196" s="38">
        <v>178479728</v>
      </c>
      <c r="AO196" s="39"/>
      <c r="AP196" s="40">
        <v>48.399500000000003</v>
      </c>
      <c r="AQ196" s="40">
        <v>51.455800000000004</v>
      </c>
      <c r="AR196" s="40">
        <v>51.485900000000001</v>
      </c>
      <c r="AS196" s="41"/>
      <c r="AT196" s="40">
        <v>42.110199999999999</v>
      </c>
      <c r="AU196" s="40">
        <v>42.110199999999999</v>
      </c>
      <c r="AV196" s="40">
        <v>42.110199999999999</v>
      </c>
      <c r="AW196" s="41"/>
      <c r="AX196" s="42">
        <v>294.96600000000001</v>
      </c>
      <c r="AY196" s="42">
        <v>272.11200000000002</v>
      </c>
      <c r="BA196" s="43">
        <f t="shared" si="32"/>
        <v>2.2801614534695425E-4</v>
      </c>
      <c r="BB196" s="43"/>
      <c r="BD196" s="44"/>
      <c r="BE196" s="44"/>
      <c r="BF196" s="44"/>
      <c r="BG196" s="45"/>
      <c r="BI196" s="44"/>
      <c r="BJ196" s="44"/>
      <c r="BK196" s="44"/>
      <c r="BL196" s="45"/>
      <c r="BN196" s="44"/>
      <c r="BO196" s="44"/>
      <c r="BP196" s="44"/>
      <c r="BQ196" s="45"/>
      <c r="BS196" s="44"/>
      <c r="BT196" s="44"/>
      <c r="BU196" s="44"/>
      <c r="BV196" s="45"/>
    </row>
    <row r="197" spans="1:74" outlineLevel="1" x14ac:dyDescent="0.15">
      <c r="A197" s="16"/>
      <c r="B197" s="16" t="s">
        <v>345</v>
      </c>
      <c r="C197" s="17" t="s">
        <v>227</v>
      </c>
      <c r="D197" s="16">
        <v>47062018</v>
      </c>
      <c r="E197" s="18">
        <v>20</v>
      </c>
      <c r="F197" s="17">
        <v>1</v>
      </c>
      <c r="G197" s="17"/>
      <c r="I197" s="19" t="str">
        <f t="shared" ref="I197:I260" si="33">IF(OR(ISBLANK(P197),ISBLANK(G197)),"·",P197*G197/F197/1000000)</f>
        <v>·</v>
      </c>
      <c r="J197" s="20">
        <f t="shared" ref="J197:J260" si="34">IF(ISBLANK(P197),"·",P197/D197)</f>
        <v>13.499490820814357</v>
      </c>
      <c r="K197" s="20">
        <f t="shared" ref="K197:K260" si="35">IF(Q197="","·",Q197/D197)</f>
        <v>11.370199722417343</v>
      </c>
      <c r="L197" s="20">
        <f t="shared" ref="L197:L249" si="36">IF(ISBLANK(R197),"·",R197/D197)</f>
        <v>2.1291826457590495</v>
      </c>
      <c r="M197" s="21"/>
      <c r="N197" s="20">
        <f t="shared" ref="N197:N260" si="37">IF(ISBLANK(P197),"·",P197/O197)</f>
        <v>13.499490820814357</v>
      </c>
      <c r="O197" s="22">
        <v>47062018</v>
      </c>
      <c r="P197" s="23">
        <v>635313280</v>
      </c>
      <c r="Q197" s="23">
        <v>535104544</v>
      </c>
      <c r="R197" s="23">
        <v>100203632</v>
      </c>
      <c r="S197" s="24"/>
      <c r="T197" s="25">
        <v>41.451500000000003</v>
      </c>
      <c r="U197" s="25">
        <v>45.764600000000002</v>
      </c>
      <c r="V197" s="25">
        <v>46.165700000000001</v>
      </c>
      <c r="W197" s="26"/>
      <c r="X197" s="25">
        <v>34.151400000000002</v>
      </c>
      <c r="Y197" s="25">
        <v>34.151400000000002</v>
      </c>
      <c r="Z197" s="25">
        <v>34.151400000000002</v>
      </c>
      <c r="AA197" s="26"/>
      <c r="AB197" s="27"/>
      <c r="AC197" s="27"/>
      <c r="AE197" s="19" t="str">
        <f t="shared" ref="AE197:AE260" si="38">IF(OR(ISBLANK(AL197),ISBLANK(G197)),"·",AL197*G197/F197/1000000)</f>
        <v>·</v>
      </c>
      <c r="AF197" s="20">
        <f t="shared" ref="AF197:AF260" si="39">IF(ISBLANK(AL197),"·",AL197/D197)</f>
        <v>13.480831357465377</v>
      </c>
      <c r="AG197" s="20">
        <f t="shared" ref="AG197:AG260" si="40">IF(AM197="","·",AM197/D197)</f>
        <v>11.370199722417343</v>
      </c>
      <c r="AH197" s="20">
        <f t="shared" ref="AH197:AH249" si="41">IF(ISBLANK(AN197),"·",AN197/D197)</f>
        <v>2.1105231824100699</v>
      </c>
      <c r="AI197" s="21"/>
      <c r="AJ197" s="20">
        <f t="shared" ref="AJ197:AJ260" si="42">IF(ISBLANK(AL197),"·",AL197/AK197)</f>
        <v>13.480831357465377</v>
      </c>
      <c r="AK197" s="22">
        <v>47062018</v>
      </c>
      <c r="AL197" s="23">
        <v>634435128</v>
      </c>
      <c r="AM197" s="23">
        <v>535104544</v>
      </c>
      <c r="AN197" s="23">
        <v>99325480</v>
      </c>
      <c r="AO197" s="24"/>
      <c r="AP197" s="25">
        <v>41.503300000000003</v>
      </c>
      <c r="AQ197" s="25">
        <v>45.8872</v>
      </c>
      <c r="AR197" s="25">
        <v>46.312899999999999</v>
      </c>
      <c r="AS197" s="26"/>
      <c r="AT197" s="25">
        <v>34.151400000000002</v>
      </c>
      <c r="AU197" s="25">
        <v>34.151400000000002</v>
      </c>
      <c r="AV197" s="25">
        <v>34.151400000000002</v>
      </c>
      <c r="AW197" s="26"/>
      <c r="AX197" s="27">
        <v>294.108</v>
      </c>
      <c r="AY197" s="27">
        <v>270.00599999999997</v>
      </c>
      <c r="BA197" s="28">
        <f t="shared" ref="BA197:BA260" si="43">(AM197/AL197) - (Q197/P197)</f>
        <v>1.1658245025126801E-3</v>
      </c>
      <c r="BB197" s="28"/>
      <c r="BD197" s="29"/>
      <c r="BE197" s="29"/>
      <c r="BF197" s="29"/>
      <c r="BG197" s="30"/>
      <c r="BI197" s="29"/>
      <c r="BJ197" s="29"/>
      <c r="BK197" s="29"/>
      <c r="BL197" s="30"/>
      <c r="BN197" s="29"/>
      <c r="BO197" s="29"/>
      <c r="BP197" s="29"/>
      <c r="BQ197" s="30"/>
      <c r="BS197" s="29"/>
      <c r="BT197" s="29"/>
      <c r="BU197" s="29"/>
      <c r="BV197" s="30"/>
    </row>
    <row r="198" spans="1:74" outlineLevel="1" x14ac:dyDescent="0.15">
      <c r="A198" s="31"/>
      <c r="B198" s="31" t="s">
        <v>345</v>
      </c>
      <c r="C198" s="32" t="s">
        <v>228</v>
      </c>
      <c r="D198" s="31">
        <v>47062018</v>
      </c>
      <c r="E198" s="33">
        <v>20</v>
      </c>
      <c r="F198" s="32">
        <v>1</v>
      </c>
      <c r="G198" s="32"/>
      <c r="I198" s="34" t="str">
        <f t="shared" si="33"/>
        <v>·</v>
      </c>
      <c r="J198" s="35">
        <f t="shared" si="34"/>
        <v>12.623065844732794</v>
      </c>
      <c r="K198" s="35">
        <f t="shared" si="35"/>
        <v>11.370199722417343</v>
      </c>
      <c r="L198" s="35">
        <f t="shared" si="36"/>
        <v>1.252757669677488</v>
      </c>
      <c r="M198" s="36"/>
      <c r="N198" s="35">
        <f t="shared" si="37"/>
        <v>12.623065844732794</v>
      </c>
      <c r="O198" s="37">
        <v>47062018</v>
      </c>
      <c r="P198" s="38">
        <v>594066952</v>
      </c>
      <c r="Q198" s="38">
        <v>535104544</v>
      </c>
      <c r="R198" s="38">
        <v>58957304</v>
      </c>
      <c r="S198" s="39"/>
      <c r="T198" s="40">
        <v>35.7926</v>
      </c>
      <c r="U198" s="40">
        <v>40.969299999999997</v>
      </c>
      <c r="V198" s="40">
        <v>41.587899999999998</v>
      </c>
      <c r="W198" s="41"/>
      <c r="X198" s="40">
        <v>28.130800000000001</v>
      </c>
      <c r="Y198" s="40">
        <v>28.130800000000001</v>
      </c>
      <c r="Z198" s="40">
        <v>28.130800000000001</v>
      </c>
      <c r="AA198" s="41"/>
      <c r="AB198" s="42"/>
      <c r="AC198" s="42"/>
      <c r="AE198" s="34" t="str">
        <f t="shared" si="38"/>
        <v>·</v>
      </c>
      <c r="AF198" s="35">
        <f t="shared" si="39"/>
        <v>12.601593752312109</v>
      </c>
      <c r="AG198" s="35">
        <f t="shared" si="40"/>
        <v>11.370199722417343</v>
      </c>
      <c r="AH198" s="35">
        <f t="shared" si="41"/>
        <v>1.2312855772568019</v>
      </c>
      <c r="AI198" s="36"/>
      <c r="AJ198" s="35">
        <f t="shared" si="42"/>
        <v>12.601593752312109</v>
      </c>
      <c r="AK198" s="37">
        <v>47062018</v>
      </c>
      <c r="AL198" s="38">
        <v>593056432</v>
      </c>
      <c r="AM198" s="38">
        <v>535104544</v>
      </c>
      <c r="AN198" s="38">
        <v>57946784</v>
      </c>
      <c r="AO198" s="39"/>
      <c r="AP198" s="40">
        <v>35.8962</v>
      </c>
      <c r="AQ198" s="40">
        <v>41.109000000000002</v>
      </c>
      <c r="AR198" s="40">
        <v>41.768999999999998</v>
      </c>
      <c r="AS198" s="41"/>
      <c r="AT198" s="40">
        <v>28.130800000000001</v>
      </c>
      <c r="AU198" s="40">
        <v>28.130800000000001</v>
      </c>
      <c r="AV198" s="40">
        <v>28.130800000000001</v>
      </c>
      <c r="AW198" s="41"/>
      <c r="AX198" s="42">
        <v>293.04700000000003</v>
      </c>
      <c r="AY198" s="42">
        <v>268.30599999999998</v>
      </c>
      <c r="BA198" s="43">
        <f t="shared" si="43"/>
        <v>1.5348012304964298E-3</v>
      </c>
      <c r="BB198" s="43"/>
      <c r="BD198" s="44"/>
      <c r="BE198" s="44"/>
      <c r="BF198" s="44"/>
      <c r="BG198" s="45"/>
      <c r="BI198" s="44"/>
      <c r="BJ198" s="44"/>
      <c r="BK198" s="44"/>
      <c r="BL198" s="45"/>
      <c r="BN198" s="44"/>
      <c r="BO198" s="44"/>
      <c r="BP198" s="44"/>
      <c r="BQ198" s="45"/>
      <c r="BS198" s="44"/>
      <c r="BT198" s="44"/>
      <c r="BU198" s="44"/>
      <c r="BV198" s="45"/>
    </row>
    <row r="199" spans="1:74" outlineLevel="1" x14ac:dyDescent="0.15">
      <c r="A199" s="16"/>
      <c r="B199" s="65" t="s">
        <v>345</v>
      </c>
      <c r="C199" s="67" t="s">
        <v>229</v>
      </c>
      <c r="D199" s="65">
        <v>47062018</v>
      </c>
      <c r="E199" s="66">
        <v>20</v>
      </c>
      <c r="F199" s="67">
        <v>1</v>
      </c>
      <c r="G199" s="67"/>
      <c r="I199" s="69" t="str">
        <f t="shared" si="33"/>
        <v>·</v>
      </c>
      <c r="J199" s="70">
        <f t="shared" si="34"/>
        <v>11.992627600456911</v>
      </c>
      <c r="K199" s="70">
        <f t="shared" si="35"/>
        <v>11.370199722417343</v>
      </c>
      <c r="L199" s="70">
        <f t="shared" si="36"/>
        <v>0.62231942540160523</v>
      </c>
      <c r="M199" s="75"/>
      <c r="N199" s="70">
        <f t="shared" si="37"/>
        <v>11.992627600456911</v>
      </c>
      <c r="O199" s="71">
        <v>47062018</v>
      </c>
      <c r="P199" s="72">
        <v>564397256</v>
      </c>
      <c r="Q199" s="72">
        <v>535104544</v>
      </c>
      <c r="R199" s="72">
        <v>29287608</v>
      </c>
      <c r="S199" s="76"/>
      <c r="T199" s="77">
        <v>29.462299999999999</v>
      </c>
      <c r="U199" s="77">
        <v>35.645499999999998</v>
      </c>
      <c r="V199" s="77">
        <v>36.975099999999998</v>
      </c>
      <c r="W199" s="78"/>
      <c r="X199" s="77">
        <v>21.686399999999999</v>
      </c>
      <c r="Y199" s="77">
        <v>21.686399999999999</v>
      </c>
      <c r="Z199" s="77">
        <v>21.686399999999999</v>
      </c>
      <c r="AA199" s="78"/>
      <c r="AB199" s="73"/>
      <c r="AC199" s="73"/>
      <c r="AE199" s="69" t="str">
        <f t="shared" si="38"/>
        <v>·</v>
      </c>
      <c r="AF199" s="70">
        <f t="shared" si="39"/>
        <v>11.978585533667511</v>
      </c>
      <c r="AG199" s="70">
        <f t="shared" si="40"/>
        <v>11.370199722417343</v>
      </c>
      <c r="AH199" s="70">
        <f t="shared" si="41"/>
        <v>0.608277358612204</v>
      </c>
      <c r="AI199" s="75"/>
      <c r="AJ199" s="70">
        <f t="shared" si="42"/>
        <v>11.978585533667511</v>
      </c>
      <c r="AK199" s="71">
        <v>47062018</v>
      </c>
      <c r="AL199" s="72">
        <v>563736408</v>
      </c>
      <c r="AM199" s="72">
        <v>535104544</v>
      </c>
      <c r="AN199" s="72">
        <v>28626760</v>
      </c>
      <c r="AO199" s="76"/>
      <c r="AP199" s="77">
        <v>29.622599999999998</v>
      </c>
      <c r="AQ199" s="77">
        <v>35.7363</v>
      </c>
      <c r="AR199" s="77">
        <v>36.884999999999998</v>
      </c>
      <c r="AS199" s="78"/>
      <c r="AT199" s="77">
        <v>21.686399999999999</v>
      </c>
      <c r="AU199" s="77">
        <v>21.686399999999999</v>
      </c>
      <c r="AV199" s="77">
        <v>21.686399999999999</v>
      </c>
      <c r="AW199" s="78"/>
      <c r="AX199" s="73">
        <v>290.39499999999998</v>
      </c>
      <c r="AY199" s="73">
        <v>269.91199999999998</v>
      </c>
      <c r="BA199" s="68">
        <f t="shared" si="43"/>
        <v>1.111422645413529E-3</v>
      </c>
      <c r="BB199" s="68"/>
      <c r="BD199" s="74"/>
      <c r="BE199" s="74"/>
      <c r="BF199" s="74"/>
      <c r="BG199" s="79"/>
      <c r="BI199" s="74"/>
      <c r="BJ199" s="74"/>
      <c r="BK199" s="74"/>
      <c r="BL199" s="79"/>
      <c r="BN199" s="74"/>
      <c r="BO199" s="74"/>
      <c r="BP199" s="74"/>
      <c r="BQ199" s="79"/>
      <c r="BS199" s="74"/>
      <c r="BT199" s="74"/>
      <c r="BU199" s="74"/>
      <c r="BV199" s="79"/>
    </row>
    <row r="200" spans="1:74" x14ac:dyDescent="0.15">
      <c r="A200" s="31"/>
      <c r="B200" s="31" t="s">
        <v>348</v>
      </c>
      <c r="C200" s="32" t="s">
        <v>225</v>
      </c>
      <c r="D200" s="31">
        <v>43399204</v>
      </c>
      <c r="E200" s="33">
        <v>16</v>
      </c>
      <c r="F200" s="32">
        <v>1</v>
      </c>
      <c r="G200" s="32"/>
      <c r="I200" s="34" t="str">
        <f t="shared" si="33"/>
        <v>·</v>
      </c>
      <c r="J200" s="35">
        <f t="shared" si="34"/>
        <v>17.212059281087274</v>
      </c>
      <c r="K200" s="35">
        <f t="shared" si="35"/>
        <v>11.385743572624051</v>
      </c>
      <c r="L200" s="35">
        <f t="shared" si="36"/>
        <v>5.8262111904172249</v>
      </c>
      <c r="M200" s="36"/>
      <c r="N200" s="35">
        <f t="shared" si="37"/>
        <v>17.212059281087274</v>
      </c>
      <c r="O200" s="37">
        <v>43399204</v>
      </c>
      <c r="P200" s="38">
        <v>746989672</v>
      </c>
      <c r="Q200" s="38">
        <v>494132208</v>
      </c>
      <c r="R200" s="38">
        <v>252852928</v>
      </c>
      <c r="S200" s="39"/>
      <c r="T200" s="40">
        <v>52.935400000000001</v>
      </c>
      <c r="U200" s="40">
        <v>55.866300000000003</v>
      </c>
      <c r="V200" s="40">
        <v>55.752699999999997</v>
      </c>
      <c r="W200" s="41"/>
      <c r="X200" s="40">
        <v>48.130800000000001</v>
      </c>
      <c r="Y200" s="40">
        <v>48.130800000000001</v>
      </c>
      <c r="Z200" s="40">
        <v>48.130800000000001</v>
      </c>
      <c r="AA200" s="41"/>
      <c r="AB200" s="42"/>
      <c r="AC200" s="42"/>
      <c r="AE200" s="34" t="str">
        <f t="shared" si="38"/>
        <v>·</v>
      </c>
      <c r="AF200" s="35">
        <f t="shared" si="39"/>
        <v>17.280411133807892</v>
      </c>
      <c r="AG200" s="35">
        <f t="shared" si="40"/>
        <v>11.385743572624051</v>
      </c>
      <c r="AH200" s="35">
        <f t="shared" si="41"/>
        <v>5.8945630431378415</v>
      </c>
      <c r="AI200" s="36"/>
      <c r="AJ200" s="35">
        <f t="shared" si="42"/>
        <v>17.280411133807892</v>
      </c>
      <c r="AK200" s="37">
        <v>43399204</v>
      </c>
      <c r="AL200" s="38">
        <v>749956088</v>
      </c>
      <c r="AM200" s="38">
        <v>494132208</v>
      </c>
      <c r="AN200" s="38">
        <v>255819344</v>
      </c>
      <c r="AO200" s="39"/>
      <c r="AP200" s="40">
        <v>52.944200000000002</v>
      </c>
      <c r="AQ200" s="40">
        <v>55.843400000000003</v>
      </c>
      <c r="AR200" s="40">
        <v>55.7346</v>
      </c>
      <c r="AS200" s="41"/>
      <c r="AT200" s="40">
        <v>48.130800000000001</v>
      </c>
      <c r="AU200" s="40">
        <v>48.130800000000001</v>
      </c>
      <c r="AV200" s="40">
        <v>48.130800000000001</v>
      </c>
      <c r="AW200" s="41"/>
      <c r="AX200" s="42">
        <v>205.999</v>
      </c>
      <c r="AY200" s="42">
        <v>185.999</v>
      </c>
      <c r="BA200" s="43">
        <f t="shared" si="43"/>
        <v>-2.6165243770835955E-3</v>
      </c>
      <c r="BB200" s="43">
        <f t="array" ref="BB200">AVERAGE(AM200:AM204/AL200:AL204) - AVERAGE(Q200:Q204/P200:P204)</f>
        <v>7.6558900142131847E-5</v>
      </c>
      <c r="BD200" s="44">
        <f>IF( OR(ISBLANK(R200:R204),ISBLANK(AN200:AN204), ISBLANK(T200:T204),ISBLANK(AP200:AP204)), "·", bdRateExtend( R200:R204,T200:T204, AN200:AN204,AP200:AP204))</f>
        <v>-1.1972145964132319E-2</v>
      </c>
      <c r="BE200" s="44">
        <f>IF( OR(ISBLANK(R200:R204),ISBLANK(AN200:AN204), ISBLANK(U200:U204),ISBLANK(AQ200:AQ204)), "·", bdRateExtend( R200:R204,U200:U204, AN200:AN204,AQ200:AQ204))</f>
        <v>-1.7273787721271749E-2</v>
      </c>
      <c r="BF200" s="44">
        <f>IF( OR(ISBLANK(R200:R204),ISBLANK(AN200:AN204), ISBLANK(V200:V204),ISBLANK(AR200:AR204)), "·", bdRateExtend( R200:R204,V200:V204, AN200:AN204,AR200:AR204))</f>
        <v>-1.8471260662437317E-2</v>
      </c>
      <c r="BG200" s="45"/>
      <c r="BI200" s="44">
        <f>IF( OR(ISBLANK(R200:R204),ISBLANK(AN200:AN204), ISBLANK(X200:X204),ISBLANK(AT200:AT204)), "·", bdRateExtend( R200:R204,X200:X204, AN200:AN204,AT200:AT204))</f>
        <v>-5.984326698495579E-3</v>
      </c>
      <c r="BJ200" s="44">
        <f>IF( OR(ISBLANK(R200:R204),ISBLANK(AN200:AN204), ISBLANK(Y200:Y204),ISBLANK(AU200:AU204)), "·", bdRateExtend( R200:R204,Y200:Y204, AN200:AN204,AU200:AU204))</f>
        <v>-5.984326698495579E-3</v>
      </c>
      <c r="BK200" s="44">
        <f>IF( OR(ISBLANK(R200:R204),ISBLANK(AN200:AN204), ISBLANK(Z200:Z204),ISBLANK(AV200:AV204)), "·", bdRateExtend( R200:R204,Z200:Z204, AN200:AN204,AV200:AV204))</f>
        <v>-5.984326698495579E-3</v>
      </c>
      <c r="BL200" s="45"/>
      <c r="BN200" s="44">
        <f>IF( OR(ISBLANK(P200:P204),ISBLANK(AL200:AL204), ISBLANK(T200:T204),ISBLANK(AP200:AP204)), "·", bdRateExtend( P200:P204,T200:T204, AL200:AL204,AP200:AP204))</f>
        <v>-1.0550153501326376E-3</v>
      </c>
      <c r="BO200" s="44">
        <f>IF( OR(ISBLANK(P200:P204),ISBLANK(AL200:AL204), ISBLANK(U200:U204),ISBLANK(AQ200:AQ204)), "·", bdRateExtend( P200:P204,U200:U204, AL200:AL204,AQ200:AQ204))</f>
        <v>-1.8709741307976202E-3</v>
      </c>
      <c r="BP200" s="44">
        <f>IF( OR(ISBLANK(P200:P204),ISBLANK(AL200:AL204), ISBLANK(V200:V204),ISBLANK(AR200:AR204)), "·", bdRateExtend( P200:P204,V200:V204, AL200:AL204,AR200:AR204))</f>
        <v>-2.1818710477837788E-3</v>
      </c>
      <c r="BQ200" s="45"/>
      <c r="BS200" s="44">
        <f>IF( OR(ISBLANK(P200:P204),ISBLANK(AL200:AL204), ISBLANK(X200:X204),ISBLANK(AT200:AT204)), "·", bdRateExtend( P200:P204,X200:X204, AL200:AL204,AT200:AT204))</f>
        <v>-3.4810606647961428E-4</v>
      </c>
      <c r="BT200" s="44">
        <f>IF( OR(ISBLANK(P200:P204),ISBLANK(AL200:AL204), ISBLANK(Y200:Y204),ISBLANK(AU200:AU204)), "·", bdRateExtend( P200:P204,Y200:Y204, AL200:AL204,AU200:AU204))</f>
        <v>-3.4810606647961428E-4</v>
      </c>
      <c r="BU200" s="44">
        <f>IF( OR(ISBLANK(P200:P204),ISBLANK(AL200:AL204), ISBLANK(Z200:Z204),ISBLANK(AV200:AV204)), "·", bdRateExtend( P200:P204,Z200:Z204, AL200:AL204,AV200:AV204))</f>
        <v>-3.4810606647961428E-4</v>
      </c>
      <c r="BV200" s="45"/>
    </row>
    <row r="201" spans="1:74" outlineLevel="1" x14ac:dyDescent="0.15">
      <c r="A201" s="16"/>
      <c r="B201" s="16" t="s">
        <v>348</v>
      </c>
      <c r="C201" s="17" t="s">
        <v>226</v>
      </c>
      <c r="D201" s="16">
        <v>43399204</v>
      </c>
      <c r="E201" s="18">
        <v>16</v>
      </c>
      <c r="F201" s="17">
        <v>1</v>
      </c>
      <c r="G201" s="17"/>
      <c r="I201" s="19" t="str">
        <f t="shared" si="33"/>
        <v>·</v>
      </c>
      <c r="J201" s="20">
        <f t="shared" si="34"/>
        <v>15.464898388458922</v>
      </c>
      <c r="K201" s="20">
        <f t="shared" si="35"/>
        <v>11.385743572624051</v>
      </c>
      <c r="L201" s="20">
        <f t="shared" si="36"/>
        <v>4.0790502977888723</v>
      </c>
      <c r="M201" s="21"/>
      <c r="N201" s="20">
        <f t="shared" si="37"/>
        <v>15.464898388458922</v>
      </c>
      <c r="O201" s="22">
        <v>43399204</v>
      </c>
      <c r="P201" s="23">
        <v>671164280</v>
      </c>
      <c r="Q201" s="23">
        <v>494132208</v>
      </c>
      <c r="R201" s="23">
        <v>177027536</v>
      </c>
      <c r="S201" s="24"/>
      <c r="T201" s="25">
        <v>48.3752</v>
      </c>
      <c r="U201" s="25">
        <v>51.321800000000003</v>
      </c>
      <c r="V201" s="25">
        <v>51.282200000000003</v>
      </c>
      <c r="W201" s="26"/>
      <c r="X201" s="25">
        <v>42.110199999999999</v>
      </c>
      <c r="Y201" s="25">
        <v>42.110199999999999</v>
      </c>
      <c r="Z201" s="25">
        <v>42.110199999999999</v>
      </c>
      <c r="AA201" s="26"/>
      <c r="AB201" s="27"/>
      <c r="AC201" s="27"/>
      <c r="AE201" s="19" t="str">
        <f t="shared" si="38"/>
        <v>·</v>
      </c>
      <c r="AF201" s="20">
        <f t="shared" si="39"/>
        <v>15.470174429927333</v>
      </c>
      <c r="AG201" s="20">
        <f t="shared" si="40"/>
        <v>11.385743572624051</v>
      </c>
      <c r="AH201" s="20">
        <f t="shared" si="41"/>
        <v>4.0843263392572826</v>
      </c>
      <c r="AI201" s="21"/>
      <c r="AJ201" s="20">
        <f t="shared" si="42"/>
        <v>15.470174429927333</v>
      </c>
      <c r="AK201" s="22">
        <v>43399204</v>
      </c>
      <c r="AL201" s="23">
        <v>671393256</v>
      </c>
      <c r="AM201" s="23">
        <v>494132208</v>
      </c>
      <c r="AN201" s="23">
        <v>177256512</v>
      </c>
      <c r="AO201" s="24"/>
      <c r="AP201" s="25">
        <v>48.390300000000003</v>
      </c>
      <c r="AQ201" s="25">
        <v>51.384799999999998</v>
      </c>
      <c r="AR201" s="25">
        <v>51.370199999999997</v>
      </c>
      <c r="AS201" s="26"/>
      <c r="AT201" s="25">
        <v>42.110199999999999</v>
      </c>
      <c r="AU201" s="25">
        <v>42.110199999999999</v>
      </c>
      <c r="AV201" s="25">
        <v>42.110199999999999</v>
      </c>
      <c r="AW201" s="26"/>
      <c r="AX201" s="27">
        <v>204.70400000000001</v>
      </c>
      <c r="AY201" s="27">
        <v>185.39099999999999</v>
      </c>
      <c r="BA201" s="28">
        <f t="shared" si="43"/>
        <v>-2.5108878634194642E-4</v>
      </c>
      <c r="BB201" s="28"/>
      <c r="BD201" s="29"/>
      <c r="BE201" s="29"/>
      <c r="BF201" s="29"/>
      <c r="BG201" s="30"/>
      <c r="BI201" s="29"/>
      <c r="BJ201" s="29"/>
      <c r="BK201" s="29"/>
      <c r="BL201" s="30"/>
      <c r="BN201" s="29"/>
      <c r="BO201" s="29"/>
      <c r="BP201" s="29"/>
      <c r="BQ201" s="30"/>
      <c r="BS201" s="29"/>
      <c r="BT201" s="29"/>
      <c r="BU201" s="29"/>
      <c r="BV201" s="30"/>
    </row>
    <row r="202" spans="1:74" outlineLevel="1" x14ac:dyDescent="0.15">
      <c r="A202" s="31"/>
      <c r="B202" s="31" t="s">
        <v>348</v>
      </c>
      <c r="C202" s="32" t="s">
        <v>227</v>
      </c>
      <c r="D202" s="31">
        <v>43399204</v>
      </c>
      <c r="E202" s="33">
        <v>16</v>
      </c>
      <c r="F202" s="32">
        <v>1</v>
      </c>
      <c r="G202" s="32"/>
      <c r="I202" s="34" t="str">
        <f t="shared" si="33"/>
        <v>·</v>
      </c>
      <c r="J202" s="35">
        <f t="shared" si="34"/>
        <v>13.685943364306866</v>
      </c>
      <c r="K202" s="35">
        <f t="shared" si="35"/>
        <v>11.385743572624051</v>
      </c>
      <c r="L202" s="35">
        <f t="shared" si="36"/>
        <v>2.3000952736368161</v>
      </c>
      <c r="M202" s="36"/>
      <c r="N202" s="35">
        <f t="shared" si="37"/>
        <v>13.685943364306866</v>
      </c>
      <c r="O202" s="37">
        <v>43399204</v>
      </c>
      <c r="P202" s="38">
        <v>593959048</v>
      </c>
      <c r="Q202" s="38">
        <v>494132208</v>
      </c>
      <c r="R202" s="38">
        <v>99822304</v>
      </c>
      <c r="S202" s="39"/>
      <c r="T202" s="40">
        <v>41.481999999999999</v>
      </c>
      <c r="U202" s="40">
        <v>45.665399999999998</v>
      </c>
      <c r="V202" s="40">
        <v>45.957900000000002</v>
      </c>
      <c r="W202" s="41"/>
      <c r="X202" s="40">
        <v>34.151400000000002</v>
      </c>
      <c r="Y202" s="40">
        <v>34.151400000000002</v>
      </c>
      <c r="Z202" s="40">
        <v>34.151400000000002</v>
      </c>
      <c r="AA202" s="41"/>
      <c r="AB202" s="42"/>
      <c r="AC202" s="42"/>
      <c r="AE202" s="34" t="str">
        <f t="shared" si="38"/>
        <v>·</v>
      </c>
      <c r="AF202" s="35">
        <f t="shared" si="39"/>
        <v>13.671565404747977</v>
      </c>
      <c r="AG202" s="35">
        <f t="shared" si="40"/>
        <v>11.385743572624051</v>
      </c>
      <c r="AH202" s="35">
        <f t="shared" si="41"/>
        <v>2.2857173140779263</v>
      </c>
      <c r="AI202" s="36"/>
      <c r="AJ202" s="35">
        <f t="shared" si="42"/>
        <v>13.671565404747977</v>
      </c>
      <c r="AK202" s="37">
        <v>43399204</v>
      </c>
      <c r="AL202" s="38">
        <v>593335056</v>
      </c>
      <c r="AM202" s="38">
        <v>494132208</v>
      </c>
      <c r="AN202" s="38">
        <v>99198312</v>
      </c>
      <c r="AO202" s="39"/>
      <c r="AP202" s="40">
        <v>41.518900000000002</v>
      </c>
      <c r="AQ202" s="40">
        <v>45.789700000000003</v>
      </c>
      <c r="AR202" s="40">
        <v>46.073399999999999</v>
      </c>
      <c r="AS202" s="41"/>
      <c r="AT202" s="40">
        <v>34.151400000000002</v>
      </c>
      <c r="AU202" s="40">
        <v>34.151400000000002</v>
      </c>
      <c r="AV202" s="40">
        <v>34.151400000000002</v>
      </c>
      <c r="AW202" s="41"/>
      <c r="AX202" s="42">
        <v>199.322</v>
      </c>
      <c r="AY202" s="42">
        <v>183.76900000000001</v>
      </c>
      <c r="BA202" s="43">
        <f t="shared" si="43"/>
        <v>8.7491461913002944E-4</v>
      </c>
      <c r="BB202" s="43"/>
      <c r="BD202" s="44"/>
      <c r="BE202" s="44"/>
      <c r="BF202" s="44"/>
      <c r="BG202" s="45"/>
      <c r="BI202" s="44"/>
      <c r="BJ202" s="44"/>
      <c r="BK202" s="44"/>
      <c r="BL202" s="45"/>
      <c r="BN202" s="44"/>
      <c r="BO202" s="44"/>
      <c r="BP202" s="44"/>
      <c r="BQ202" s="45"/>
      <c r="BS202" s="44"/>
      <c r="BT202" s="44"/>
      <c r="BU202" s="44"/>
      <c r="BV202" s="45"/>
    </row>
    <row r="203" spans="1:74" outlineLevel="1" x14ac:dyDescent="0.15">
      <c r="A203" s="16"/>
      <c r="B203" s="16" t="s">
        <v>348</v>
      </c>
      <c r="C203" s="17" t="s">
        <v>228</v>
      </c>
      <c r="D203" s="16">
        <v>43399204</v>
      </c>
      <c r="E203" s="18">
        <v>16</v>
      </c>
      <c r="F203" s="17">
        <v>1</v>
      </c>
      <c r="G203" s="17"/>
      <c r="I203" s="19" t="str">
        <f t="shared" si="33"/>
        <v>·</v>
      </c>
      <c r="J203" s="20">
        <f t="shared" si="34"/>
        <v>12.721504477363226</v>
      </c>
      <c r="K203" s="20">
        <f t="shared" si="35"/>
        <v>11.385743572624051</v>
      </c>
      <c r="L203" s="20">
        <f t="shared" si="36"/>
        <v>1.3356563866931752</v>
      </c>
      <c r="M203" s="21"/>
      <c r="N203" s="20">
        <f t="shared" si="37"/>
        <v>12.721504477363226</v>
      </c>
      <c r="O203" s="22">
        <v>43399204</v>
      </c>
      <c r="P203" s="23">
        <v>552103168</v>
      </c>
      <c r="Q203" s="23">
        <v>494132208</v>
      </c>
      <c r="R203" s="23">
        <v>57966424</v>
      </c>
      <c r="S203" s="24"/>
      <c r="T203" s="25">
        <v>35.9054</v>
      </c>
      <c r="U203" s="25">
        <v>40.8658</v>
      </c>
      <c r="V203" s="25">
        <v>41.297499999999999</v>
      </c>
      <c r="W203" s="26"/>
      <c r="X203" s="25">
        <v>28.130800000000001</v>
      </c>
      <c r="Y203" s="25">
        <v>28.130800000000001</v>
      </c>
      <c r="Z203" s="25">
        <v>28.130800000000001</v>
      </c>
      <c r="AA203" s="26"/>
      <c r="AB203" s="27"/>
      <c r="AC203" s="27"/>
      <c r="AE203" s="19" t="str">
        <f t="shared" si="38"/>
        <v>·</v>
      </c>
      <c r="AF203" s="20">
        <f t="shared" si="39"/>
        <v>12.702690860413016</v>
      </c>
      <c r="AG203" s="20">
        <f t="shared" si="40"/>
        <v>11.385743572624051</v>
      </c>
      <c r="AH203" s="20">
        <f t="shared" si="41"/>
        <v>1.3168427697429659</v>
      </c>
      <c r="AI203" s="21"/>
      <c r="AJ203" s="20">
        <f t="shared" si="42"/>
        <v>12.702690860413016</v>
      </c>
      <c r="AK203" s="22">
        <v>43399204</v>
      </c>
      <c r="AL203" s="23">
        <v>551286672</v>
      </c>
      <c r="AM203" s="23">
        <v>494132208</v>
      </c>
      <c r="AN203" s="23">
        <v>57149928</v>
      </c>
      <c r="AO203" s="24"/>
      <c r="AP203" s="25">
        <v>35.985900000000001</v>
      </c>
      <c r="AQ203" s="25">
        <v>40.981200000000001</v>
      </c>
      <c r="AR203" s="25">
        <v>41.468499999999999</v>
      </c>
      <c r="AS203" s="26"/>
      <c r="AT203" s="25">
        <v>28.130800000000001</v>
      </c>
      <c r="AU203" s="25">
        <v>28.130800000000001</v>
      </c>
      <c r="AV203" s="25">
        <v>28.130800000000001</v>
      </c>
      <c r="AW203" s="26"/>
      <c r="AX203" s="27">
        <v>200.352</v>
      </c>
      <c r="AY203" s="27">
        <v>183.08199999999999</v>
      </c>
      <c r="BA203" s="28">
        <f t="shared" si="43"/>
        <v>1.3255603096631319E-3</v>
      </c>
      <c r="BB203" s="28"/>
      <c r="BD203" s="29"/>
      <c r="BE203" s="29"/>
      <c r="BF203" s="29"/>
      <c r="BG203" s="30"/>
      <c r="BI203" s="29"/>
      <c r="BJ203" s="29"/>
      <c r="BK203" s="29"/>
      <c r="BL203" s="30"/>
      <c r="BN203" s="29"/>
      <c r="BO203" s="29"/>
      <c r="BP203" s="29"/>
      <c r="BQ203" s="30"/>
      <c r="BS203" s="29"/>
      <c r="BT203" s="29"/>
      <c r="BU203" s="29"/>
      <c r="BV203" s="30"/>
    </row>
    <row r="204" spans="1:74" outlineLevel="1" x14ac:dyDescent="0.15">
      <c r="A204" s="31"/>
      <c r="B204" s="46" t="s">
        <v>348</v>
      </c>
      <c r="C204" s="47" t="s">
        <v>229</v>
      </c>
      <c r="D204" s="46">
        <v>43399204</v>
      </c>
      <c r="E204" s="48">
        <v>16</v>
      </c>
      <c r="F204" s="47">
        <v>1</v>
      </c>
      <c r="G204" s="47"/>
      <c r="I204" s="49" t="str">
        <f t="shared" si="33"/>
        <v>·</v>
      </c>
      <c r="J204" s="50">
        <f t="shared" si="34"/>
        <v>12.045785171543699</v>
      </c>
      <c r="K204" s="50">
        <f t="shared" si="35"/>
        <v>11.385743572624051</v>
      </c>
      <c r="L204" s="50">
        <f t="shared" si="36"/>
        <v>0.65993708087364922</v>
      </c>
      <c r="M204" s="51"/>
      <c r="N204" s="50">
        <f t="shared" si="37"/>
        <v>12.045785171543699</v>
      </c>
      <c r="O204" s="52">
        <v>43399204</v>
      </c>
      <c r="P204" s="53">
        <v>522777488</v>
      </c>
      <c r="Q204" s="53">
        <v>494132208</v>
      </c>
      <c r="R204" s="53">
        <v>28640744</v>
      </c>
      <c r="S204" s="54"/>
      <c r="T204" s="55">
        <v>29.620799999999999</v>
      </c>
      <c r="U204" s="55">
        <v>35.544699999999999</v>
      </c>
      <c r="V204" s="55">
        <v>36.587800000000001</v>
      </c>
      <c r="W204" s="56"/>
      <c r="X204" s="55">
        <v>21.686399999999999</v>
      </c>
      <c r="Y204" s="55">
        <v>21.686399999999999</v>
      </c>
      <c r="Z204" s="55">
        <v>21.686399999999999</v>
      </c>
      <c r="AA204" s="56"/>
      <c r="AB204" s="57"/>
      <c r="AC204" s="57"/>
      <c r="AE204" s="49" t="str">
        <f t="shared" si="38"/>
        <v>·</v>
      </c>
      <c r="AF204" s="50">
        <f t="shared" si="39"/>
        <v>12.032419580783095</v>
      </c>
      <c r="AG204" s="50">
        <f t="shared" si="40"/>
        <v>11.385743572624051</v>
      </c>
      <c r="AH204" s="50">
        <f t="shared" si="41"/>
        <v>0.64657149011304449</v>
      </c>
      <c r="AI204" s="51"/>
      <c r="AJ204" s="50">
        <f t="shared" si="42"/>
        <v>12.032419580783095</v>
      </c>
      <c r="AK204" s="52">
        <v>43399204</v>
      </c>
      <c r="AL204" s="53">
        <v>522197432</v>
      </c>
      <c r="AM204" s="53">
        <v>494132208</v>
      </c>
      <c r="AN204" s="53">
        <v>28060688</v>
      </c>
      <c r="AO204" s="54"/>
      <c r="AP204" s="55">
        <v>29.7453</v>
      </c>
      <c r="AQ204" s="55">
        <v>35.694400000000002</v>
      </c>
      <c r="AR204" s="55">
        <v>36.618200000000002</v>
      </c>
      <c r="AS204" s="56"/>
      <c r="AT204" s="55">
        <v>21.686399999999999</v>
      </c>
      <c r="AU204" s="55">
        <v>21.686399999999999</v>
      </c>
      <c r="AV204" s="55">
        <v>21.686399999999999</v>
      </c>
      <c r="AW204" s="56"/>
      <c r="AX204" s="57">
        <v>200.851</v>
      </c>
      <c r="AY204" s="57">
        <v>182.255</v>
      </c>
      <c r="BA204" s="58">
        <f t="shared" si="43"/>
        <v>1.0499327353439281E-3</v>
      </c>
      <c r="BB204" s="58"/>
      <c r="BD204" s="59"/>
      <c r="BE204" s="59"/>
      <c r="BF204" s="59"/>
      <c r="BG204" s="60"/>
      <c r="BI204" s="59"/>
      <c r="BJ204" s="59"/>
      <c r="BK204" s="59"/>
      <c r="BL204" s="60"/>
      <c r="BN204" s="59"/>
      <c r="BO204" s="59"/>
      <c r="BP204" s="59"/>
      <c r="BQ204" s="60"/>
      <c r="BS204" s="59"/>
      <c r="BT204" s="59"/>
      <c r="BU204" s="59"/>
      <c r="BV204" s="60"/>
    </row>
    <row r="205" spans="1:74" x14ac:dyDescent="0.15">
      <c r="A205" s="16"/>
      <c r="B205" s="16" t="s">
        <v>351</v>
      </c>
      <c r="C205" s="17" t="s">
        <v>225</v>
      </c>
      <c r="D205" s="16">
        <v>43399207</v>
      </c>
      <c r="E205" s="18">
        <v>20</v>
      </c>
      <c r="F205" s="17">
        <v>1</v>
      </c>
      <c r="G205" s="17"/>
      <c r="I205" s="19" t="str">
        <f t="shared" si="33"/>
        <v>·</v>
      </c>
      <c r="J205" s="20">
        <f t="shared" si="34"/>
        <v>17.46081360426701</v>
      </c>
      <c r="K205" s="20">
        <f t="shared" si="35"/>
        <v>11.635811133599745</v>
      </c>
      <c r="L205" s="20">
        <f t="shared" si="36"/>
        <v>5.8248977682933241</v>
      </c>
      <c r="M205" s="21"/>
      <c r="N205" s="20">
        <f t="shared" si="37"/>
        <v>17.46081360426701</v>
      </c>
      <c r="O205" s="22">
        <v>43399207</v>
      </c>
      <c r="P205" s="23">
        <v>757785464</v>
      </c>
      <c r="Q205" s="23">
        <v>504984976</v>
      </c>
      <c r="R205" s="23">
        <v>252795944</v>
      </c>
      <c r="S205" s="24"/>
      <c r="T205" s="25">
        <v>52.932299999999998</v>
      </c>
      <c r="U205" s="25">
        <v>55.872</v>
      </c>
      <c r="V205" s="25">
        <v>55.753300000000003</v>
      </c>
      <c r="W205" s="26"/>
      <c r="X205" s="25">
        <v>48.130800000000001</v>
      </c>
      <c r="Y205" s="25">
        <v>48.130800000000001</v>
      </c>
      <c r="Z205" s="25">
        <v>48.130800000000001</v>
      </c>
      <c r="AA205" s="26"/>
      <c r="AB205" s="27"/>
      <c r="AC205" s="27"/>
      <c r="AE205" s="19" t="str">
        <f t="shared" si="38"/>
        <v>·</v>
      </c>
      <c r="AF205" s="20">
        <f t="shared" si="39"/>
        <v>17.53228403459077</v>
      </c>
      <c r="AG205" s="20">
        <f t="shared" si="40"/>
        <v>11.635811133599745</v>
      </c>
      <c r="AH205" s="20">
        <f t="shared" si="41"/>
        <v>5.8963681986170853</v>
      </c>
      <c r="AI205" s="21"/>
      <c r="AJ205" s="20">
        <f t="shared" si="42"/>
        <v>17.53228403459077</v>
      </c>
      <c r="AK205" s="22">
        <v>43399207</v>
      </c>
      <c r="AL205" s="23">
        <v>760887224</v>
      </c>
      <c r="AM205" s="23">
        <v>504984976</v>
      </c>
      <c r="AN205" s="23">
        <v>255897704</v>
      </c>
      <c r="AO205" s="24"/>
      <c r="AP205" s="25">
        <v>52.945099999999996</v>
      </c>
      <c r="AQ205" s="25">
        <v>55.848100000000002</v>
      </c>
      <c r="AR205" s="25">
        <v>55.734499999999997</v>
      </c>
      <c r="AS205" s="26"/>
      <c r="AT205" s="25">
        <v>48.130800000000001</v>
      </c>
      <c r="AU205" s="25">
        <v>48.130800000000001</v>
      </c>
      <c r="AV205" s="25">
        <v>48.130800000000001</v>
      </c>
      <c r="AW205" s="26"/>
      <c r="AX205" s="27">
        <v>284.92</v>
      </c>
      <c r="AY205" s="27">
        <v>244.375</v>
      </c>
      <c r="BA205" s="28">
        <f t="shared" si="43"/>
        <v>-2.7165649079445853E-3</v>
      </c>
      <c r="BB205" s="28">
        <f t="array" ref="BB205">AVERAGE(AM205:AM209/AL205:AL209) - AVERAGE(Q205:Q209/P205:P209)</f>
        <v>1.8214277279882118E-5</v>
      </c>
      <c r="BD205" s="29">
        <f>IF( OR(ISBLANK(R205:R209),ISBLANK(AN205:AN209), ISBLANK(T205:T209),ISBLANK(AP205:AP209)), "·", bdRateExtend( R205:R209,T205:T209, AN205:AN209,AP205:AP209))</f>
        <v>-1.1495820705985316E-2</v>
      </c>
      <c r="BE205" s="29">
        <f>IF( OR(ISBLANK(R205:R209),ISBLANK(AN205:AN209), ISBLANK(U205:U209),ISBLANK(AQ205:AQ209)), "·", bdRateExtend( R205:R209,U205:U209, AN205:AN209,AQ205:AQ209))</f>
        <v>-1.7607841658942247E-2</v>
      </c>
      <c r="BF205" s="29">
        <f>IF( OR(ISBLANK(R205:R209),ISBLANK(AN205:AN209), ISBLANK(V205:V209),ISBLANK(AR205:AR209)), "·", bdRateExtend( R205:R209,V205:V209, AN205:AN209,AR205:AR209))</f>
        <v>-1.7894025942412961E-2</v>
      </c>
      <c r="BG205" s="30"/>
      <c r="BI205" s="29">
        <f>IF( OR(ISBLANK(R205:R209),ISBLANK(AN205:AN209), ISBLANK(X205:X209),ISBLANK(AT205:AT209)), "·", bdRateExtend( R205:R209,X205:X209, AN205:AN209,AT205:AT209))</f>
        <v>-5.6535541265839706E-3</v>
      </c>
      <c r="BJ205" s="29">
        <f>IF( OR(ISBLANK(R205:R209),ISBLANK(AN205:AN209), ISBLANK(Y205:Y209),ISBLANK(AU205:AU209)), "·", bdRateExtend( R205:R209,Y205:Y209, AN205:AN209,AU205:AU209))</f>
        <v>-5.6535541265839706E-3</v>
      </c>
      <c r="BK205" s="29">
        <f>IF( OR(ISBLANK(R205:R209),ISBLANK(AN205:AN209), ISBLANK(Z205:Z209),ISBLANK(AV205:AV209)), "·", bdRateExtend( R205:R209,Z205:Z209, AN205:AN209,AV205:AV209))</f>
        <v>-5.6535541265839706E-3</v>
      </c>
      <c r="BL205" s="30"/>
      <c r="BN205" s="29">
        <f>IF( OR(ISBLANK(P205:P209),ISBLANK(AL205:AL209), ISBLANK(T205:T209),ISBLANK(AP205:AP209)), "·", bdRateExtend( P205:P209,T205:T209, AL205:AL209,AP205:AP209))</f>
        <v>-9.6857401571959212E-4</v>
      </c>
      <c r="BO205" s="29">
        <f>IF( OR(ISBLANK(P205:P209),ISBLANK(AL205:AL209), ISBLANK(U205:U209),ISBLANK(AQ205:AQ209)), "·", bdRateExtend( P205:P209,U205:U209, AL205:AL209,AQ205:AQ209))</f>
        <v>-1.8536784950142771E-3</v>
      </c>
      <c r="BP205" s="29">
        <f>IF( OR(ISBLANK(P205:P209),ISBLANK(AL205:AL209), ISBLANK(V205:V209),ISBLANK(AR205:AR209)), "·", bdRateExtend( P205:P209,V205:V209, AL205:AL209,AR205:AR209))</f>
        <v>-1.9486142923001992E-3</v>
      </c>
      <c r="BQ205" s="30"/>
      <c r="BS205" s="29">
        <f>IF( OR(ISBLANK(P205:P209),ISBLANK(AL205:AL209), ISBLANK(X205:X209),ISBLANK(AT205:AT209)), "·", bdRateExtend( P205:P209,X205:X209, AL205:AL209,AT205:AT209))</f>
        <v>-2.5134443760699288E-4</v>
      </c>
      <c r="BT205" s="29">
        <f>IF( OR(ISBLANK(P205:P209),ISBLANK(AL205:AL209), ISBLANK(Y205:Y209),ISBLANK(AU205:AU209)), "·", bdRateExtend( P205:P209,Y205:Y209, AL205:AL209,AU205:AU209))</f>
        <v>-2.5134443760699288E-4</v>
      </c>
      <c r="BU205" s="29">
        <f>IF( OR(ISBLANK(P205:P209),ISBLANK(AL205:AL209), ISBLANK(Z205:Z209),ISBLANK(AV205:AV209)), "·", bdRateExtend( P205:P209,Z205:Z209, AL205:AL209,AV205:AV209))</f>
        <v>-2.5134443760699288E-4</v>
      </c>
      <c r="BV205" s="30"/>
    </row>
    <row r="206" spans="1:74" outlineLevel="1" x14ac:dyDescent="0.15">
      <c r="A206" s="31"/>
      <c r="B206" s="31" t="s">
        <v>351</v>
      </c>
      <c r="C206" s="32" t="s">
        <v>226</v>
      </c>
      <c r="D206" s="31">
        <v>43399207</v>
      </c>
      <c r="E206" s="33">
        <v>20</v>
      </c>
      <c r="F206" s="32">
        <v>1</v>
      </c>
      <c r="G206" s="32"/>
      <c r="I206" s="34" t="str">
        <f t="shared" si="33"/>
        <v>·</v>
      </c>
      <c r="J206" s="35">
        <f t="shared" si="34"/>
        <v>15.713972838259464</v>
      </c>
      <c r="K206" s="35">
        <f t="shared" si="35"/>
        <v>11.635811133599745</v>
      </c>
      <c r="L206" s="35">
        <f t="shared" si="36"/>
        <v>4.0780570022857789</v>
      </c>
      <c r="M206" s="36"/>
      <c r="N206" s="35">
        <f t="shared" si="37"/>
        <v>15.713972838259464</v>
      </c>
      <c r="O206" s="37">
        <v>43399207</v>
      </c>
      <c r="P206" s="38">
        <v>681973960</v>
      </c>
      <c r="Q206" s="38">
        <v>504984976</v>
      </c>
      <c r="R206" s="38">
        <v>176984440</v>
      </c>
      <c r="S206" s="39"/>
      <c r="T206" s="40">
        <v>48.373199999999997</v>
      </c>
      <c r="U206" s="40">
        <v>51.320799999999998</v>
      </c>
      <c r="V206" s="40">
        <v>51.2851</v>
      </c>
      <c r="W206" s="41"/>
      <c r="X206" s="40">
        <v>42.110199999999999</v>
      </c>
      <c r="Y206" s="40">
        <v>42.110199999999999</v>
      </c>
      <c r="Z206" s="40">
        <v>42.110199999999999</v>
      </c>
      <c r="AA206" s="41"/>
      <c r="AB206" s="42"/>
      <c r="AC206" s="42"/>
      <c r="AE206" s="34" t="str">
        <f t="shared" si="38"/>
        <v>·</v>
      </c>
      <c r="AF206" s="35">
        <f t="shared" si="39"/>
        <v>15.721047253236678</v>
      </c>
      <c r="AG206" s="35">
        <f t="shared" si="40"/>
        <v>11.635811133599745</v>
      </c>
      <c r="AH206" s="35">
        <f t="shared" si="41"/>
        <v>4.0851314172629927</v>
      </c>
      <c r="AI206" s="36"/>
      <c r="AJ206" s="35">
        <f t="shared" si="42"/>
        <v>15.721047253236678</v>
      </c>
      <c r="AK206" s="37">
        <v>43399207</v>
      </c>
      <c r="AL206" s="38">
        <v>682280984</v>
      </c>
      <c r="AM206" s="38">
        <v>504984976</v>
      </c>
      <c r="AN206" s="38">
        <v>177291464</v>
      </c>
      <c r="AO206" s="39"/>
      <c r="AP206" s="40">
        <v>48.393099999999997</v>
      </c>
      <c r="AQ206" s="40">
        <v>51.390700000000002</v>
      </c>
      <c r="AR206" s="40">
        <v>51.368400000000001</v>
      </c>
      <c r="AS206" s="41"/>
      <c r="AT206" s="40">
        <v>42.110199999999999</v>
      </c>
      <c r="AU206" s="40">
        <v>42.110199999999999</v>
      </c>
      <c r="AV206" s="40">
        <v>42.110199999999999</v>
      </c>
      <c r="AW206" s="41"/>
      <c r="AX206" s="42">
        <v>269.101</v>
      </c>
      <c r="AY206" s="42">
        <v>254.328</v>
      </c>
      <c r="BA206" s="43">
        <f t="shared" si="43"/>
        <v>-3.3321130205687943E-4</v>
      </c>
      <c r="BB206" s="43"/>
      <c r="BD206" s="44"/>
      <c r="BE206" s="44"/>
      <c r="BF206" s="44"/>
      <c r="BG206" s="45"/>
      <c r="BI206" s="44"/>
      <c r="BJ206" s="44"/>
      <c r="BK206" s="44"/>
      <c r="BL206" s="45"/>
      <c r="BN206" s="44"/>
      <c r="BO206" s="44"/>
      <c r="BP206" s="44"/>
      <c r="BQ206" s="45"/>
      <c r="BS206" s="44"/>
      <c r="BT206" s="44"/>
      <c r="BU206" s="44"/>
      <c r="BV206" s="45"/>
    </row>
    <row r="207" spans="1:74" outlineLevel="1" x14ac:dyDescent="0.15">
      <c r="A207" s="16"/>
      <c r="B207" s="16" t="s">
        <v>351</v>
      </c>
      <c r="C207" s="17" t="s">
        <v>227</v>
      </c>
      <c r="D207" s="16">
        <v>43399207</v>
      </c>
      <c r="E207" s="18">
        <v>20</v>
      </c>
      <c r="F207" s="17">
        <v>1</v>
      </c>
      <c r="G207" s="17"/>
      <c r="I207" s="19" t="str">
        <f t="shared" si="33"/>
        <v>·</v>
      </c>
      <c r="J207" s="20">
        <f t="shared" si="34"/>
        <v>13.934973327968873</v>
      </c>
      <c r="K207" s="20">
        <f t="shared" si="35"/>
        <v>11.635811133599745</v>
      </c>
      <c r="L207" s="20">
        <f t="shared" si="36"/>
        <v>2.2990574919951881</v>
      </c>
      <c r="M207" s="21"/>
      <c r="N207" s="20">
        <f t="shared" si="37"/>
        <v>13.934973327968873</v>
      </c>
      <c r="O207" s="22">
        <v>43399207</v>
      </c>
      <c r="P207" s="23">
        <v>604766792</v>
      </c>
      <c r="Q207" s="23">
        <v>504984976</v>
      </c>
      <c r="R207" s="23">
        <v>99777272</v>
      </c>
      <c r="S207" s="24"/>
      <c r="T207" s="25">
        <v>41.477600000000002</v>
      </c>
      <c r="U207" s="25">
        <v>45.673499999999997</v>
      </c>
      <c r="V207" s="25">
        <v>45.955100000000002</v>
      </c>
      <c r="W207" s="26"/>
      <c r="X207" s="25">
        <v>34.151400000000002</v>
      </c>
      <c r="Y207" s="25">
        <v>34.151400000000002</v>
      </c>
      <c r="Z207" s="25">
        <v>34.151400000000002</v>
      </c>
      <c r="AA207" s="26"/>
      <c r="AB207" s="27"/>
      <c r="AC207" s="27"/>
      <c r="AE207" s="19" t="str">
        <f t="shared" si="38"/>
        <v>·</v>
      </c>
      <c r="AF207" s="20">
        <f t="shared" si="39"/>
        <v>13.922456785903945</v>
      </c>
      <c r="AG207" s="20">
        <f t="shared" si="40"/>
        <v>11.635811133599745</v>
      </c>
      <c r="AH207" s="20">
        <f t="shared" si="41"/>
        <v>2.2865409499302602</v>
      </c>
      <c r="AI207" s="21"/>
      <c r="AJ207" s="20">
        <f t="shared" si="42"/>
        <v>13.922456785903945</v>
      </c>
      <c r="AK207" s="22">
        <v>43399207</v>
      </c>
      <c r="AL207" s="23">
        <v>604223584</v>
      </c>
      <c r="AM207" s="23">
        <v>504984976</v>
      </c>
      <c r="AN207" s="23">
        <v>99234064</v>
      </c>
      <c r="AO207" s="24"/>
      <c r="AP207" s="25">
        <v>41.515099999999997</v>
      </c>
      <c r="AQ207" s="25">
        <v>45.794499999999999</v>
      </c>
      <c r="AR207" s="25">
        <v>46.070500000000003</v>
      </c>
      <c r="AS207" s="26"/>
      <c r="AT207" s="25">
        <v>34.151400000000002</v>
      </c>
      <c r="AU207" s="25">
        <v>34.151400000000002</v>
      </c>
      <c r="AV207" s="25">
        <v>34.151400000000002</v>
      </c>
      <c r="AW207" s="26"/>
      <c r="AX207" s="27">
        <v>265.404</v>
      </c>
      <c r="AY207" s="27">
        <v>242.815</v>
      </c>
      <c r="BA207" s="28">
        <f t="shared" si="43"/>
        <v>7.5068719229920422E-4</v>
      </c>
      <c r="BB207" s="28"/>
      <c r="BD207" s="29"/>
      <c r="BE207" s="29"/>
      <c r="BF207" s="29"/>
      <c r="BG207" s="30"/>
      <c r="BI207" s="29"/>
      <c r="BJ207" s="29"/>
      <c r="BK207" s="29"/>
      <c r="BL207" s="30"/>
      <c r="BN207" s="29"/>
      <c r="BO207" s="29"/>
      <c r="BP207" s="29"/>
      <c r="BQ207" s="30"/>
      <c r="BS207" s="29"/>
      <c r="BT207" s="29"/>
      <c r="BU207" s="29"/>
      <c r="BV207" s="30"/>
    </row>
    <row r="208" spans="1:74" outlineLevel="1" x14ac:dyDescent="0.15">
      <c r="A208" s="31"/>
      <c r="B208" s="31" t="s">
        <v>351</v>
      </c>
      <c r="C208" s="32" t="s">
        <v>228</v>
      </c>
      <c r="D208" s="31">
        <v>43399207</v>
      </c>
      <c r="E208" s="33">
        <v>20</v>
      </c>
      <c r="F208" s="32">
        <v>1</v>
      </c>
      <c r="G208" s="32"/>
      <c r="I208" s="34" t="str">
        <f t="shared" si="33"/>
        <v>·</v>
      </c>
      <c r="J208" s="35">
        <f t="shared" si="34"/>
        <v>12.970583725181891</v>
      </c>
      <c r="K208" s="35">
        <f t="shared" si="35"/>
        <v>11.635811133599745</v>
      </c>
      <c r="L208" s="35">
        <f t="shared" si="36"/>
        <v>1.334667889208206</v>
      </c>
      <c r="M208" s="36"/>
      <c r="N208" s="35">
        <f t="shared" si="37"/>
        <v>12.970583725181891</v>
      </c>
      <c r="O208" s="37">
        <v>43399207</v>
      </c>
      <c r="P208" s="38">
        <v>562913048</v>
      </c>
      <c r="Q208" s="38">
        <v>504984976</v>
      </c>
      <c r="R208" s="38">
        <v>57923528</v>
      </c>
      <c r="S208" s="39"/>
      <c r="T208" s="40">
        <v>35.898400000000002</v>
      </c>
      <c r="U208" s="40">
        <v>40.853499999999997</v>
      </c>
      <c r="V208" s="40">
        <v>41.349699999999999</v>
      </c>
      <c r="W208" s="41"/>
      <c r="X208" s="40">
        <v>28.130800000000001</v>
      </c>
      <c r="Y208" s="40">
        <v>28.130800000000001</v>
      </c>
      <c r="Z208" s="40">
        <v>28.130800000000001</v>
      </c>
      <c r="AA208" s="41"/>
      <c r="AB208" s="42"/>
      <c r="AC208" s="42"/>
      <c r="AE208" s="34" t="str">
        <f t="shared" si="38"/>
        <v>·</v>
      </c>
      <c r="AF208" s="35">
        <f t="shared" si="39"/>
        <v>12.95254634491363</v>
      </c>
      <c r="AG208" s="35">
        <f t="shared" si="40"/>
        <v>11.635811133599745</v>
      </c>
      <c r="AH208" s="35">
        <f t="shared" si="41"/>
        <v>1.3166305089399444</v>
      </c>
      <c r="AI208" s="36"/>
      <c r="AJ208" s="35">
        <f t="shared" si="42"/>
        <v>12.95254634491363</v>
      </c>
      <c r="AK208" s="37">
        <v>43399207</v>
      </c>
      <c r="AL208" s="38">
        <v>562130240</v>
      </c>
      <c r="AM208" s="38">
        <v>504984976</v>
      </c>
      <c r="AN208" s="38">
        <v>57140720</v>
      </c>
      <c r="AO208" s="39"/>
      <c r="AP208" s="40">
        <v>35.978000000000002</v>
      </c>
      <c r="AQ208" s="40">
        <v>40.997700000000002</v>
      </c>
      <c r="AR208" s="40">
        <v>41.480200000000004</v>
      </c>
      <c r="AS208" s="41"/>
      <c r="AT208" s="40">
        <v>28.130800000000001</v>
      </c>
      <c r="AU208" s="40">
        <v>28.130800000000001</v>
      </c>
      <c r="AV208" s="40">
        <v>28.130800000000001</v>
      </c>
      <c r="AW208" s="41"/>
      <c r="AX208" s="42">
        <v>278.30500000000001</v>
      </c>
      <c r="AY208" s="42">
        <v>240.06899999999999</v>
      </c>
      <c r="BA208" s="43">
        <f t="shared" si="43"/>
        <v>1.2492675187423252E-3</v>
      </c>
      <c r="BB208" s="43"/>
      <c r="BD208" s="44"/>
      <c r="BE208" s="44"/>
      <c r="BF208" s="44"/>
      <c r="BG208" s="45"/>
      <c r="BI208" s="44"/>
      <c r="BJ208" s="44"/>
      <c r="BK208" s="44"/>
      <c r="BL208" s="45"/>
      <c r="BN208" s="44"/>
      <c r="BO208" s="44"/>
      <c r="BP208" s="44"/>
      <c r="BQ208" s="45"/>
      <c r="BS208" s="44"/>
      <c r="BT208" s="44"/>
      <c r="BU208" s="44"/>
      <c r="BV208" s="45"/>
    </row>
    <row r="209" spans="1:74" outlineLevel="1" x14ac:dyDescent="0.15">
      <c r="A209" s="16"/>
      <c r="B209" s="65" t="s">
        <v>351</v>
      </c>
      <c r="C209" s="67" t="s">
        <v>229</v>
      </c>
      <c r="D209" s="65">
        <v>43399207</v>
      </c>
      <c r="E209" s="66">
        <v>20</v>
      </c>
      <c r="F209" s="67">
        <v>1</v>
      </c>
      <c r="G209" s="67"/>
      <c r="I209" s="69" t="str">
        <f t="shared" si="33"/>
        <v>·</v>
      </c>
      <c r="J209" s="70">
        <f t="shared" si="34"/>
        <v>12.296165688004391</v>
      </c>
      <c r="K209" s="70">
        <f t="shared" si="35"/>
        <v>11.635811133599745</v>
      </c>
      <c r="L209" s="70">
        <f t="shared" si="36"/>
        <v>0.66024985203070641</v>
      </c>
      <c r="M209" s="75"/>
      <c r="N209" s="70">
        <f t="shared" si="37"/>
        <v>12.296165688004391</v>
      </c>
      <c r="O209" s="71">
        <v>43399207</v>
      </c>
      <c r="P209" s="72">
        <v>533643840</v>
      </c>
      <c r="Q209" s="72">
        <v>504984976</v>
      </c>
      <c r="R209" s="72">
        <v>28654320</v>
      </c>
      <c r="S209" s="76"/>
      <c r="T209" s="77">
        <v>29.610199999999999</v>
      </c>
      <c r="U209" s="77">
        <v>35.513100000000001</v>
      </c>
      <c r="V209" s="77">
        <v>36.557099999999998</v>
      </c>
      <c r="W209" s="78"/>
      <c r="X209" s="77">
        <v>21.686399999999999</v>
      </c>
      <c r="Y209" s="77">
        <v>21.686399999999999</v>
      </c>
      <c r="Z209" s="77">
        <v>21.686399999999999</v>
      </c>
      <c r="AA209" s="78"/>
      <c r="AB209" s="73"/>
      <c r="AC209" s="73"/>
      <c r="AE209" s="69" t="str">
        <f t="shared" si="38"/>
        <v>·</v>
      </c>
      <c r="AF209" s="70">
        <f t="shared" si="39"/>
        <v>12.281358781509534</v>
      </c>
      <c r="AG209" s="70">
        <f t="shared" si="40"/>
        <v>11.635811133599745</v>
      </c>
      <c r="AH209" s="70">
        <f t="shared" si="41"/>
        <v>0.64544294553584813</v>
      </c>
      <c r="AI209" s="75"/>
      <c r="AJ209" s="70">
        <f t="shared" si="42"/>
        <v>12.281358781509534</v>
      </c>
      <c r="AK209" s="71">
        <v>43399207</v>
      </c>
      <c r="AL209" s="72">
        <v>533001232</v>
      </c>
      <c r="AM209" s="72">
        <v>504984976</v>
      </c>
      <c r="AN209" s="72">
        <v>28011712</v>
      </c>
      <c r="AO209" s="76"/>
      <c r="AP209" s="77">
        <v>29.709700000000002</v>
      </c>
      <c r="AQ209" s="77">
        <v>35.626600000000003</v>
      </c>
      <c r="AR209" s="77">
        <v>36.681699999999999</v>
      </c>
      <c r="AS209" s="78"/>
      <c r="AT209" s="77">
        <v>21.686399999999999</v>
      </c>
      <c r="AU209" s="77">
        <v>21.686399999999999</v>
      </c>
      <c r="AV209" s="77">
        <v>21.686399999999999</v>
      </c>
      <c r="AW209" s="78"/>
      <c r="AX209" s="73">
        <v>279.77199999999999</v>
      </c>
      <c r="AY209" s="73">
        <v>239.477</v>
      </c>
      <c r="BA209" s="68">
        <f t="shared" si="43"/>
        <v>1.1408928853596789E-3</v>
      </c>
      <c r="BB209" s="68"/>
      <c r="BD209" s="74"/>
      <c r="BE209" s="74"/>
      <c r="BF209" s="74"/>
      <c r="BG209" s="79"/>
      <c r="BI209" s="74"/>
      <c r="BJ209" s="74"/>
      <c r="BK209" s="74"/>
      <c r="BL209" s="79"/>
      <c r="BN209" s="74"/>
      <c r="BO209" s="74"/>
      <c r="BP209" s="74"/>
      <c r="BQ209" s="79"/>
      <c r="BS209" s="74"/>
      <c r="BT209" s="74"/>
      <c r="BU209" s="74"/>
      <c r="BV209" s="79"/>
    </row>
    <row r="210" spans="1:74" x14ac:dyDescent="0.15">
      <c r="A210" s="31"/>
      <c r="B210" s="31" t="s">
        <v>354</v>
      </c>
      <c r="C210" s="32" t="s">
        <v>225</v>
      </c>
      <c r="D210" s="31">
        <v>499660</v>
      </c>
      <c r="E210" s="33">
        <v>12</v>
      </c>
      <c r="F210" s="32">
        <v>1</v>
      </c>
      <c r="G210" s="32"/>
      <c r="I210" s="34" t="str">
        <f t="shared" si="33"/>
        <v>·</v>
      </c>
      <c r="J210" s="35">
        <f t="shared" si="34"/>
        <v>19.465748709122202</v>
      </c>
      <c r="K210" s="35">
        <f t="shared" si="35"/>
        <v>9.8042669014930155</v>
      </c>
      <c r="L210" s="35">
        <f t="shared" si="36"/>
        <v>9.6604410999479651</v>
      </c>
      <c r="M210" s="36"/>
      <c r="N210" s="35">
        <f t="shared" si="37"/>
        <v>19.465748709122202</v>
      </c>
      <c r="O210" s="37">
        <v>499660</v>
      </c>
      <c r="P210" s="38">
        <v>9726256</v>
      </c>
      <c r="Q210" s="38">
        <v>4898800</v>
      </c>
      <c r="R210" s="38">
        <v>4826936</v>
      </c>
      <c r="S210" s="39"/>
      <c r="T210" s="40">
        <v>53.417299999999997</v>
      </c>
      <c r="U210" s="40">
        <v>54.833399999999997</v>
      </c>
      <c r="V210" s="40">
        <v>54.987699999999997</v>
      </c>
      <c r="W210" s="41"/>
      <c r="X210" s="40">
        <v>48.130800000000001</v>
      </c>
      <c r="Y210" s="40">
        <v>48.130800000000001</v>
      </c>
      <c r="Z210" s="40">
        <v>48.130800000000001</v>
      </c>
      <c r="AA210" s="41"/>
      <c r="AB210" s="42"/>
      <c r="AC210" s="42"/>
      <c r="AE210" s="34" t="str">
        <f t="shared" si="38"/>
        <v>·</v>
      </c>
      <c r="AF210" s="35">
        <f t="shared" si="39"/>
        <v>19.396501621102349</v>
      </c>
      <c r="AG210" s="35">
        <f t="shared" si="40"/>
        <v>9.8042669014930155</v>
      </c>
      <c r="AH210" s="35">
        <f t="shared" si="41"/>
        <v>9.5911940119281116</v>
      </c>
      <c r="AI210" s="36"/>
      <c r="AJ210" s="35">
        <f t="shared" si="42"/>
        <v>19.396501621102349</v>
      </c>
      <c r="AK210" s="37">
        <v>499660</v>
      </c>
      <c r="AL210" s="38">
        <v>9691656</v>
      </c>
      <c r="AM210" s="38">
        <v>4898800</v>
      </c>
      <c r="AN210" s="38">
        <v>4792336</v>
      </c>
      <c r="AO210" s="39"/>
      <c r="AP210" s="40">
        <v>53.411000000000001</v>
      </c>
      <c r="AQ210" s="40">
        <v>54.834099999999999</v>
      </c>
      <c r="AR210" s="40">
        <v>54.985700000000001</v>
      </c>
      <c r="AS210" s="41"/>
      <c r="AT210" s="40">
        <v>48.130800000000001</v>
      </c>
      <c r="AU210" s="40">
        <v>48.130800000000001</v>
      </c>
      <c r="AV210" s="40">
        <v>48.130800000000001</v>
      </c>
      <c r="AW210" s="41"/>
      <c r="AX210" s="42">
        <v>1.9810000000000001</v>
      </c>
      <c r="AY210" s="42">
        <v>1.84</v>
      </c>
      <c r="BA210" s="43">
        <f t="shared" si="43"/>
        <v>1.7981342818279566E-3</v>
      </c>
      <c r="BB210" s="43">
        <f t="array" ref="BB210">AVERAGE(AM210:AM214/AL210:AL214) - AVERAGE(Q210:Q214/P210:P214)</f>
        <v>2.3333758821236783E-3</v>
      </c>
      <c r="BD210" s="44">
        <f>IF( OR(ISBLANK(R210:R214),ISBLANK(AN210:AN214), ISBLANK(T210:T214),ISBLANK(AP210:AP214)), "·", bdRateExtend( R210:R214,T210:T214, AN210:AN214,AP210:AP214))</f>
        <v>-1.504791202430833E-2</v>
      </c>
      <c r="BE210" s="44">
        <f>IF( OR(ISBLANK(R210:R214),ISBLANK(AN210:AN214), ISBLANK(U210:U214),ISBLANK(AQ210:AQ214)), "·", bdRateExtend( R210:R214,U210:U214, AN210:AN214,AQ210:AQ214))</f>
        <v>-1.3866362059424264E-2</v>
      </c>
      <c r="BF210" s="44">
        <f>IF( OR(ISBLANK(R210:R214),ISBLANK(AN210:AN214), ISBLANK(V210:V214),ISBLANK(AR210:AR214)), "·", bdRateExtend( R210:R214,V210:V214, AN210:AN214,AR210:AR214))</f>
        <v>-1.4241962620809123E-2</v>
      </c>
      <c r="BG210" s="45"/>
      <c r="BI210" s="44">
        <f>IF( OR(ISBLANK(R210:R214),ISBLANK(AN210:AN214), ISBLANK(X210:X214),ISBLANK(AT210:AT214)), "·", bdRateExtend( R210:R214,X210:X214, AN210:AN214,AT210:AT214))</f>
        <v>-1.2801794266117494E-2</v>
      </c>
      <c r="BJ210" s="44">
        <f>IF( OR(ISBLANK(R210:R214),ISBLANK(AN210:AN214), ISBLANK(Y210:Y214),ISBLANK(AU210:AU214)), "·", bdRateExtend( R210:R214,Y210:Y214, AN210:AN214,AU210:AU214))</f>
        <v>-1.2801794266117494E-2</v>
      </c>
      <c r="BK210" s="44">
        <f>IF( OR(ISBLANK(R210:R214),ISBLANK(AN210:AN214), ISBLANK(Z210:Z214),ISBLANK(AV210:AV214)), "·", bdRateExtend( R210:R214,Z210:Z214, AN210:AN214,AV210:AV214))</f>
        <v>-1.2801794266117494E-2</v>
      </c>
      <c r="BL210" s="45"/>
      <c r="BN210" s="44">
        <f>IF( OR(ISBLANK(P210:P214),ISBLANK(AL210:AL214), ISBLANK(T210:T214),ISBLANK(AP210:AP214)), "·", bdRateExtend( P210:P214,T210:T214, AL210:AL214,AP210:AP214))</f>
        <v>-4.0215378250963996E-3</v>
      </c>
      <c r="BO210" s="44">
        <f>IF( OR(ISBLANK(P210:P214),ISBLANK(AL210:AL214), ISBLANK(U210:U214),ISBLANK(AQ210:AQ214)), "·", bdRateExtend( P210:P214,U210:U214, AL210:AL214,AQ210:AQ214))</f>
        <v>-3.7735429421531519E-3</v>
      </c>
      <c r="BP210" s="44">
        <f>IF( OR(ISBLANK(P210:P214),ISBLANK(AL210:AL214), ISBLANK(V210:V214),ISBLANK(AR210:AR214)), "·", bdRateExtend( P210:P214,V210:V214, AL210:AL214,AR210:AR214))</f>
        <v>-3.9633818347996064E-3</v>
      </c>
      <c r="BQ210" s="45"/>
      <c r="BS210" s="44">
        <f>IF( OR(ISBLANK(P210:P214),ISBLANK(AL210:AL214), ISBLANK(X210:X214),ISBLANK(AT210:AT214)), "·", bdRateExtend( P210:P214,X210:X214, AL210:AL214,AT210:AT214))</f>
        <v>-3.5390511424432392E-3</v>
      </c>
      <c r="BT210" s="44">
        <f>IF( OR(ISBLANK(P210:P214),ISBLANK(AL210:AL214), ISBLANK(Y210:Y214),ISBLANK(AU210:AU214)), "·", bdRateExtend( P210:P214,Y210:Y214, AL210:AL214,AU210:AU214))</f>
        <v>-3.5390511424432392E-3</v>
      </c>
      <c r="BU210" s="44">
        <f>IF( OR(ISBLANK(P210:P214),ISBLANK(AL210:AL214), ISBLANK(Z210:Z214),ISBLANK(AV210:AV214)), "·", bdRateExtend( P210:P214,Z210:Z214, AL210:AL214,AV210:AV214))</f>
        <v>-3.5390511424432392E-3</v>
      </c>
      <c r="BV210" s="45"/>
    </row>
    <row r="211" spans="1:74" outlineLevel="1" x14ac:dyDescent="0.15">
      <c r="A211" s="16"/>
      <c r="B211" s="16" t="s">
        <v>354</v>
      </c>
      <c r="C211" s="17" t="s">
        <v>226</v>
      </c>
      <c r="D211" s="16">
        <v>499660</v>
      </c>
      <c r="E211" s="18">
        <v>12</v>
      </c>
      <c r="F211" s="17">
        <v>1</v>
      </c>
      <c r="G211" s="17"/>
      <c r="I211" s="19" t="str">
        <f t="shared" si="33"/>
        <v>·</v>
      </c>
      <c r="J211" s="20">
        <f t="shared" si="34"/>
        <v>16.910971460593203</v>
      </c>
      <c r="K211" s="20">
        <f t="shared" si="35"/>
        <v>9.8042669014930155</v>
      </c>
      <c r="L211" s="20">
        <f t="shared" si="36"/>
        <v>7.1056638514189645</v>
      </c>
      <c r="M211" s="21"/>
      <c r="N211" s="20">
        <f t="shared" si="37"/>
        <v>16.910971460593203</v>
      </c>
      <c r="O211" s="22">
        <v>499660</v>
      </c>
      <c r="P211" s="23">
        <v>8449736</v>
      </c>
      <c r="Q211" s="23">
        <v>4898800</v>
      </c>
      <c r="R211" s="23">
        <v>3550416</v>
      </c>
      <c r="S211" s="24"/>
      <c r="T211" s="25">
        <v>48.506700000000002</v>
      </c>
      <c r="U211" s="25">
        <v>50.4861</v>
      </c>
      <c r="V211" s="25">
        <v>50.470300000000002</v>
      </c>
      <c r="W211" s="26"/>
      <c r="X211" s="25">
        <v>42.110199999999999</v>
      </c>
      <c r="Y211" s="25">
        <v>42.110199999999999</v>
      </c>
      <c r="Z211" s="25">
        <v>42.110199999999999</v>
      </c>
      <c r="AA211" s="26"/>
      <c r="AB211" s="27"/>
      <c r="AC211" s="27"/>
      <c r="AE211" s="19" t="str">
        <f t="shared" si="38"/>
        <v>·</v>
      </c>
      <c r="AF211" s="20">
        <f t="shared" si="39"/>
        <v>16.844126005683865</v>
      </c>
      <c r="AG211" s="20">
        <f t="shared" si="40"/>
        <v>9.8042669014930155</v>
      </c>
      <c r="AH211" s="20">
        <f t="shared" si="41"/>
        <v>7.0388183965096269</v>
      </c>
      <c r="AI211" s="21"/>
      <c r="AJ211" s="20">
        <f t="shared" si="42"/>
        <v>16.844126005683865</v>
      </c>
      <c r="AK211" s="22">
        <v>499660</v>
      </c>
      <c r="AL211" s="23">
        <v>8416336</v>
      </c>
      <c r="AM211" s="23">
        <v>4898800</v>
      </c>
      <c r="AN211" s="23">
        <v>3517016</v>
      </c>
      <c r="AO211" s="24"/>
      <c r="AP211" s="25">
        <v>48.5276</v>
      </c>
      <c r="AQ211" s="25">
        <v>50.496000000000002</v>
      </c>
      <c r="AR211" s="25">
        <v>50.477400000000003</v>
      </c>
      <c r="AS211" s="26"/>
      <c r="AT211" s="25">
        <v>42.110199999999999</v>
      </c>
      <c r="AU211" s="25">
        <v>42.110199999999999</v>
      </c>
      <c r="AV211" s="25">
        <v>42.110199999999999</v>
      </c>
      <c r="AW211" s="26"/>
      <c r="AX211" s="27">
        <v>1.9339999999999999</v>
      </c>
      <c r="AY211" s="27">
        <v>1.825</v>
      </c>
      <c r="BA211" s="28">
        <f t="shared" si="43"/>
        <v>2.3007528597893678E-3</v>
      </c>
      <c r="BB211" s="28"/>
      <c r="BD211" s="29"/>
      <c r="BE211" s="29"/>
      <c r="BF211" s="29"/>
      <c r="BG211" s="30"/>
      <c r="BI211" s="29"/>
      <c r="BJ211" s="29"/>
      <c r="BK211" s="29"/>
      <c r="BL211" s="30"/>
      <c r="BN211" s="29"/>
      <c r="BO211" s="29"/>
      <c r="BP211" s="29"/>
      <c r="BQ211" s="30"/>
      <c r="BS211" s="29"/>
      <c r="BT211" s="29"/>
      <c r="BU211" s="29"/>
      <c r="BV211" s="30"/>
    </row>
    <row r="212" spans="1:74" outlineLevel="1" x14ac:dyDescent="0.15">
      <c r="A212" s="31"/>
      <c r="B212" s="31" t="s">
        <v>354</v>
      </c>
      <c r="C212" s="32" t="s">
        <v>227</v>
      </c>
      <c r="D212" s="31">
        <v>499660</v>
      </c>
      <c r="E212" s="33">
        <v>12</v>
      </c>
      <c r="F212" s="32">
        <v>1</v>
      </c>
      <c r="G212" s="32"/>
      <c r="I212" s="34" t="str">
        <f t="shared" si="33"/>
        <v>·</v>
      </c>
      <c r="J212" s="35">
        <f t="shared" si="34"/>
        <v>14.233310651242846</v>
      </c>
      <c r="K212" s="35">
        <f t="shared" si="35"/>
        <v>9.8042669014930155</v>
      </c>
      <c r="L212" s="35">
        <f t="shared" si="36"/>
        <v>4.4280030420686067</v>
      </c>
      <c r="M212" s="36"/>
      <c r="N212" s="35">
        <f t="shared" si="37"/>
        <v>14.233310651242846</v>
      </c>
      <c r="O212" s="37">
        <v>499660</v>
      </c>
      <c r="P212" s="38">
        <v>7111816</v>
      </c>
      <c r="Q212" s="38">
        <v>4898800</v>
      </c>
      <c r="R212" s="38">
        <v>2212496</v>
      </c>
      <c r="S212" s="39"/>
      <c r="T212" s="40">
        <v>41.366</v>
      </c>
      <c r="U212" s="40">
        <v>44.281500000000001</v>
      </c>
      <c r="V212" s="40">
        <v>44.608800000000002</v>
      </c>
      <c r="W212" s="41"/>
      <c r="X212" s="40">
        <v>34.151400000000002</v>
      </c>
      <c r="Y212" s="40">
        <v>34.151400000000002</v>
      </c>
      <c r="Z212" s="40">
        <v>34.151400000000002</v>
      </c>
      <c r="AA212" s="41"/>
      <c r="AB212" s="42"/>
      <c r="AC212" s="42"/>
      <c r="AE212" s="34" t="str">
        <f t="shared" si="38"/>
        <v>·</v>
      </c>
      <c r="AF212" s="35">
        <f t="shared" si="39"/>
        <v>14.183148541007885</v>
      </c>
      <c r="AG212" s="35">
        <f t="shared" si="40"/>
        <v>9.8042669014930155</v>
      </c>
      <c r="AH212" s="35">
        <f t="shared" si="41"/>
        <v>4.3778409318336466</v>
      </c>
      <c r="AI212" s="36"/>
      <c r="AJ212" s="35">
        <f t="shared" si="42"/>
        <v>14.183148541007885</v>
      </c>
      <c r="AK212" s="37">
        <v>499660</v>
      </c>
      <c r="AL212" s="38">
        <v>7086752</v>
      </c>
      <c r="AM212" s="38">
        <v>4898800</v>
      </c>
      <c r="AN212" s="38">
        <v>2187432</v>
      </c>
      <c r="AO212" s="39"/>
      <c r="AP212" s="40">
        <v>41.386200000000002</v>
      </c>
      <c r="AQ212" s="40">
        <v>44.288200000000003</v>
      </c>
      <c r="AR212" s="40">
        <v>44.663800000000002</v>
      </c>
      <c r="AS212" s="41"/>
      <c r="AT212" s="40">
        <v>34.151400000000002</v>
      </c>
      <c r="AU212" s="40">
        <v>34.151400000000002</v>
      </c>
      <c r="AV212" s="40">
        <v>34.151400000000002</v>
      </c>
      <c r="AW212" s="41"/>
      <c r="AX212" s="42">
        <v>1.9179999999999999</v>
      </c>
      <c r="AY212" s="42">
        <v>1.794</v>
      </c>
      <c r="BA212" s="43">
        <f t="shared" si="43"/>
        <v>2.4361966644907973E-3</v>
      </c>
      <c r="BB212" s="43"/>
      <c r="BD212" s="44"/>
      <c r="BE212" s="44"/>
      <c r="BF212" s="44"/>
      <c r="BG212" s="45"/>
      <c r="BI212" s="44"/>
      <c r="BJ212" s="44"/>
      <c r="BK212" s="44"/>
      <c r="BL212" s="45"/>
      <c r="BN212" s="44"/>
      <c r="BO212" s="44"/>
      <c r="BP212" s="44"/>
      <c r="BQ212" s="45"/>
      <c r="BS212" s="44"/>
      <c r="BT212" s="44"/>
      <c r="BU212" s="44"/>
      <c r="BV212" s="45"/>
    </row>
    <row r="213" spans="1:74" outlineLevel="1" x14ac:dyDescent="0.15">
      <c r="A213" s="16"/>
      <c r="B213" s="16" t="s">
        <v>354</v>
      </c>
      <c r="C213" s="17" t="s">
        <v>228</v>
      </c>
      <c r="D213" s="16">
        <v>499660</v>
      </c>
      <c r="E213" s="18">
        <v>12</v>
      </c>
      <c r="F213" s="17">
        <v>1</v>
      </c>
      <c r="G213" s="17"/>
      <c r="I213" s="19" t="str">
        <f t="shared" si="33"/>
        <v>·</v>
      </c>
      <c r="J213" s="20">
        <f t="shared" si="34"/>
        <v>12.458071488612257</v>
      </c>
      <c r="K213" s="20">
        <f t="shared" si="35"/>
        <v>9.8042669014930155</v>
      </c>
      <c r="L213" s="20">
        <f t="shared" si="36"/>
        <v>2.6527638794380177</v>
      </c>
      <c r="M213" s="21"/>
      <c r="N213" s="20">
        <f t="shared" si="37"/>
        <v>12.458071488612257</v>
      </c>
      <c r="O213" s="22">
        <v>499660</v>
      </c>
      <c r="P213" s="23">
        <v>6224800</v>
      </c>
      <c r="Q213" s="23">
        <v>4898800</v>
      </c>
      <c r="R213" s="23">
        <v>1325480</v>
      </c>
      <c r="S213" s="24"/>
      <c r="T213" s="25">
        <v>35.6419</v>
      </c>
      <c r="U213" s="25">
        <v>39.438699999999997</v>
      </c>
      <c r="V213" s="25">
        <v>39.841200000000001</v>
      </c>
      <c r="W213" s="26"/>
      <c r="X213" s="25">
        <v>28.130800000000001</v>
      </c>
      <c r="Y213" s="25">
        <v>28.130800000000001</v>
      </c>
      <c r="Z213" s="25">
        <v>28.130800000000001</v>
      </c>
      <c r="AA213" s="26"/>
      <c r="AB213" s="27"/>
      <c r="AC213" s="27"/>
      <c r="AE213" s="19" t="str">
        <f t="shared" si="38"/>
        <v>·</v>
      </c>
      <c r="AF213" s="20">
        <f t="shared" si="39"/>
        <v>12.416635312012168</v>
      </c>
      <c r="AG213" s="20">
        <f t="shared" si="40"/>
        <v>9.8042669014930155</v>
      </c>
      <c r="AH213" s="20">
        <f t="shared" si="41"/>
        <v>2.6113277028379298</v>
      </c>
      <c r="AI213" s="21"/>
      <c r="AJ213" s="20">
        <f t="shared" si="42"/>
        <v>12.416635312012168</v>
      </c>
      <c r="AK213" s="22">
        <v>499660</v>
      </c>
      <c r="AL213" s="23">
        <v>6204096</v>
      </c>
      <c r="AM213" s="23">
        <v>4898800</v>
      </c>
      <c r="AN213" s="23">
        <v>1304776</v>
      </c>
      <c r="AO213" s="24"/>
      <c r="AP213" s="25">
        <v>35.667900000000003</v>
      </c>
      <c r="AQ213" s="25">
        <v>39.453499999999998</v>
      </c>
      <c r="AR213" s="25">
        <v>39.830599999999997</v>
      </c>
      <c r="AS213" s="26"/>
      <c r="AT213" s="25">
        <v>28.130800000000001</v>
      </c>
      <c r="AU213" s="25">
        <v>28.130800000000001</v>
      </c>
      <c r="AV213" s="25">
        <v>28.130800000000001</v>
      </c>
      <c r="AW213" s="26"/>
      <c r="AX213" s="27">
        <v>1.903</v>
      </c>
      <c r="AY213" s="27">
        <v>1.778</v>
      </c>
      <c r="BA213" s="28">
        <f t="shared" si="43"/>
        <v>2.6262741350948637E-3</v>
      </c>
      <c r="BB213" s="28"/>
      <c r="BD213" s="29"/>
      <c r="BE213" s="29"/>
      <c r="BF213" s="29"/>
      <c r="BG213" s="30"/>
      <c r="BI213" s="29"/>
      <c r="BJ213" s="29"/>
      <c r="BK213" s="29"/>
      <c r="BL213" s="30"/>
      <c r="BN213" s="29"/>
      <c r="BO213" s="29"/>
      <c r="BP213" s="29"/>
      <c r="BQ213" s="30"/>
      <c r="BS213" s="29"/>
      <c r="BT213" s="29"/>
      <c r="BU213" s="29"/>
      <c r="BV213" s="30"/>
    </row>
    <row r="214" spans="1:74" outlineLevel="1" x14ac:dyDescent="0.15">
      <c r="A214" s="31"/>
      <c r="B214" s="46" t="s">
        <v>354</v>
      </c>
      <c r="C214" s="47" t="s">
        <v>229</v>
      </c>
      <c r="D214" s="46">
        <v>499660</v>
      </c>
      <c r="E214" s="48">
        <v>12</v>
      </c>
      <c r="F214" s="47">
        <v>1</v>
      </c>
      <c r="G214" s="47"/>
      <c r="I214" s="49" t="str">
        <f t="shared" si="33"/>
        <v>·</v>
      </c>
      <c r="J214" s="50">
        <f t="shared" si="34"/>
        <v>11.085746307489092</v>
      </c>
      <c r="K214" s="50">
        <f t="shared" si="35"/>
        <v>9.8042669014930155</v>
      </c>
      <c r="L214" s="50">
        <f t="shared" si="36"/>
        <v>1.2804386983148541</v>
      </c>
      <c r="M214" s="51"/>
      <c r="N214" s="50">
        <f t="shared" si="37"/>
        <v>11.085746307489092</v>
      </c>
      <c r="O214" s="52">
        <v>499660</v>
      </c>
      <c r="P214" s="53">
        <v>5539104</v>
      </c>
      <c r="Q214" s="53">
        <v>4898800</v>
      </c>
      <c r="R214" s="53">
        <v>639784</v>
      </c>
      <c r="S214" s="54"/>
      <c r="T214" s="55">
        <v>29.556699999999999</v>
      </c>
      <c r="U214" s="55">
        <v>34.2196</v>
      </c>
      <c r="V214" s="55">
        <v>34.882100000000001</v>
      </c>
      <c r="W214" s="56"/>
      <c r="X214" s="55">
        <v>21.686399999999999</v>
      </c>
      <c r="Y214" s="55">
        <v>21.686399999999999</v>
      </c>
      <c r="Z214" s="55">
        <v>21.686399999999999</v>
      </c>
      <c r="AA214" s="56"/>
      <c r="AB214" s="57"/>
      <c r="AC214" s="57"/>
      <c r="AE214" s="49" t="str">
        <f t="shared" si="38"/>
        <v>·</v>
      </c>
      <c r="AF214" s="50">
        <f t="shared" si="39"/>
        <v>11.054429011727976</v>
      </c>
      <c r="AG214" s="50">
        <f t="shared" si="40"/>
        <v>9.8042669014930155</v>
      </c>
      <c r="AH214" s="50">
        <f t="shared" si="41"/>
        <v>1.2491214025537365</v>
      </c>
      <c r="AI214" s="51"/>
      <c r="AJ214" s="50">
        <f t="shared" si="42"/>
        <v>11.054429011727976</v>
      </c>
      <c r="AK214" s="52">
        <v>499660</v>
      </c>
      <c r="AL214" s="53">
        <v>5523456</v>
      </c>
      <c r="AM214" s="53">
        <v>4898800</v>
      </c>
      <c r="AN214" s="53">
        <v>624136</v>
      </c>
      <c r="AO214" s="54"/>
      <c r="AP214" s="55">
        <v>29.599599999999999</v>
      </c>
      <c r="AQ214" s="55">
        <v>34.2226</v>
      </c>
      <c r="AR214" s="55">
        <v>34.9056</v>
      </c>
      <c r="AS214" s="56"/>
      <c r="AT214" s="55">
        <v>21.686399999999999</v>
      </c>
      <c r="AU214" s="55">
        <v>21.686399999999999</v>
      </c>
      <c r="AV214" s="55">
        <v>21.686399999999999</v>
      </c>
      <c r="AW214" s="56"/>
      <c r="AX214" s="57">
        <v>1.9179999999999999</v>
      </c>
      <c r="AY214" s="57">
        <v>1.778</v>
      </c>
      <c r="BA214" s="58">
        <f t="shared" si="43"/>
        <v>2.505521469415628E-3</v>
      </c>
      <c r="BB214" s="58"/>
      <c r="BD214" s="59"/>
      <c r="BE214" s="59"/>
      <c r="BF214" s="59"/>
      <c r="BG214" s="60"/>
      <c r="BI214" s="59"/>
      <c r="BJ214" s="59"/>
      <c r="BK214" s="59"/>
      <c r="BL214" s="60"/>
      <c r="BN214" s="59"/>
      <c r="BO214" s="59"/>
      <c r="BP214" s="59"/>
      <c r="BQ214" s="60"/>
      <c r="BS214" s="59"/>
      <c r="BT214" s="59"/>
      <c r="BU214" s="59"/>
      <c r="BV214" s="60"/>
    </row>
    <row r="215" spans="1:74" x14ac:dyDescent="0.15">
      <c r="A215" s="16"/>
      <c r="B215" s="16" t="s">
        <v>357</v>
      </c>
      <c r="C215" s="17" t="s">
        <v>225</v>
      </c>
      <c r="D215" s="16">
        <v>499886</v>
      </c>
      <c r="E215" s="18">
        <v>20</v>
      </c>
      <c r="F215" s="17">
        <v>1</v>
      </c>
      <c r="G215" s="17"/>
      <c r="I215" s="19" t="str">
        <f t="shared" si="33"/>
        <v>·</v>
      </c>
      <c r="J215" s="20">
        <f t="shared" si="34"/>
        <v>43.88445365543344</v>
      </c>
      <c r="K215" s="20">
        <f t="shared" si="35"/>
        <v>34.227515873619183</v>
      </c>
      <c r="L215" s="20">
        <f t="shared" si="36"/>
        <v>9.6558495336936829</v>
      </c>
      <c r="M215" s="21"/>
      <c r="N215" s="20">
        <f t="shared" si="37"/>
        <v>43.88445365543344</v>
      </c>
      <c r="O215" s="22">
        <v>499886</v>
      </c>
      <c r="P215" s="23">
        <v>21937224</v>
      </c>
      <c r="Q215" s="23">
        <v>17109856</v>
      </c>
      <c r="R215" s="23">
        <v>4826824</v>
      </c>
      <c r="S215" s="24"/>
      <c r="T215" s="25">
        <v>53.406199999999998</v>
      </c>
      <c r="U215" s="25">
        <v>54.818100000000001</v>
      </c>
      <c r="V215" s="25">
        <v>54.9925</v>
      </c>
      <c r="W215" s="26"/>
      <c r="X215" s="25">
        <v>48.130800000000001</v>
      </c>
      <c r="Y215" s="25">
        <v>48.130800000000001</v>
      </c>
      <c r="Z215" s="25">
        <v>48.130800000000001</v>
      </c>
      <c r="AA215" s="26"/>
      <c r="AB215" s="27"/>
      <c r="AC215" s="27"/>
      <c r="AE215" s="19" t="str">
        <f t="shared" si="38"/>
        <v>·</v>
      </c>
      <c r="AF215" s="20">
        <f t="shared" si="39"/>
        <v>43.822903622025819</v>
      </c>
      <c r="AG215" s="20">
        <f t="shared" si="40"/>
        <v>34.227515873619183</v>
      </c>
      <c r="AH215" s="20">
        <f t="shared" si="41"/>
        <v>9.5942995002860645</v>
      </c>
      <c r="AI215" s="21"/>
      <c r="AJ215" s="20">
        <f t="shared" si="42"/>
        <v>43.822903622025819</v>
      </c>
      <c r="AK215" s="22">
        <v>499886</v>
      </c>
      <c r="AL215" s="23">
        <v>21906456</v>
      </c>
      <c r="AM215" s="23">
        <v>17109856</v>
      </c>
      <c r="AN215" s="23">
        <v>4796056</v>
      </c>
      <c r="AO215" s="24"/>
      <c r="AP215" s="25">
        <v>53.413400000000003</v>
      </c>
      <c r="AQ215" s="25">
        <v>54.815199999999997</v>
      </c>
      <c r="AR215" s="25">
        <v>54.990099999999998</v>
      </c>
      <c r="AS215" s="26"/>
      <c r="AT215" s="25">
        <v>48.130800000000001</v>
      </c>
      <c r="AU215" s="25">
        <v>48.130800000000001</v>
      </c>
      <c r="AV215" s="25">
        <v>48.130800000000001</v>
      </c>
      <c r="AW215" s="26"/>
      <c r="AX215" s="27">
        <v>3.7120000000000002</v>
      </c>
      <c r="AY215" s="27">
        <v>3.3540000000000001</v>
      </c>
      <c r="BA215" s="28">
        <f t="shared" si="43"/>
        <v>1.0954481541487482E-3</v>
      </c>
      <c r="BB215" s="28">
        <f t="array" ref="BB215">AVERAGE(AM215:AM219/AL215:AL219) - AVERAGE(Q215:Q219/P215:P219)</f>
        <v>1.0997523042854951E-3</v>
      </c>
      <c r="BD215" s="29">
        <f>IF( OR(ISBLANK(R215:R219),ISBLANK(AN215:AN219), ISBLANK(T215:T219),ISBLANK(AP215:AP219)), "·", bdRateExtend( R215:R219,T215:T219, AN215:AN219,AP215:AP219))</f>
        <v>-1.5512672417416273E-2</v>
      </c>
      <c r="BE215" s="29">
        <f>IF( OR(ISBLANK(R215:R219),ISBLANK(AN215:AN219), ISBLANK(U215:U219),ISBLANK(AQ215:AQ219)), "·", bdRateExtend( R215:R219,U215:U219, AN215:AN219,AQ215:AQ219))</f>
        <v>-1.7414651251755231E-2</v>
      </c>
      <c r="BF215" s="29">
        <f>IF( OR(ISBLANK(R215:R219),ISBLANK(AN215:AN219), ISBLANK(V215:V219),ISBLANK(AR215:AR219)), "·", bdRateExtend( R215:R219,V215:V219, AN215:AN219,AR215:AR219))</f>
        <v>-1.5107291030688308E-2</v>
      </c>
      <c r="BG215" s="30"/>
      <c r="BI215" s="29">
        <f>IF( OR(ISBLANK(R215:R219),ISBLANK(AN215:AN219), ISBLANK(X215:X219),ISBLANK(AT215:AT219)), "·", bdRateExtend( R215:R219,X215:X219, AN215:AN219,AT215:AT219))</f>
        <v>-1.3253341123252604E-2</v>
      </c>
      <c r="BJ215" s="29">
        <f>IF( OR(ISBLANK(R215:R219),ISBLANK(AN215:AN219), ISBLANK(Y215:Y219),ISBLANK(AU215:AU219)), "·", bdRateExtend( R215:R219,Y215:Y219, AN215:AN219,AU215:AU219))</f>
        <v>-1.3253341123252604E-2</v>
      </c>
      <c r="BK215" s="29">
        <f>IF( OR(ISBLANK(R215:R219),ISBLANK(AN215:AN219), ISBLANK(Z215:Z219),ISBLANK(AV215:AV219)), "·", bdRateExtend( R215:R219,Z215:Z219, AN215:AN219,AV215:AV219))</f>
        <v>-1.3253341123252604E-2</v>
      </c>
      <c r="BL215" s="30"/>
      <c r="BN215" s="29">
        <f>IF( OR(ISBLANK(P215:P219),ISBLANK(AL215:AL219), ISBLANK(T215:T219),ISBLANK(AP215:AP219)), "·", bdRateExtend( P215:P219,T215:T219, AL215:AL219,AP215:AP219))</f>
        <v>-1.4540794988368022E-3</v>
      </c>
      <c r="BO215" s="29">
        <f>IF( OR(ISBLANK(P215:P219),ISBLANK(AL215:AL219), ISBLANK(U215:U219),ISBLANK(AQ215:AQ219)), "·", bdRateExtend( P215:P219,U215:U219, AL215:AL219,AQ215:AQ219))</f>
        <v>-1.5746818865267631E-3</v>
      </c>
      <c r="BP215" s="29">
        <f>IF( OR(ISBLANK(P215:P219),ISBLANK(AL215:AL219), ISBLANK(V215:V219),ISBLANK(AR215:AR219)), "·", bdRateExtend( P215:P219,V215:V219, AL215:AL219,AR215:AR219))</f>
        <v>-1.5266766636060636E-3</v>
      </c>
      <c r="BQ215" s="30"/>
      <c r="BS215" s="29">
        <f>IF( OR(ISBLANK(P215:P219),ISBLANK(AL215:AL219), ISBLANK(X215:X219),ISBLANK(AT215:AT219)), "·", bdRateExtend( P215:P219,X215:X219, AL215:AL219,AT215:AT219))</f>
        <v>-1.2963773283630742E-3</v>
      </c>
      <c r="BT215" s="29">
        <f>IF( OR(ISBLANK(P215:P219),ISBLANK(AL215:AL219), ISBLANK(Y215:Y219),ISBLANK(AU215:AU219)), "·", bdRateExtend( P215:P219,Y215:Y219, AL215:AL219,AU215:AU219))</f>
        <v>-1.2963773283630742E-3</v>
      </c>
      <c r="BU215" s="29">
        <f>IF( OR(ISBLANK(P215:P219),ISBLANK(AL215:AL219), ISBLANK(Z215:Z219),ISBLANK(AV215:AV219)), "·", bdRateExtend( P215:P219,Z215:Z219, AL215:AL219,AV215:AV219))</f>
        <v>-1.2963773283630742E-3</v>
      </c>
      <c r="BV215" s="30"/>
    </row>
    <row r="216" spans="1:74" outlineLevel="1" x14ac:dyDescent="0.15">
      <c r="A216" s="31"/>
      <c r="B216" s="31" t="s">
        <v>357</v>
      </c>
      <c r="C216" s="32" t="s">
        <v>226</v>
      </c>
      <c r="D216" s="31">
        <v>499886</v>
      </c>
      <c r="E216" s="33">
        <v>20</v>
      </c>
      <c r="F216" s="32">
        <v>1</v>
      </c>
      <c r="G216" s="32"/>
      <c r="I216" s="34" t="str">
        <f t="shared" si="33"/>
        <v>·</v>
      </c>
      <c r="J216" s="35">
        <f t="shared" si="34"/>
        <v>41.327790736287874</v>
      </c>
      <c r="K216" s="35">
        <f t="shared" si="35"/>
        <v>34.227515873619183</v>
      </c>
      <c r="L216" s="35">
        <f t="shared" si="36"/>
        <v>7.0991866145481168</v>
      </c>
      <c r="M216" s="36"/>
      <c r="N216" s="35">
        <f t="shared" si="37"/>
        <v>41.327790736287874</v>
      </c>
      <c r="O216" s="37">
        <v>499886</v>
      </c>
      <c r="P216" s="38">
        <v>20659184</v>
      </c>
      <c r="Q216" s="38">
        <v>17109856</v>
      </c>
      <c r="R216" s="38">
        <v>3548784</v>
      </c>
      <c r="S216" s="39"/>
      <c r="T216" s="40">
        <v>48.514400000000002</v>
      </c>
      <c r="U216" s="40">
        <v>50.471299999999999</v>
      </c>
      <c r="V216" s="40">
        <v>50.476300000000002</v>
      </c>
      <c r="W216" s="41"/>
      <c r="X216" s="40">
        <v>42.110199999999999</v>
      </c>
      <c r="Y216" s="40">
        <v>42.110199999999999</v>
      </c>
      <c r="Z216" s="40">
        <v>42.110199999999999</v>
      </c>
      <c r="AA216" s="41"/>
      <c r="AB216" s="42"/>
      <c r="AC216" s="42"/>
      <c r="AE216" s="34" t="str">
        <f t="shared" si="38"/>
        <v>·</v>
      </c>
      <c r="AF216" s="35">
        <f t="shared" si="39"/>
        <v>41.274194516349731</v>
      </c>
      <c r="AG216" s="35">
        <f t="shared" si="40"/>
        <v>34.227515873619183</v>
      </c>
      <c r="AH216" s="35">
        <f t="shared" si="41"/>
        <v>7.0455903946099712</v>
      </c>
      <c r="AI216" s="36"/>
      <c r="AJ216" s="35">
        <f t="shared" si="42"/>
        <v>41.274194516349731</v>
      </c>
      <c r="AK216" s="37">
        <v>499886</v>
      </c>
      <c r="AL216" s="38">
        <v>20632392</v>
      </c>
      <c r="AM216" s="38">
        <v>17109856</v>
      </c>
      <c r="AN216" s="38">
        <v>3521992</v>
      </c>
      <c r="AO216" s="39"/>
      <c r="AP216" s="40">
        <v>48.512900000000002</v>
      </c>
      <c r="AQ216" s="40">
        <v>50.484000000000002</v>
      </c>
      <c r="AR216" s="40">
        <v>50.511200000000002</v>
      </c>
      <c r="AS216" s="41"/>
      <c r="AT216" s="40">
        <v>42.110199999999999</v>
      </c>
      <c r="AU216" s="40">
        <v>42.110199999999999</v>
      </c>
      <c r="AV216" s="40">
        <v>42.110199999999999</v>
      </c>
      <c r="AW216" s="41"/>
      <c r="AX216" s="42">
        <v>3.7280000000000002</v>
      </c>
      <c r="AY216" s="42">
        <v>3.3069999999999999</v>
      </c>
      <c r="BA216" s="43">
        <f t="shared" si="43"/>
        <v>1.0754463373233714E-3</v>
      </c>
      <c r="BB216" s="43"/>
      <c r="BD216" s="44"/>
      <c r="BE216" s="44"/>
      <c r="BF216" s="44"/>
      <c r="BG216" s="45"/>
      <c r="BI216" s="44"/>
      <c r="BJ216" s="44"/>
      <c r="BK216" s="44"/>
      <c r="BL216" s="45"/>
      <c r="BN216" s="44"/>
      <c r="BO216" s="44"/>
      <c r="BP216" s="44"/>
      <c r="BQ216" s="45"/>
      <c r="BS216" s="44"/>
      <c r="BT216" s="44"/>
      <c r="BU216" s="44"/>
      <c r="BV216" s="45"/>
    </row>
    <row r="217" spans="1:74" outlineLevel="1" x14ac:dyDescent="0.15">
      <c r="A217" s="16"/>
      <c r="B217" s="16" t="s">
        <v>357</v>
      </c>
      <c r="C217" s="17" t="s">
        <v>227</v>
      </c>
      <c r="D217" s="16">
        <v>499886</v>
      </c>
      <c r="E217" s="18">
        <v>20</v>
      </c>
      <c r="F217" s="17">
        <v>1</v>
      </c>
      <c r="G217" s="17"/>
      <c r="I217" s="19" t="str">
        <f t="shared" si="33"/>
        <v>·</v>
      </c>
      <c r="J217" s="20">
        <f t="shared" si="34"/>
        <v>38.658590158556152</v>
      </c>
      <c r="K217" s="20">
        <f t="shared" si="35"/>
        <v>34.227515873619183</v>
      </c>
      <c r="L217" s="20">
        <f t="shared" si="36"/>
        <v>4.4299860368163939</v>
      </c>
      <c r="M217" s="21"/>
      <c r="N217" s="20">
        <f t="shared" si="37"/>
        <v>38.658590158556152</v>
      </c>
      <c r="O217" s="22">
        <v>499886</v>
      </c>
      <c r="P217" s="23">
        <v>19324888</v>
      </c>
      <c r="Q217" s="23">
        <v>17109856</v>
      </c>
      <c r="R217" s="23">
        <v>2214488</v>
      </c>
      <c r="S217" s="24"/>
      <c r="T217" s="25">
        <v>41.363</v>
      </c>
      <c r="U217" s="25">
        <v>44.258699999999997</v>
      </c>
      <c r="V217" s="25">
        <v>44.6282</v>
      </c>
      <c r="W217" s="26"/>
      <c r="X217" s="25">
        <v>34.151400000000002</v>
      </c>
      <c r="Y217" s="25">
        <v>34.151400000000002</v>
      </c>
      <c r="Z217" s="25">
        <v>34.151400000000002</v>
      </c>
      <c r="AA217" s="26"/>
      <c r="AB217" s="27"/>
      <c r="AC217" s="27"/>
      <c r="AE217" s="19" t="str">
        <f t="shared" si="38"/>
        <v>·</v>
      </c>
      <c r="AF217" s="20">
        <f t="shared" si="39"/>
        <v>38.608146657437899</v>
      </c>
      <c r="AG217" s="20">
        <f t="shared" si="40"/>
        <v>34.227515873619183</v>
      </c>
      <c r="AH217" s="20">
        <f t="shared" si="41"/>
        <v>4.379542535698139</v>
      </c>
      <c r="AI217" s="21"/>
      <c r="AJ217" s="20">
        <f t="shared" si="42"/>
        <v>38.608146657437899</v>
      </c>
      <c r="AK217" s="22">
        <v>499886</v>
      </c>
      <c r="AL217" s="23">
        <v>19299672</v>
      </c>
      <c r="AM217" s="23">
        <v>17109856</v>
      </c>
      <c r="AN217" s="23">
        <v>2189272</v>
      </c>
      <c r="AO217" s="24"/>
      <c r="AP217" s="25">
        <v>41.3962</v>
      </c>
      <c r="AQ217" s="25">
        <v>44.274999999999999</v>
      </c>
      <c r="AR217" s="25">
        <v>44.649700000000003</v>
      </c>
      <c r="AS217" s="26"/>
      <c r="AT217" s="25">
        <v>34.151400000000002</v>
      </c>
      <c r="AU217" s="25">
        <v>34.151400000000002</v>
      </c>
      <c r="AV217" s="25">
        <v>34.151400000000002</v>
      </c>
      <c r="AW217" s="26"/>
      <c r="AX217" s="27">
        <v>3.7280000000000002</v>
      </c>
      <c r="AY217" s="27">
        <v>3.26</v>
      </c>
      <c r="BA217" s="28">
        <f t="shared" si="43"/>
        <v>1.1567929587972259E-3</v>
      </c>
      <c r="BB217" s="28"/>
      <c r="BD217" s="29"/>
      <c r="BE217" s="29"/>
      <c r="BF217" s="29"/>
      <c r="BG217" s="30"/>
      <c r="BI217" s="29"/>
      <c r="BJ217" s="29"/>
      <c r="BK217" s="29"/>
      <c r="BL217" s="30"/>
      <c r="BN217" s="29"/>
      <c r="BO217" s="29"/>
      <c r="BP217" s="29"/>
      <c r="BQ217" s="30"/>
      <c r="BS217" s="29"/>
      <c r="BT217" s="29"/>
      <c r="BU217" s="29"/>
      <c r="BV217" s="30"/>
    </row>
    <row r="218" spans="1:74" outlineLevel="1" x14ac:dyDescent="0.15">
      <c r="A218" s="31"/>
      <c r="B218" s="31" t="s">
        <v>357</v>
      </c>
      <c r="C218" s="32" t="s">
        <v>228</v>
      </c>
      <c r="D218" s="31">
        <v>499886</v>
      </c>
      <c r="E218" s="33">
        <v>20</v>
      </c>
      <c r="F218" s="32">
        <v>1</v>
      </c>
      <c r="G218" s="32"/>
      <c r="I218" s="34" t="str">
        <f t="shared" si="33"/>
        <v>·</v>
      </c>
      <c r="J218" s="35">
        <f t="shared" si="34"/>
        <v>36.890330995466968</v>
      </c>
      <c r="K218" s="35">
        <f t="shared" si="35"/>
        <v>34.227515873619183</v>
      </c>
      <c r="L218" s="35">
        <f t="shared" si="36"/>
        <v>2.66172687372721</v>
      </c>
      <c r="M218" s="36"/>
      <c r="N218" s="35">
        <f t="shared" si="37"/>
        <v>36.890330995466968</v>
      </c>
      <c r="O218" s="37">
        <v>499886</v>
      </c>
      <c r="P218" s="38">
        <v>18440960</v>
      </c>
      <c r="Q218" s="38">
        <v>17109856</v>
      </c>
      <c r="R218" s="38">
        <v>1330560</v>
      </c>
      <c r="S218" s="39"/>
      <c r="T218" s="40">
        <v>35.6492</v>
      </c>
      <c r="U218" s="40">
        <v>39.4208</v>
      </c>
      <c r="V218" s="40">
        <v>39.8581</v>
      </c>
      <c r="W218" s="41"/>
      <c r="X218" s="40">
        <v>28.130800000000001</v>
      </c>
      <c r="Y218" s="40">
        <v>28.130800000000001</v>
      </c>
      <c r="Z218" s="40">
        <v>28.130800000000001</v>
      </c>
      <c r="AA218" s="41"/>
      <c r="AB218" s="42"/>
      <c r="AC218" s="42"/>
      <c r="AE218" s="34" t="str">
        <f t="shared" si="38"/>
        <v>·</v>
      </c>
      <c r="AF218" s="35">
        <f t="shared" si="39"/>
        <v>36.839135322853608</v>
      </c>
      <c r="AG218" s="35">
        <f t="shared" si="40"/>
        <v>34.227515873619183</v>
      </c>
      <c r="AH218" s="35">
        <f t="shared" si="41"/>
        <v>2.6105312011138539</v>
      </c>
      <c r="AI218" s="36"/>
      <c r="AJ218" s="35">
        <f t="shared" si="42"/>
        <v>36.839135322853608</v>
      </c>
      <c r="AK218" s="37">
        <v>499886</v>
      </c>
      <c r="AL218" s="38">
        <v>18415368</v>
      </c>
      <c r="AM218" s="38">
        <v>17109856</v>
      </c>
      <c r="AN218" s="38">
        <v>1304968</v>
      </c>
      <c r="AO218" s="39"/>
      <c r="AP218" s="40">
        <v>35.680100000000003</v>
      </c>
      <c r="AQ218" s="40">
        <v>39.483699999999999</v>
      </c>
      <c r="AR218" s="40">
        <v>39.881599999999999</v>
      </c>
      <c r="AS218" s="41"/>
      <c r="AT218" s="40">
        <v>28.130800000000001</v>
      </c>
      <c r="AU218" s="40">
        <v>28.130800000000001</v>
      </c>
      <c r="AV218" s="40">
        <v>28.130800000000001</v>
      </c>
      <c r="AW218" s="41"/>
      <c r="AX218" s="42">
        <v>3.6970000000000001</v>
      </c>
      <c r="AY218" s="42">
        <v>3.2759999999999998</v>
      </c>
      <c r="BA218" s="43">
        <f t="shared" si="43"/>
        <v>1.289396995151515E-3</v>
      </c>
      <c r="BB218" s="43"/>
      <c r="BD218" s="44"/>
      <c r="BE218" s="44"/>
      <c r="BF218" s="44"/>
      <c r="BG218" s="45"/>
      <c r="BI218" s="44"/>
      <c r="BJ218" s="44"/>
      <c r="BK218" s="44"/>
      <c r="BL218" s="45"/>
      <c r="BN218" s="44"/>
      <c r="BO218" s="44"/>
      <c r="BP218" s="44"/>
      <c r="BQ218" s="45"/>
      <c r="BS218" s="44"/>
      <c r="BT218" s="44"/>
      <c r="BU218" s="44"/>
      <c r="BV218" s="45"/>
    </row>
    <row r="219" spans="1:74" outlineLevel="1" x14ac:dyDescent="0.15">
      <c r="A219" s="16"/>
      <c r="B219" s="65" t="s">
        <v>357</v>
      </c>
      <c r="C219" s="67" t="s">
        <v>229</v>
      </c>
      <c r="D219" s="65">
        <v>499886</v>
      </c>
      <c r="E219" s="66">
        <v>20</v>
      </c>
      <c r="F219" s="67">
        <v>1</v>
      </c>
      <c r="G219" s="67"/>
      <c r="I219" s="69" t="str">
        <f t="shared" si="33"/>
        <v>·</v>
      </c>
      <c r="J219" s="70">
        <f t="shared" si="34"/>
        <v>35.511984732519018</v>
      </c>
      <c r="K219" s="70">
        <f t="shared" si="35"/>
        <v>34.227515873619183</v>
      </c>
      <c r="L219" s="70">
        <f t="shared" si="36"/>
        <v>1.2833806107792576</v>
      </c>
      <c r="M219" s="75"/>
      <c r="N219" s="70">
        <f t="shared" si="37"/>
        <v>35.511984732519018</v>
      </c>
      <c r="O219" s="71">
        <v>499886</v>
      </c>
      <c r="P219" s="72">
        <v>17751944</v>
      </c>
      <c r="Q219" s="72">
        <v>17109856</v>
      </c>
      <c r="R219" s="72">
        <v>641544</v>
      </c>
      <c r="S219" s="76"/>
      <c r="T219" s="77">
        <v>29.569900000000001</v>
      </c>
      <c r="U219" s="77">
        <v>34.099499999999999</v>
      </c>
      <c r="V219" s="77">
        <v>34.990099999999998</v>
      </c>
      <c r="W219" s="78"/>
      <c r="X219" s="77">
        <v>21.686399999999999</v>
      </c>
      <c r="Y219" s="77">
        <v>21.686399999999999</v>
      </c>
      <c r="Z219" s="77">
        <v>21.686399999999999</v>
      </c>
      <c r="AA219" s="78"/>
      <c r="AB219" s="73"/>
      <c r="AC219" s="73"/>
      <c r="AE219" s="69" t="str">
        <f t="shared" si="38"/>
        <v>·</v>
      </c>
      <c r="AF219" s="70">
        <f t="shared" si="39"/>
        <v>35.479529332687854</v>
      </c>
      <c r="AG219" s="70">
        <f t="shared" si="40"/>
        <v>34.227515873619183</v>
      </c>
      <c r="AH219" s="70">
        <f t="shared" si="41"/>
        <v>1.2509252109480962</v>
      </c>
      <c r="AI219" s="75"/>
      <c r="AJ219" s="70">
        <f t="shared" si="42"/>
        <v>35.479529332687854</v>
      </c>
      <c r="AK219" s="71">
        <v>499886</v>
      </c>
      <c r="AL219" s="72">
        <v>17735720</v>
      </c>
      <c r="AM219" s="72">
        <v>17109856</v>
      </c>
      <c r="AN219" s="72">
        <v>625320</v>
      </c>
      <c r="AO219" s="76"/>
      <c r="AP219" s="77">
        <v>29.602900000000002</v>
      </c>
      <c r="AQ219" s="77">
        <v>34.178199999999997</v>
      </c>
      <c r="AR219" s="77">
        <v>34.9724</v>
      </c>
      <c r="AS219" s="78"/>
      <c r="AT219" s="77">
        <v>21.686399999999999</v>
      </c>
      <c r="AU219" s="77">
        <v>21.686399999999999</v>
      </c>
      <c r="AV219" s="77">
        <v>21.686399999999999</v>
      </c>
      <c r="AW219" s="78"/>
      <c r="AX219" s="73">
        <v>3.65</v>
      </c>
      <c r="AY219" s="73">
        <v>3.2440000000000002</v>
      </c>
      <c r="BA219" s="68">
        <f t="shared" si="43"/>
        <v>8.8167707600528278E-4</v>
      </c>
      <c r="BB219" s="68"/>
      <c r="BD219" s="74"/>
      <c r="BE219" s="74"/>
      <c r="BF219" s="74"/>
      <c r="BG219" s="79"/>
      <c r="BI219" s="74"/>
      <c r="BJ219" s="74"/>
      <c r="BK219" s="74"/>
      <c r="BL219" s="79"/>
      <c r="BN219" s="74"/>
      <c r="BO219" s="74"/>
      <c r="BP219" s="74"/>
      <c r="BQ219" s="79"/>
      <c r="BS219" s="74"/>
      <c r="BT219" s="74"/>
      <c r="BU219" s="74"/>
      <c r="BV219" s="79"/>
    </row>
    <row r="220" spans="1:74" x14ac:dyDescent="0.15">
      <c r="A220" s="31"/>
      <c r="B220" s="31" t="s">
        <v>360</v>
      </c>
      <c r="C220" s="32" t="s">
        <v>225</v>
      </c>
      <c r="D220" s="31">
        <v>63787119</v>
      </c>
      <c r="E220" s="33">
        <v>15</v>
      </c>
      <c r="F220" s="32">
        <v>1</v>
      </c>
      <c r="G220" s="32"/>
      <c r="I220" s="34" t="str">
        <f t="shared" si="33"/>
        <v>·</v>
      </c>
      <c r="J220" s="35">
        <f t="shared" si="34"/>
        <v>12.399933096210225</v>
      </c>
      <c r="K220" s="35">
        <f t="shared" si="35"/>
        <v>8.3884078225887588</v>
      </c>
      <c r="L220" s="35">
        <f t="shared" si="36"/>
        <v>4.0114429999574055</v>
      </c>
      <c r="M220" s="36"/>
      <c r="N220" s="35">
        <f t="shared" si="37"/>
        <v>12.399933096210225</v>
      </c>
      <c r="O220" s="37">
        <v>63787119</v>
      </c>
      <c r="P220" s="38">
        <v>790956008</v>
      </c>
      <c r="Q220" s="38">
        <v>535072368</v>
      </c>
      <c r="R220" s="38">
        <v>255878392</v>
      </c>
      <c r="S220" s="39"/>
      <c r="T220" s="40">
        <v>52.621000000000002</v>
      </c>
      <c r="U220" s="40">
        <v>56.854300000000002</v>
      </c>
      <c r="V220" s="40">
        <v>56.303600000000003</v>
      </c>
      <c r="W220" s="41"/>
      <c r="X220" s="40">
        <v>48.130800000000001</v>
      </c>
      <c r="Y220" s="40">
        <v>48.130800000000001</v>
      </c>
      <c r="Z220" s="40">
        <v>48.130800000000001</v>
      </c>
      <c r="AA220" s="41"/>
      <c r="AB220" s="42"/>
      <c r="AC220" s="42"/>
      <c r="AE220" s="34" t="str">
        <f t="shared" si="38"/>
        <v>·</v>
      </c>
      <c r="AF220" s="35">
        <f t="shared" si="39"/>
        <v>12.347629119289742</v>
      </c>
      <c r="AG220" s="35">
        <f t="shared" si="40"/>
        <v>8.3884078225887588</v>
      </c>
      <c r="AH220" s="35">
        <f t="shared" si="41"/>
        <v>3.9591390230369239</v>
      </c>
      <c r="AI220" s="36"/>
      <c r="AJ220" s="35">
        <f t="shared" si="42"/>
        <v>12.347629119289742</v>
      </c>
      <c r="AK220" s="37">
        <v>63787119</v>
      </c>
      <c r="AL220" s="38">
        <v>787619688</v>
      </c>
      <c r="AM220" s="38">
        <v>535072368</v>
      </c>
      <c r="AN220" s="38">
        <v>252542072</v>
      </c>
      <c r="AO220" s="39"/>
      <c r="AP220" s="40">
        <v>52.606000000000002</v>
      </c>
      <c r="AQ220" s="40">
        <v>56.891300000000001</v>
      </c>
      <c r="AR220" s="40">
        <v>56.3491</v>
      </c>
      <c r="AS220" s="41"/>
      <c r="AT220" s="40">
        <v>48.130800000000001</v>
      </c>
      <c r="AU220" s="40">
        <v>48.130800000000001</v>
      </c>
      <c r="AV220" s="40">
        <v>48.130800000000001</v>
      </c>
      <c r="AW220" s="41"/>
      <c r="AX220" s="42">
        <v>311.37700000000001</v>
      </c>
      <c r="AY220" s="42">
        <v>282.65800000000002</v>
      </c>
      <c r="BA220" s="43">
        <f t="shared" si="43"/>
        <v>2.8655720330136303E-3</v>
      </c>
      <c r="BB220" s="43">
        <f t="array" ref="BB220">AVERAGE(AM220:AM224/AL220:AL224) - AVERAGE(Q220:Q224/P220:P224)</f>
        <v>2.7955357668757452E-3</v>
      </c>
      <c r="BD220" s="44">
        <f>IF( OR(ISBLANK(R220:R224),ISBLANK(AN220:AN224), ISBLANK(T220:T224),ISBLANK(AP220:AP224)), "·", bdRateExtend( R220:R224,T220:T224, AN220:AN224,AP220:AP224))</f>
        <v>-3.5531835404538303E-2</v>
      </c>
      <c r="BE220" s="44">
        <f>IF( OR(ISBLANK(R220:R224),ISBLANK(AN220:AN224), ISBLANK(U220:U224),ISBLANK(AQ220:AQ224)), "·", bdRateExtend( R220:R224,U220:U224, AN220:AN224,AQ220:AQ224))</f>
        <v>-4.5453540745615695E-2</v>
      </c>
      <c r="BF220" s="44">
        <f>IF( OR(ISBLANK(R220:R224),ISBLANK(AN220:AN224), ISBLANK(V220:V224),ISBLANK(AR220:AR224)), "·", bdRateExtend( R220:R224,V220:V224, AN220:AN224,AR220:AR224))</f>
        <v>-4.5448246834838502E-2</v>
      </c>
      <c r="BG220" s="45"/>
      <c r="BI220" s="44">
        <f>IF( OR(ISBLANK(R220:R224),ISBLANK(AN220:AN224), ISBLANK(X220:X224),ISBLANK(AT220:AT224)), "·", bdRateExtend( R220:R224,X220:X224, AN220:AN224,AT220:AT224))</f>
        <v>-3.019133979116484E-2</v>
      </c>
      <c r="BJ220" s="44">
        <f>IF( OR(ISBLANK(R220:R224),ISBLANK(AN220:AN224), ISBLANK(Y220:Y224),ISBLANK(AU220:AU224)), "·", bdRateExtend( R220:R224,Y220:Y224, AN220:AN224,AU220:AU224))</f>
        <v>-3.019133979116484E-2</v>
      </c>
      <c r="BK220" s="44">
        <f>IF( OR(ISBLANK(R220:R224),ISBLANK(AN220:AN224), ISBLANK(Z220:Z224),ISBLANK(AV220:AV224)), "·", bdRateExtend( R220:R224,Z220:Z224, AN220:AN224,AV220:AV224))</f>
        <v>-3.019133979116484E-2</v>
      </c>
      <c r="BL220" s="45"/>
      <c r="BN220" s="44">
        <f>IF( OR(ISBLANK(P220:P224),ISBLANK(AL220:AL224), ISBLANK(T220:T224),ISBLANK(AP220:AP224)), "·", bdRateExtend( P220:P224,T220:T224, AL220:AL224,AP220:AP224))</f>
        <v>-3.9447203092721761E-3</v>
      </c>
      <c r="BO220" s="44">
        <f>IF( OR(ISBLANK(P220:P224),ISBLANK(AL220:AL224), ISBLANK(U220:U224),ISBLANK(AQ220:AQ224)), "·", bdRateExtend( P220:P224,U220:U224, AL220:AL224,AQ220:AQ224))</f>
        <v>-5.1320451468455097E-3</v>
      </c>
      <c r="BP220" s="44">
        <f>IF( OR(ISBLANK(P220:P224),ISBLANK(AL220:AL224), ISBLANK(V220:V224),ISBLANK(AR220:AR224)), "·", bdRateExtend( P220:P224,V220:V224, AL220:AL224,AR220:AR224))</f>
        <v>-5.2190463097189221E-3</v>
      </c>
      <c r="BQ220" s="45"/>
      <c r="BS220" s="44">
        <f>IF( OR(ISBLANK(P220:P224),ISBLANK(AL220:AL224), ISBLANK(X220:X224),ISBLANK(AT220:AT224)), "·", bdRateExtend( P220:P224,X220:X224, AL220:AL224,AT220:AT224))</f>
        <v>-3.7082719193218816E-3</v>
      </c>
      <c r="BT220" s="44">
        <f>IF( OR(ISBLANK(P220:P224),ISBLANK(AL220:AL224), ISBLANK(Y220:Y224),ISBLANK(AU220:AU224)), "·", bdRateExtend( P220:P224,Y220:Y224, AL220:AL224,AU220:AU224))</f>
        <v>-3.7082719193218816E-3</v>
      </c>
      <c r="BU220" s="44">
        <f>IF( OR(ISBLANK(P220:P224),ISBLANK(AL220:AL224), ISBLANK(Z220:Z224),ISBLANK(AV220:AV224)), "·", bdRateExtend( P220:P224,Z220:Z224, AL220:AL224,AV220:AV224))</f>
        <v>-3.7082719193218816E-3</v>
      </c>
      <c r="BV220" s="45"/>
    </row>
    <row r="221" spans="1:74" outlineLevel="1" x14ac:dyDescent="0.15">
      <c r="A221" s="16"/>
      <c r="B221" s="16" t="s">
        <v>360</v>
      </c>
      <c r="C221" s="17" t="s">
        <v>226</v>
      </c>
      <c r="D221" s="16">
        <v>63787119</v>
      </c>
      <c r="E221" s="18">
        <v>15</v>
      </c>
      <c r="F221" s="17">
        <v>1</v>
      </c>
      <c r="G221" s="17"/>
      <c r="I221" s="19" t="str">
        <f t="shared" si="33"/>
        <v>·</v>
      </c>
      <c r="J221" s="20">
        <f t="shared" si="34"/>
        <v>11.099398924099393</v>
      </c>
      <c r="K221" s="20">
        <f t="shared" si="35"/>
        <v>8.3884078225887588</v>
      </c>
      <c r="L221" s="20">
        <f t="shared" si="36"/>
        <v>2.7109088278465752</v>
      </c>
      <c r="M221" s="21"/>
      <c r="N221" s="20">
        <f t="shared" si="37"/>
        <v>11.099398924099393</v>
      </c>
      <c r="O221" s="22">
        <v>63787119</v>
      </c>
      <c r="P221" s="23">
        <v>707998680</v>
      </c>
      <c r="Q221" s="23">
        <v>535072368</v>
      </c>
      <c r="R221" s="23">
        <v>172921064</v>
      </c>
      <c r="S221" s="24"/>
      <c r="T221" s="25">
        <v>47.863100000000003</v>
      </c>
      <c r="U221" s="25">
        <v>52.793900000000001</v>
      </c>
      <c r="V221" s="25">
        <v>52.2102</v>
      </c>
      <c r="W221" s="26"/>
      <c r="X221" s="25">
        <v>42.110199999999999</v>
      </c>
      <c r="Y221" s="25">
        <v>42.110199999999999</v>
      </c>
      <c r="Z221" s="25">
        <v>42.110199999999999</v>
      </c>
      <c r="AA221" s="26"/>
      <c r="AB221" s="27"/>
      <c r="AC221" s="27"/>
      <c r="AE221" s="19" t="str">
        <f t="shared" si="38"/>
        <v>·</v>
      </c>
      <c r="AF221" s="20">
        <f t="shared" si="39"/>
        <v>11.045484465288361</v>
      </c>
      <c r="AG221" s="20">
        <f t="shared" si="40"/>
        <v>8.3884078225887588</v>
      </c>
      <c r="AH221" s="20">
        <f t="shared" si="41"/>
        <v>2.6569943690355413</v>
      </c>
      <c r="AI221" s="21"/>
      <c r="AJ221" s="20">
        <f t="shared" si="42"/>
        <v>11.045484465288361</v>
      </c>
      <c r="AK221" s="22">
        <v>63787119</v>
      </c>
      <c r="AL221" s="23">
        <v>704559632</v>
      </c>
      <c r="AM221" s="23">
        <v>535072368</v>
      </c>
      <c r="AN221" s="23">
        <v>169482016</v>
      </c>
      <c r="AO221" s="24"/>
      <c r="AP221" s="25">
        <v>47.860399999999998</v>
      </c>
      <c r="AQ221" s="25">
        <v>52.884700000000002</v>
      </c>
      <c r="AR221" s="25">
        <v>52.301699999999997</v>
      </c>
      <c r="AS221" s="26"/>
      <c r="AT221" s="25">
        <v>42.110199999999999</v>
      </c>
      <c r="AU221" s="25">
        <v>42.110199999999999</v>
      </c>
      <c r="AV221" s="25">
        <v>42.110199999999999</v>
      </c>
      <c r="AW221" s="26"/>
      <c r="AX221" s="27">
        <v>316.29199999999997</v>
      </c>
      <c r="AY221" s="27">
        <v>282.87599999999998</v>
      </c>
      <c r="BA221" s="28">
        <f t="shared" si="43"/>
        <v>3.6889312112443617E-3</v>
      </c>
      <c r="BB221" s="28"/>
      <c r="BD221" s="29"/>
      <c r="BE221" s="29"/>
      <c r="BF221" s="29"/>
      <c r="BG221" s="30"/>
      <c r="BI221" s="29"/>
      <c r="BJ221" s="29"/>
      <c r="BK221" s="29"/>
      <c r="BL221" s="30"/>
      <c r="BN221" s="29"/>
      <c r="BO221" s="29"/>
      <c r="BP221" s="29"/>
      <c r="BQ221" s="30"/>
      <c r="BS221" s="29"/>
      <c r="BT221" s="29"/>
      <c r="BU221" s="29"/>
      <c r="BV221" s="30"/>
    </row>
    <row r="222" spans="1:74" outlineLevel="1" x14ac:dyDescent="0.15">
      <c r="A222" s="31"/>
      <c r="B222" s="31" t="s">
        <v>360</v>
      </c>
      <c r="C222" s="32" t="s">
        <v>227</v>
      </c>
      <c r="D222" s="31">
        <v>63787119</v>
      </c>
      <c r="E222" s="33">
        <v>15</v>
      </c>
      <c r="F222" s="32">
        <v>1</v>
      </c>
      <c r="G222" s="32"/>
      <c r="I222" s="34" t="str">
        <f t="shared" si="33"/>
        <v>·</v>
      </c>
      <c r="J222" s="35">
        <f t="shared" si="34"/>
        <v>9.7002869811379941</v>
      </c>
      <c r="K222" s="35">
        <f t="shared" si="35"/>
        <v>8.3884078225887588</v>
      </c>
      <c r="L222" s="35">
        <f t="shared" si="36"/>
        <v>1.3117968848851755</v>
      </c>
      <c r="M222" s="36"/>
      <c r="N222" s="35">
        <f t="shared" si="37"/>
        <v>9.7002869811379941</v>
      </c>
      <c r="O222" s="37">
        <v>63787119</v>
      </c>
      <c r="P222" s="38">
        <v>618753360</v>
      </c>
      <c r="Q222" s="38">
        <v>535072368</v>
      </c>
      <c r="R222" s="38">
        <v>83675744</v>
      </c>
      <c r="S222" s="39"/>
      <c r="T222" s="40">
        <v>41.145400000000002</v>
      </c>
      <c r="U222" s="40">
        <v>47.846600000000002</v>
      </c>
      <c r="V222" s="40">
        <v>47.004300000000001</v>
      </c>
      <c r="W222" s="41"/>
      <c r="X222" s="40">
        <v>34.151400000000002</v>
      </c>
      <c r="Y222" s="40">
        <v>34.151400000000002</v>
      </c>
      <c r="Z222" s="40">
        <v>34.151400000000002</v>
      </c>
      <c r="AA222" s="41"/>
      <c r="AB222" s="42"/>
      <c r="AC222" s="42"/>
      <c r="AE222" s="34" t="str">
        <f t="shared" si="38"/>
        <v>·</v>
      </c>
      <c r="AF222" s="35">
        <f t="shared" si="39"/>
        <v>9.6609443671534994</v>
      </c>
      <c r="AG222" s="35">
        <f t="shared" si="40"/>
        <v>8.3884078225887588</v>
      </c>
      <c r="AH222" s="35">
        <f t="shared" si="41"/>
        <v>1.2724542709006814</v>
      </c>
      <c r="AI222" s="36"/>
      <c r="AJ222" s="35">
        <f t="shared" si="42"/>
        <v>9.6609443671534994</v>
      </c>
      <c r="AK222" s="37">
        <v>63787119</v>
      </c>
      <c r="AL222" s="38">
        <v>616243808</v>
      </c>
      <c r="AM222" s="38">
        <v>535072368</v>
      </c>
      <c r="AN222" s="38">
        <v>81166192</v>
      </c>
      <c r="AO222" s="39"/>
      <c r="AP222" s="40">
        <v>41.176400000000001</v>
      </c>
      <c r="AQ222" s="40">
        <v>47.953600000000002</v>
      </c>
      <c r="AR222" s="40">
        <v>47.1053</v>
      </c>
      <c r="AS222" s="41"/>
      <c r="AT222" s="40">
        <v>34.151400000000002</v>
      </c>
      <c r="AU222" s="40">
        <v>34.151400000000002</v>
      </c>
      <c r="AV222" s="40">
        <v>34.151400000000002</v>
      </c>
      <c r="AW222" s="41"/>
      <c r="AX222" s="42">
        <v>311.98599999999999</v>
      </c>
      <c r="AY222" s="42">
        <v>281.08199999999999</v>
      </c>
      <c r="BA222" s="43">
        <f t="shared" si="43"/>
        <v>3.5215883145757187E-3</v>
      </c>
      <c r="BB222" s="43"/>
      <c r="BD222" s="44"/>
      <c r="BE222" s="44"/>
      <c r="BF222" s="44"/>
      <c r="BG222" s="45"/>
      <c r="BI222" s="44"/>
      <c r="BJ222" s="44"/>
      <c r="BK222" s="44"/>
      <c r="BL222" s="45"/>
      <c r="BN222" s="44"/>
      <c r="BO222" s="44"/>
      <c r="BP222" s="44"/>
      <c r="BQ222" s="45"/>
      <c r="BS222" s="44"/>
      <c r="BT222" s="44"/>
      <c r="BU222" s="44"/>
      <c r="BV222" s="45"/>
    </row>
    <row r="223" spans="1:74" outlineLevel="1" x14ac:dyDescent="0.15">
      <c r="A223" s="16"/>
      <c r="B223" s="16" t="s">
        <v>360</v>
      </c>
      <c r="C223" s="17" t="s">
        <v>228</v>
      </c>
      <c r="D223" s="16">
        <v>63787119</v>
      </c>
      <c r="E223" s="18">
        <v>15</v>
      </c>
      <c r="F223" s="17">
        <v>1</v>
      </c>
      <c r="G223" s="17"/>
      <c r="I223" s="19" t="str">
        <f t="shared" si="33"/>
        <v>·</v>
      </c>
      <c r="J223" s="20">
        <f t="shared" si="34"/>
        <v>9.0113392329256943</v>
      </c>
      <c r="K223" s="20">
        <f t="shared" si="35"/>
        <v>8.3884078225887588</v>
      </c>
      <c r="L223" s="20">
        <f t="shared" si="36"/>
        <v>0.62284913667287589</v>
      </c>
      <c r="M223" s="21"/>
      <c r="N223" s="20">
        <f t="shared" si="37"/>
        <v>9.0113392329256943</v>
      </c>
      <c r="O223" s="22">
        <v>63787119</v>
      </c>
      <c r="P223" s="23">
        <v>574807368</v>
      </c>
      <c r="Q223" s="23">
        <v>535072368</v>
      </c>
      <c r="R223" s="23">
        <v>39729752</v>
      </c>
      <c r="S223" s="24"/>
      <c r="T223" s="25">
        <v>35.889000000000003</v>
      </c>
      <c r="U223" s="25">
        <v>43.092799999999997</v>
      </c>
      <c r="V223" s="25">
        <v>42.116900000000001</v>
      </c>
      <c r="W223" s="26"/>
      <c r="X223" s="25">
        <v>28.130800000000001</v>
      </c>
      <c r="Y223" s="25">
        <v>28.130800000000001</v>
      </c>
      <c r="Z223" s="25">
        <v>28.130800000000001</v>
      </c>
      <c r="AA223" s="26"/>
      <c r="AB223" s="27"/>
      <c r="AC223" s="27"/>
      <c r="AE223" s="19" t="str">
        <f t="shared" si="38"/>
        <v>·</v>
      </c>
      <c r="AF223" s="20">
        <f t="shared" si="39"/>
        <v>8.9868295823173963</v>
      </c>
      <c r="AG223" s="20">
        <f t="shared" si="40"/>
        <v>8.3884078225887588</v>
      </c>
      <c r="AH223" s="20">
        <f t="shared" si="41"/>
        <v>0.59833948606457676</v>
      </c>
      <c r="AI223" s="21"/>
      <c r="AJ223" s="20">
        <f t="shared" si="42"/>
        <v>8.9868295823173963</v>
      </c>
      <c r="AK223" s="22">
        <v>63787119</v>
      </c>
      <c r="AL223" s="23">
        <v>573243968</v>
      </c>
      <c r="AM223" s="23">
        <v>535072368</v>
      </c>
      <c r="AN223" s="23">
        <v>38166352</v>
      </c>
      <c r="AO223" s="24"/>
      <c r="AP223" s="25">
        <v>35.942599999999999</v>
      </c>
      <c r="AQ223" s="25">
        <v>43.166499999999999</v>
      </c>
      <c r="AR223" s="25">
        <v>42.248100000000001</v>
      </c>
      <c r="AS223" s="26"/>
      <c r="AT223" s="25">
        <v>28.130800000000001</v>
      </c>
      <c r="AU223" s="25">
        <v>28.130800000000001</v>
      </c>
      <c r="AV223" s="25">
        <v>28.130800000000001</v>
      </c>
      <c r="AW223" s="26"/>
      <c r="AX223" s="27">
        <v>315.88600000000002</v>
      </c>
      <c r="AY223" s="27">
        <v>277.541</v>
      </c>
      <c r="BA223" s="28">
        <f t="shared" si="43"/>
        <v>2.5387551160799271E-3</v>
      </c>
      <c r="BB223" s="28"/>
      <c r="BD223" s="29"/>
      <c r="BE223" s="29"/>
      <c r="BF223" s="29"/>
      <c r="BG223" s="30"/>
      <c r="BI223" s="29"/>
      <c r="BJ223" s="29"/>
      <c r="BK223" s="29"/>
      <c r="BL223" s="30"/>
      <c r="BN223" s="29"/>
      <c r="BO223" s="29"/>
      <c r="BP223" s="29"/>
      <c r="BQ223" s="30"/>
      <c r="BS223" s="29"/>
      <c r="BT223" s="29"/>
      <c r="BU223" s="29"/>
      <c r="BV223" s="30"/>
    </row>
    <row r="224" spans="1:74" outlineLevel="1" x14ac:dyDescent="0.15">
      <c r="A224" s="31"/>
      <c r="B224" s="46" t="s">
        <v>360</v>
      </c>
      <c r="C224" s="47" t="s">
        <v>229</v>
      </c>
      <c r="D224" s="46">
        <v>63787119</v>
      </c>
      <c r="E224" s="48">
        <v>15</v>
      </c>
      <c r="F224" s="47">
        <v>1</v>
      </c>
      <c r="G224" s="47"/>
      <c r="I224" s="49" t="str">
        <f t="shared" si="33"/>
        <v>·</v>
      </c>
      <c r="J224" s="50">
        <f t="shared" si="34"/>
        <v>8.6204155418902051</v>
      </c>
      <c r="K224" s="50">
        <f t="shared" si="35"/>
        <v>8.3884078225887588</v>
      </c>
      <c r="L224" s="50">
        <f t="shared" si="36"/>
        <v>0.23192544563738646</v>
      </c>
      <c r="M224" s="51"/>
      <c r="N224" s="50">
        <f t="shared" si="37"/>
        <v>8.6204155418902051</v>
      </c>
      <c r="O224" s="52">
        <v>63787119</v>
      </c>
      <c r="P224" s="53">
        <v>549871472</v>
      </c>
      <c r="Q224" s="53">
        <v>535072368</v>
      </c>
      <c r="R224" s="53">
        <v>14793856</v>
      </c>
      <c r="S224" s="54"/>
      <c r="T224" s="55">
        <v>29.887799999999999</v>
      </c>
      <c r="U224" s="55">
        <v>36.970300000000002</v>
      </c>
      <c r="V224" s="55">
        <v>35.971499999999999</v>
      </c>
      <c r="W224" s="56"/>
      <c r="X224" s="55">
        <v>21.686399999999999</v>
      </c>
      <c r="Y224" s="55">
        <v>21.686399999999999</v>
      </c>
      <c r="Z224" s="55">
        <v>21.686399999999999</v>
      </c>
      <c r="AA224" s="56"/>
      <c r="AB224" s="57"/>
      <c r="AC224" s="57"/>
      <c r="AE224" s="49" t="str">
        <f t="shared" si="38"/>
        <v>·</v>
      </c>
      <c r="AF224" s="50">
        <f t="shared" si="39"/>
        <v>8.608359314676056</v>
      </c>
      <c r="AG224" s="50">
        <f t="shared" si="40"/>
        <v>8.3884078225887588</v>
      </c>
      <c r="AH224" s="50">
        <f t="shared" si="41"/>
        <v>0.21986921842323684</v>
      </c>
      <c r="AI224" s="51"/>
      <c r="AJ224" s="50">
        <f t="shared" si="42"/>
        <v>8.608359314676056</v>
      </c>
      <c r="AK224" s="52">
        <v>63787119</v>
      </c>
      <c r="AL224" s="53">
        <v>549102440</v>
      </c>
      <c r="AM224" s="53">
        <v>535072368</v>
      </c>
      <c r="AN224" s="53">
        <v>14024824</v>
      </c>
      <c r="AO224" s="54"/>
      <c r="AP224" s="55">
        <v>29.982500000000002</v>
      </c>
      <c r="AQ224" s="55">
        <v>37.1479</v>
      </c>
      <c r="AR224" s="55">
        <v>36.0122</v>
      </c>
      <c r="AS224" s="56"/>
      <c r="AT224" s="55">
        <v>21.686399999999999</v>
      </c>
      <c r="AU224" s="55">
        <v>21.686399999999999</v>
      </c>
      <c r="AV224" s="55">
        <v>21.686399999999999</v>
      </c>
      <c r="AW224" s="56"/>
      <c r="AX224" s="57">
        <v>312.81299999999999</v>
      </c>
      <c r="AY224" s="57">
        <v>279.61599999999999</v>
      </c>
      <c r="BA224" s="58">
        <f t="shared" si="43"/>
        <v>1.3628321594643111E-3</v>
      </c>
      <c r="BB224" s="58"/>
      <c r="BD224" s="59"/>
      <c r="BE224" s="59"/>
      <c r="BF224" s="59"/>
      <c r="BG224" s="60"/>
      <c r="BI224" s="59"/>
      <c r="BJ224" s="59"/>
      <c r="BK224" s="59"/>
      <c r="BL224" s="60"/>
      <c r="BN224" s="59"/>
      <c r="BO224" s="59"/>
      <c r="BP224" s="59"/>
      <c r="BQ224" s="60"/>
      <c r="BS224" s="59"/>
      <c r="BT224" s="59"/>
      <c r="BU224" s="59"/>
      <c r="BV224" s="60"/>
    </row>
    <row r="225" spans="1:74" x14ac:dyDescent="0.15">
      <c r="A225" s="16"/>
      <c r="B225" s="16" t="s">
        <v>363</v>
      </c>
      <c r="C225" s="17" t="s">
        <v>225</v>
      </c>
      <c r="D225" s="16">
        <v>63864641</v>
      </c>
      <c r="E225" s="18">
        <v>20</v>
      </c>
      <c r="F225" s="17">
        <v>1</v>
      </c>
      <c r="G225" s="17"/>
      <c r="I225" s="19" t="str">
        <f t="shared" si="33"/>
        <v>·</v>
      </c>
      <c r="J225" s="20">
        <f t="shared" si="34"/>
        <v>27.348085147773713</v>
      </c>
      <c r="K225" s="20">
        <f t="shared" si="35"/>
        <v>23.377496539908524</v>
      </c>
      <c r="L225" s="20">
        <f t="shared" si="36"/>
        <v>3.9705061835390261</v>
      </c>
      <c r="M225" s="21"/>
      <c r="N225" s="20">
        <f t="shared" si="37"/>
        <v>27.348085147773713</v>
      </c>
      <c r="O225" s="22">
        <v>63864641</v>
      </c>
      <c r="P225" s="23">
        <v>1746575640</v>
      </c>
      <c r="Q225" s="23">
        <v>1492995424</v>
      </c>
      <c r="R225" s="23">
        <v>253574952</v>
      </c>
      <c r="S225" s="24"/>
      <c r="T225" s="25">
        <v>52.621699999999997</v>
      </c>
      <c r="U225" s="25">
        <v>56.857799999999997</v>
      </c>
      <c r="V225" s="25">
        <v>56.305999999999997</v>
      </c>
      <c r="W225" s="26"/>
      <c r="X225" s="25">
        <v>48.130800000000001</v>
      </c>
      <c r="Y225" s="25">
        <v>48.130800000000001</v>
      </c>
      <c r="Z225" s="25">
        <v>48.130800000000001</v>
      </c>
      <c r="AA225" s="26"/>
      <c r="AB225" s="27"/>
      <c r="AC225" s="27"/>
      <c r="AE225" s="19" t="str">
        <f t="shared" si="38"/>
        <v>·</v>
      </c>
      <c r="AF225" s="20">
        <f t="shared" si="39"/>
        <v>27.304666568156236</v>
      </c>
      <c r="AG225" s="20">
        <f t="shared" si="40"/>
        <v>23.377496539908524</v>
      </c>
      <c r="AH225" s="20">
        <f t="shared" si="41"/>
        <v>3.9270876039215503</v>
      </c>
      <c r="AI225" s="21"/>
      <c r="AJ225" s="20">
        <f t="shared" si="42"/>
        <v>27.304666568156236</v>
      </c>
      <c r="AK225" s="22">
        <v>63864641</v>
      </c>
      <c r="AL225" s="23">
        <v>1743802728</v>
      </c>
      <c r="AM225" s="23">
        <v>1492995424</v>
      </c>
      <c r="AN225" s="23">
        <v>250802040</v>
      </c>
      <c r="AO225" s="24"/>
      <c r="AP225" s="25">
        <v>52.607599999999998</v>
      </c>
      <c r="AQ225" s="25">
        <v>56.893799999999999</v>
      </c>
      <c r="AR225" s="25">
        <v>56.350499999999997</v>
      </c>
      <c r="AS225" s="26"/>
      <c r="AT225" s="25">
        <v>48.130800000000001</v>
      </c>
      <c r="AU225" s="25">
        <v>48.130800000000001</v>
      </c>
      <c r="AV225" s="25">
        <v>48.130800000000001</v>
      </c>
      <c r="AW225" s="26"/>
      <c r="AX225" s="27">
        <v>494.19499999999999</v>
      </c>
      <c r="AY225" s="27">
        <v>461.63799999999998</v>
      </c>
      <c r="BA225" s="28">
        <f t="shared" si="43"/>
        <v>1.3592827717389122E-3</v>
      </c>
      <c r="BB225" s="28">
        <f t="array" ref="BB225">AVERAGE(AM225:AM229/AL225:AL229) - AVERAGE(Q225:Q229/P225:P229)</f>
        <v>1.138490458287178E-3</v>
      </c>
      <c r="BD225" s="29">
        <f>IF( OR(ISBLANK(R225:R229),ISBLANK(AN225:AN229), ISBLANK(T225:T229),ISBLANK(AP225:AP229)), "·", bdRateExtend( R225:R229,T225:T229, AN225:AN229,AP225:AP229))</f>
        <v>-3.2884558999980218E-2</v>
      </c>
      <c r="BE225" s="29">
        <f>IF( OR(ISBLANK(R225:R229),ISBLANK(AN225:AN229), ISBLANK(U225:U229),ISBLANK(AQ225:AQ229)), "·", bdRateExtend( R225:R229,U225:U229, AN225:AN229,AQ225:AQ229))</f>
        <v>-4.2998090052050464E-2</v>
      </c>
      <c r="BF225" s="29">
        <f>IF( OR(ISBLANK(R225:R229),ISBLANK(AN225:AN229), ISBLANK(V225:V229),ISBLANK(AR225:AR229)), "·", bdRateExtend( R225:R229,V225:V229, AN225:AN229,AR225:AR229))</f>
        <v>-4.346226265621278E-2</v>
      </c>
      <c r="BG225" s="30"/>
      <c r="BI225" s="29">
        <f>IF( OR(ISBLANK(R225:R229),ISBLANK(AN225:AN229), ISBLANK(X225:X229),ISBLANK(AT225:AT229)), "·", bdRateExtend( R225:R229,X225:X229, AN225:AN229,AT225:AT229))</f>
        <v>-2.790127647515328E-2</v>
      </c>
      <c r="BJ225" s="29">
        <f>IF( OR(ISBLANK(R225:R229),ISBLANK(AN225:AN229), ISBLANK(Y225:Y229),ISBLANK(AU225:AU229)), "·", bdRateExtend( R225:R229,Y225:Y229, AN225:AN229,AU225:AU229))</f>
        <v>-2.790127647515328E-2</v>
      </c>
      <c r="BK225" s="29">
        <f>IF( OR(ISBLANK(R225:R229),ISBLANK(AN225:AN229), ISBLANK(Z225:Z229),ISBLANK(AV225:AV229)), "·", bdRateExtend( R225:R229,Z225:Z229, AN225:AN229,AV225:AV229))</f>
        <v>-2.790127647515328E-2</v>
      </c>
      <c r="BL225" s="30"/>
      <c r="BN225" s="29">
        <f>IF( OR(ISBLANK(P225:P229),ISBLANK(AL225:AL229), ISBLANK(T225:T229),ISBLANK(AP225:AP229)), "·", bdRateExtend( P225:P229,T225:T229, AL225:AL229,AP225:AP229))</f>
        <v>-1.4135378186934666E-3</v>
      </c>
      <c r="BO225" s="29">
        <f>IF( OR(ISBLANK(P225:P229),ISBLANK(AL225:AL229), ISBLANK(U225:U229),ISBLANK(AQ225:AQ229)), "·", bdRateExtend( P225:P229,U225:U229, AL225:AL229,AQ225:AQ229))</f>
        <v>-1.8835236961600721E-3</v>
      </c>
      <c r="BP225" s="29">
        <f>IF( OR(ISBLANK(P225:P229),ISBLANK(AL225:AL229), ISBLANK(V225:V229),ISBLANK(AR225:AR229)), "·", bdRateExtend( P225:P229,V225:V229, AL225:AL229,AR225:AR229))</f>
        <v>-1.8844941282321059E-3</v>
      </c>
      <c r="BQ225" s="30"/>
      <c r="BS225" s="29">
        <f>IF( OR(ISBLANK(P225:P229),ISBLANK(AL225:AL229), ISBLANK(X225:X229),ISBLANK(AT225:AT229)), "·", bdRateExtend( P225:P229,X225:X229, AL225:AL229,AT225:AT229))</f>
        <v>-1.316941972851704E-3</v>
      </c>
      <c r="BT225" s="29">
        <f>IF( OR(ISBLANK(P225:P229),ISBLANK(AL225:AL229), ISBLANK(Y225:Y229),ISBLANK(AU225:AU229)), "·", bdRateExtend( P225:P229,Y225:Y229, AL225:AL229,AU225:AU229))</f>
        <v>-1.316941972851704E-3</v>
      </c>
      <c r="BU225" s="29">
        <f>IF( OR(ISBLANK(P225:P229),ISBLANK(AL225:AL229), ISBLANK(Z225:Z229),ISBLANK(AV225:AV229)), "·", bdRateExtend( P225:P229,Z225:Z229, AL225:AL229,AV225:AV229))</f>
        <v>-1.316941972851704E-3</v>
      </c>
      <c r="BV225" s="30"/>
    </row>
    <row r="226" spans="1:74" outlineLevel="1" x14ac:dyDescent="0.15">
      <c r="A226" s="31"/>
      <c r="B226" s="31" t="s">
        <v>363</v>
      </c>
      <c r="C226" s="32" t="s">
        <v>226</v>
      </c>
      <c r="D226" s="31">
        <v>63864641</v>
      </c>
      <c r="E226" s="33">
        <v>20</v>
      </c>
      <c r="F226" s="32">
        <v>1</v>
      </c>
      <c r="G226" s="32"/>
      <c r="I226" s="34" t="str">
        <f t="shared" si="33"/>
        <v>·</v>
      </c>
      <c r="J226" s="35">
        <f t="shared" si="34"/>
        <v>26.05124823296196</v>
      </c>
      <c r="K226" s="35">
        <f t="shared" si="35"/>
        <v>23.377496539908524</v>
      </c>
      <c r="L226" s="35">
        <f t="shared" si="36"/>
        <v>2.6736692687272758</v>
      </c>
      <c r="M226" s="36"/>
      <c r="N226" s="35">
        <f t="shared" si="37"/>
        <v>26.05124823296196</v>
      </c>
      <c r="O226" s="37">
        <v>63864641</v>
      </c>
      <c r="P226" s="38">
        <v>1663753616</v>
      </c>
      <c r="Q226" s="38">
        <v>1492995424</v>
      </c>
      <c r="R226" s="38">
        <v>170752928</v>
      </c>
      <c r="S226" s="39"/>
      <c r="T226" s="40">
        <v>47.855899999999998</v>
      </c>
      <c r="U226" s="40">
        <v>52.8354</v>
      </c>
      <c r="V226" s="40">
        <v>52.244900000000001</v>
      </c>
      <c r="W226" s="41"/>
      <c r="X226" s="40">
        <v>42.110199999999999</v>
      </c>
      <c r="Y226" s="40">
        <v>42.110199999999999</v>
      </c>
      <c r="Z226" s="40">
        <v>42.110199999999999</v>
      </c>
      <c r="AA226" s="41"/>
      <c r="AB226" s="42"/>
      <c r="AC226" s="42"/>
      <c r="AE226" s="34" t="str">
        <f t="shared" si="38"/>
        <v>·</v>
      </c>
      <c r="AF226" s="35">
        <f t="shared" si="39"/>
        <v>26.006550823639643</v>
      </c>
      <c r="AG226" s="35">
        <f t="shared" si="40"/>
        <v>23.377496539908524</v>
      </c>
      <c r="AH226" s="35">
        <f t="shared" si="41"/>
        <v>2.628971859404956</v>
      </c>
      <c r="AI226" s="36"/>
      <c r="AJ226" s="35">
        <f t="shared" si="42"/>
        <v>26.006550823639643</v>
      </c>
      <c r="AK226" s="37">
        <v>63864641</v>
      </c>
      <c r="AL226" s="38">
        <v>1660899032</v>
      </c>
      <c r="AM226" s="38">
        <v>1492995424</v>
      </c>
      <c r="AN226" s="38">
        <v>167898344</v>
      </c>
      <c r="AO226" s="39"/>
      <c r="AP226" s="40">
        <v>47.856400000000001</v>
      </c>
      <c r="AQ226" s="40">
        <v>52.917299999999997</v>
      </c>
      <c r="AR226" s="40">
        <v>52.322899999999997</v>
      </c>
      <c r="AS226" s="41"/>
      <c r="AT226" s="40">
        <v>42.110199999999999</v>
      </c>
      <c r="AU226" s="40">
        <v>42.110199999999999</v>
      </c>
      <c r="AV226" s="40">
        <v>42.110199999999999</v>
      </c>
      <c r="AW226" s="41"/>
      <c r="AX226" s="42">
        <v>489.45299999999997</v>
      </c>
      <c r="AY226" s="42">
        <v>448.23700000000002</v>
      </c>
      <c r="BA226" s="43">
        <f t="shared" si="43"/>
        <v>1.542300713483602E-3</v>
      </c>
      <c r="BB226" s="43"/>
      <c r="BD226" s="44"/>
      <c r="BE226" s="44"/>
      <c r="BF226" s="44"/>
      <c r="BG226" s="45"/>
      <c r="BI226" s="44"/>
      <c r="BJ226" s="44"/>
      <c r="BK226" s="44"/>
      <c r="BL226" s="45"/>
      <c r="BN226" s="44"/>
      <c r="BO226" s="44"/>
      <c r="BP226" s="44"/>
      <c r="BQ226" s="45"/>
      <c r="BS226" s="44"/>
      <c r="BT226" s="44"/>
      <c r="BU226" s="44"/>
      <c r="BV226" s="45"/>
    </row>
    <row r="227" spans="1:74" outlineLevel="1" x14ac:dyDescent="0.15">
      <c r="A227" s="16"/>
      <c r="B227" s="16" t="s">
        <v>363</v>
      </c>
      <c r="C227" s="17" t="s">
        <v>227</v>
      </c>
      <c r="D227" s="16">
        <v>63864641</v>
      </c>
      <c r="E227" s="18">
        <v>20</v>
      </c>
      <c r="F227" s="17">
        <v>1</v>
      </c>
      <c r="G227" s="17"/>
      <c r="I227" s="19" t="str">
        <f t="shared" si="33"/>
        <v>·</v>
      </c>
      <c r="J227" s="20">
        <f t="shared" si="34"/>
        <v>24.670588659536971</v>
      </c>
      <c r="K227" s="20">
        <f t="shared" si="35"/>
        <v>23.377496539908524</v>
      </c>
      <c r="L227" s="20">
        <f t="shared" si="36"/>
        <v>1.2930096953022878</v>
      </c>
      <c r="M227" s="21"/>
      <c r="N227" s="20">
        <f t="shared" si="37"/>
        <v>24.670588659536971</v>
      </c>
      <c r="O227" s="22">
        <v>63864641</v>
      </c>
      <c r="P227" s="23">
        <v>1575578288</v>
      </c>
      <c r="Q227" s="23">
        <v>1492995424</v>
      </c>
      <c r="R227" s="23">
        <v>82577600</v>
      </c>
      <c r="S227" s="24"/>
      <c r="T227" s="25">
        <v>41.1374</v>
      </c>
      <c r="U227" s="25">
        <v>47.9056</v>
      </c>
      <c r="V227" s="25">
        <v>47.0289</v>
      </c>
      <c r="W227" s="26"/>
      <c r="X227" s="25">
        <v>34.151400000000002</v>
      </c>
      <c r="Y227" s="25">
        <v>34.151400000000002</v>
      </c>
      <c r="Z227" s="25">
        <v>34.151400000000002</v>
      </c>
      <c r="AA227" s="26"/>
      <c r="AB227" s="27"/>
      <c r="AC227" s="27"/>
      <c r="AE227" s="19" t="str">
        <f t="shared" si="38"/>
        <v>·</v>
      </c>
      <c r="AF227" s="20">
        <f t="shared" si="39"/>
        <v>24.635350506393671</v>
      </c>
      <c r="AG227" s="20">
        <f t="shared" si="40"/>
        <v>23.377496539908524</v>
      </c>
      <c r="AH227" s="20">
        <f t="shared" si="41"/>
        <v>1.2577715421589859</v>
      </c>
      <c r="AI227" s="21"/>
      <c r="AJ227" s="20">
        <f t="shared" si="42"/>
        <v>24.635350506393671</v>
      </c>
      <c r="AK227" s="22">
        <v>63864641</v>
      </c>
      <c r="AL227" s="23">
        <v>1573327816</v>
      </c>
      <c r="AM227" s="23">
        <v>1492995424</v>
      </c>
      <c r="AN227" s="23">
        <v>80327128</v>
      </c>
      <c r="AO227" s="24"/>
      <c r="AP227" s="25">
        <v>41.167999999999999</v>
      </c>
      <c r="AQ227" s="25">
        <v>47.993600000000001</v>
      </c>
      <c r="AR227" s="25">
        <v>47.131300000000003</v>
      </c>
      <c r="AS227" s="26"/>
      <c r="AT227" s="25">
        <v>34.151400000000002</v>
      </c>
      <c r="AU227" s="25">
        <v>34.151400000000002</v>
      </c>
      <c r="AV227" s="25">
        <v>34.151400000000002</v>
      </c>
      <c r="AW227" s="26"/>
      <c r="AX227" s="27">
        <v>490.70100000000002</v>
      </c>
      <c r="AY227" s="27">
        <v>444.11900000000003</v>
      </c>
      <c r="BA227" s="28">
        <f t="shared" si="43"/>
        <v>1.3554168556429991E-3</v>
      </c>
      <c r="BB227" s="28"/>
      <c r="BD227" s="29"/>
      <c r="BE227" s="29"/>
      <c r="BF227" s="29"/>
      <c r="BG227" s="30"/>
      <c r="BI227" s="29"/>
      <c r="BJ227" s="29"/>
      <c r="BK227" s="29"/>
      <c r="BL227" s="30"/>
      <c r="BN227" s="29"/>
      <c r="BO227" s="29"/>
      <c r="BP227" s="29"/>
      <c r="BQ227" s="30"/>
      <c r="BS227" s="29"/>
      <c r="BT227" s="29"/>
      <c r="BU227" s="29"/>
      <c r="BV227" s="30"/>
    </row>
    <row r="228" spans="1:74" outlineLevel="1" x14ac:dyDescent="0.15">
      <c r="A228" s="31"/>
      <c r="B228" s="31" t="s">
        <v>363</v>
      </c>
      <c r="C228" s="32" t="s">
        <v>228</v>
      </c>
      <c r="D228" s="31">
        <v>63864641</v>
      </c>
      <c r="E228" s="33">
        <v>20</v>
      </c>
      <c r="F228" s="32">
        <v>1</v>
      </c>
      <c r="G228" s="32"/>
      <c r="I228" s="34" t="str">
        <f t="shared" si="33"/>
        <v>·</v>
      </c>
      <c r="J228" s="35">
        <f t="shared" si="34"/>
        <v>23.990915787031511</v>
      </c>
      <c r="K228" s="35">
        <f t="shared" si="35"/>
        <v>23.377496539908524</v>
      </c>
      <c r="L228" s="35">
        <f t="shared" si="36"/>
        <v>0.61333682279682744</v>
      </c>
      <c r="M228" s="36"/>
      <c r="N228" s="35">
        <f t="shared" si="37"/>
        <v>23.990915787031511</v>
      </c>
      <c r="O228" s="37">
        <v>63864641</v>
      </c>
      <c r="P228" s="38">
        <v>1532171224</v>
      </c>
      <c r="Q228" s="38">
        <v>1492995424</v>
      </c>
      <c r="R228" s="38">
        <v>39170536</v>
      </c>
      <c r="S228" s="39"/>
      <c r="T228" s="40">
        <v>35.883099999999999</v>
      </c>
      <c r="U228" s="40">
        <v>43.134099999999997</v>
      </c>
      <c r="V228" s="40">
        <v>42.111699999999999</v>
      </c>
      <c r="W228" s="41"/>
      <c r="X228" s="40">
        <v>28.130800000000001</v>
      </c>
      <c r="Y228" s="40">
        <v>28.130800000000001</v>
      </c>
      <c r="Z228" s="40">
        <v>28.130800000000001</v>
      </c>
      <c r="AA228" s="41"/>
      <c r="AB228" s="42"/>
      <c r="AC228" s="42"/>
      <c r="AE228" s="34" t="str">
        <f t="shared" si="38"/>
        <v>·</v>
      </c>
      <c r="AF228" s="35">
        <f t="shared" si="39"/>
        <v>23.967902865061124</v>
      </c>
      <c r="AG228" s="35">
        <f t="shared" si="40"/>
        <v>23.377496539908524</v>
      </c>
      <c r="AH228" s="35">
        <f t="shared" si="41"/>
        <v>0.59032390082643693</v>
      </c>
      <c r="AI228" s="36"/>
      <c r="AJ228" s="35">
        <f t="shared" si="42"/>
        <v>23.967902865061124</v>
      </c>
      <c r="AK228" s="37">
        <v>63864641</v>
      </c>
      <c r="AL228" s="38">
        <v>1530701512</v>
      </c>
      <c r="AM228" s="38">
        <v>1492995424</v>
      </c>
      <c r="AN228" s="38">
        <v>37700824</v>
      </c>
      <c r="AO228" s="39"/>
      <c r="AP228" s="40">
        <v>35.943199999999997</v>
      </c>
      <c r="AQ228" s="40">
        <v>43.253300000000003</v>
      </c>
      <c r="AR228" s="40">
        <v>42.235900000000001</v>
      </c>
      <c r="AS228" s="41"/>
      <c r="AT228" s="40">
        <v>28.130800000000001</v>
      </c>
      <c r="AU228" s="40">
        <v>28.130800000000001</v>
      </c>
      <c r="AV228" s="40">
        <v>28.130800000000001</v>
      </c>
      <c r="AW228" s="41"/>
      <c r="AX228" s="42">
        <v>500.77800000000002</v>
      </c>
      <c r="AY228" s="42">
        <v>442.2</v>
      </c>
      <c r="BA228" s="43">
        <f t="shared" si="43"/>
        <v>9.3560579708795721E-4</v>
      </c>
      <c r="BB228" s="43"/>
      <c r="BD228" s="44"/>
      <c r="BE228" s="44"/>
      <c r="BF228" s="44"/>
      <c r="BG228" s="45"/>
      <c r="BI228" s="44"/>
      <c r="BJ228" s="44"/>
      <c r="BK228" s="44"/>
      <c r="BL228" s="45"/>
      <c r="BN228" s="44"/>
      <c r="BO228" s="44"/>
      <c r="BP228" s="44"/>
      <c r="BQ228" s="45"/>
      <c r="BS228" s="44"/>
      <c r="BT228" s="44"/>
      <c r="BU228" s="44"/>
      <c r="BV228" s="45"/>
    </row>
    <row r="229" spans="1:74" outlineLevel="1" x14ac:dyDescent="0.15">
      <c r="A229" s="16"/>
      <c r="B229" s="65" t="s">
        <v>363</v>
      </c>
      <c r="C229" s="67" t="s">
        <v>229</v>
      </c>
      <c r="D229" s="65">
        <v>63864641</v>
      </c>
      <c r="E229" s="66">
        <v>20</v>
      </c>
      <c r="F229" s="67">
        <v>1</v>
      </c>
      <c r="G229" s="67"/>
      <c r="I229" s="69" t="str">
        <f t="shared" si="33"/>
        <v>·</v>
      </c>
      <c r="J229" s="70">
        <f t="shared" si="34"/>
        <v>23.605499387368358</v>
      </c>
      <c r="K229" s="70">
        <f t="shared" si="35"/>
        <v>23.377496539908524</v>
      </c>
      <c r="L229" s="70">
        <f t="shared" si="36"/>
        <v>0.22792042313367111</v>
      </c>
      <c r="M229" s="75"/>
      <c r="N229" s="70">
        <f t="shared" si="37"/>
        <v>23.605499387368358</v>
      </c>
      <c r="O229" s="71">
        <v>63864641</v>
      </c>
      <c r="P229" s="72">
        <v>1507556744</v>
      </c>
      <c r="Q229" s="72">
        <v>1492995424</v>
      </c>
      <c r="R229" s="72">
        <v>14556056</v>
      </c>
      <c r="S229" s="76"/>
      <c r="T229" s="77">
        <v>29.953199999999999</v>
      </c>
      <c r="U229" s="77">
        <v>37.2273</v>
      </c>
      <c r="V229" s="77">
        <v>35.847499999999997</v>
      </c>
      <c r="W229" s="78"/>
      <c r="X229" s="77">
        <v>21.686399999999999</v>
      </c>
      <c r="Y229" s="77">
        <v>21.686399999999999</v>
      </c>
      <c r="Z229" s="77">
        <v>21.686399999999999</v>
      </c>
      <c r="AA229" s="78"/>
      <c r="AB229" s="73"/>
      <c r="AC229" s="73"/>
      <c r="AE229" s="69" t="str">
        <f t="shared" si="38"/>
        <v>·</v>
      </c>
      <c r="AF229" s="70">
        <f t="shared" si="39"/>
        <v>23.59359120174182</v>
      </c>
      <c r="AG229" s="70">
        <f t="shared" si="40"/>
        <v>23.377496539908524</v>
      </c>
      <c r="AH229" s="70">
        <f t="shared" si="41"/>
        <v>0.21601223750713638</v>
      </c>
      <c r="AI229" s="75"/>
      <c r="AJ229" s="70">
        <f t="shared" si="42"/>
        <v>23.59359120174182</v>
      </c>
      <c r="AK229" s="71">
        <v>63864641</v>
      </c>
      <c r="AL229" s="72">
        <v>1506796232</v>
      </c>
      <c r="AM229" s="72">
        <v>1492995424</v>
      </c>
      <c r="AN229" s="72">
        <v>13795544</v>
      </c>
      <c r="AO229" s="76"/>
      <c r="AP229" s="77">
        <v>30.002600000000001</v>
      </c>
      <c r="AQ229" s="77">
        <v>37.301099999999998</v>
      </c>
      <c r="AR229" s="77">
        <v>35.932299999999998</v>
      </c>
      <c r="AS229" s="78"/>
      <c r="AT229" s="77">
        <v>21.686399999999999</v>
      </c>
      <c r="AU229" s="77">
        <v>21.686399999999999</v>
      </c>
      <c r="AV229" s="77">
        <v>21.686399999999999</v>
      </c>
      <c r="AW229" s="78"/>
      <c r="AX229" s="73">
        <v>503.94499999999999</v>
      </c>
      <c r="AY229" s="73">
        <v>448.11200000000002</v>
      </c>
      <c r="BA229" s="68">
        <f t="shared" si="43"/>
        <v>4.9984615348375172E-4</v>
      </c>
      <c r="BB229" s="68"/>
      <c r="BD229" s="74"/>
      <c r="BE229" s="74"/>
      <c r="BF229" s="74"/>
      <c r="BG229" s="79"/>
      <c r="BI229" s="74"/>
      <c r="BJ229" s="74"/>
      <c r="BK229" s="74"/>
      <c r="BL229" s="79"/>
      <c r="BN229" s="74"/>
      <c r="BO229" s="74"/>
      <c r="BP229" s="74"/>
      <c r="BQ229" s="79"/>
      <c r="BS229" s="74"/>
      <c r="BT229" s="74"/>
      <c r="BU229" s="74"/>
      <c r="BV229" s="79"/>
    </row>
    <row r="230" spans="1:74" x14ac:dyDescent="0.15">
      <c r="A230" s="31"/>
      <c r="B230" s="31" t="s">
        <v>366</v>
      </c>
      <c r="C230" s="32" t="s">
        <v>225</v>
      </c>
      <c r="D230" s="31">
        <v>2000297</v>
      </c>
      <c r="E230" s="33">
        <v>20</v>
      </c>
      <c r="F230" s="32">
        <v>1</v>
      </c>
      <c r="G230" s="32"/>
      <c r="I230" s="34" t="str">
        <f t="shared" si="33"/>
        <v>·</v>
      </c>
      <c r="J230" s="35">
        <f t="shared" si="34"/>
        <v>35.383989477562579</v>
      </c>
      <c r="K230" s="35">
        <f t="shared" si="35"/>
        <v>30.838964413784552</v>
      </c>
      <c r="L230" s="35">
        <f t="shared" si="36"/>
        <v>4.5447131101031495</v>
      </c>
      <c r="M230" s="36"/>
      <c r="N230" s="35">
        <f t="shared" si="37"/>
        <v>35.383989477562579</v>
      </c>
      <c r="O230" s="37">
        <v>2000297</v>
      </c>
      <c r="P230" s="38">
        <v>70778488</v>
      </c>
      <c r="Q230" s="38">
        <v>61687088</v>
      </c>
      <c r="R230" s="38">
        <v>9090776</v>
      </c>
      <c r="S230" s="39"/>
      <c r="T230" s="40">
        <v>53.4283</v>
      </c>
      <c r="U230" s="40">
        <v>56.1252</v>
      </c>
      <c r="V230" s="40">
        <v>55.189799999999998</v>
      </c>
      <c r="W230" s="41"/>
      <c r="X230" s="40">
        <v>48.130800000000001</v>
      </c>
      <c r="Y230" s="40">
        <v>48.130800000000001</v>
      </c>
      <c r="Z230" s="40">
        <v>48.130800000000001</v>
      </c>
      <c r="AA230" s="41"/>
      <c r="AB230" s="42"/>
      <c r="AC230" s="42"/>
      <c r="AE230" s="34" t="str">
        <f t="shared" si="38"/>
        <v>·</v>
      </c>
      <c r="AF230" s="35">
        <f t="shared" si="39"/>
        <v>35.422567748689318</v>
      </c>
      <c r="AG230" s="35">
        <f t="shared" si="40"/>
        <v>30.838964413784552</v>
      </c>
      <c r="AH230" s="35">
        <f t="shared" si="41"/>
        <v>4.5832913812298877</v>
      </c>
      <c r="AI230" s="36"/>
      <c r="AJ230" s="35">
        <f t="shared" si="42"/>
        <v>35.422567748689318</v>
      </c>
      <c r="AK230" s="37">
        <v>2000297</v>
      </c>
      <c r="AL230" s="38">
        <v>70855656</v>
      </c>
      <c r="AM230" s="38">
        <v>61687088</v>
      </c>
      <c r="AN230" s="38">
        <v>9167944</v>
      </c>
      <c r="AO230" s="39"/>
      <c r="AP230" s="40">
        <v>53.582599999999999</v>
      </c>
      <c r="AQ230" s="40">
        <v>56.142699999999998</v>
      </c>
      <c r="AR230" s="40">
        <v>55.326799999999999</v>
      </c>
      <c r="AS230" s="41"/>
      <c r="AT230" s="40">
        <v>48.130800000000001</v>
      </c>
      <c r="AU230" s="40">
        <v>48.130800000000001</v>
      </c>
      <c r="AV230" s="40">
        <v>48.130800000000001</v>
      </c>
      <c r="AW230" s="41"/>
      <c r="AX230" s="42">
        <v>16.036000000000001</v>
      </c>
      <c r="AY230" s="42">
        <v>14.398</v>
      </c>
      <c r="BA230" s="43">
        <f t="shared" si="43"/>
        <v>-9.4919558603367982E-4</v>
      </c>
      <c r="BB230" s="43">
        <f t="array" ref="BB230">AVERAGE(AM230:AM234/AL230:AL234) - AVERAGE(Q230:Q234/P230:P234)</f>
        <v>-1.5859775545656873E-4</v>
      </c>
      <c r="BD230" s="44">
        <f>IF( OR(ISBLANK(R230:R234),ISBLANK(AN230:AN234), ISBLANK(T230:T234),ISBLANK(AP230:AP234)), "·", bdRateExtend( R230:R234,T230:T234, AN230:AN234,AP230:AP234))</f>
        <v>-4.6904140140960893E-3</v>
      </c>
      <c r="BE230" s="44">
        <f>IF( OR(ISBLANK(R230:R234),ISBLANK(AN230:AN234), ISBLANK(U230:U234),ISBLANK(AQ230:AQ234)), "·", bdRateExtend( R230:R234,U230:U234, AN230:AN234,AQ230:AQ234))</f>
        <v>-1.4991388976937969E-2</v>
      </c>
      <c r="BF230" s="44">
        <f>IF( OR(ISBLANK(R230:R234),ISBLANK(AN230:AN234), ISBLANK(V230:V234),ISBLANK(AR230:AR234)), "·", bdRateExtend( R230:R234,V230:V234, AN230:AN234,AR230:AR234))</f>
        <v>-1.0785527982320242E-2</v>
      </c>
      <c r="BG230" s="45"/>
      <c r="BI230" s="44">
        <f>IF( OR(ISBLANK(R230:R234),ISBLANK(AN230:AN234), ISBLANK(X230:X234),ISBLANK(AT230:AT234)), "·", bdRateExtend( R230:R234,X230:X234, AN230:AN234,AT230:AT234))</f>
        <v>-8.8019007087736245E-4</v>
      </c>
      <c r="BJ230" s="44">
        <f>IF( OR(ISBLANK(R230:R234),ISBLANK(AN230:AN234), ISBLANK(Y230:Y234),ISBLANK(AU230:AU234)), "·", bdRateExtend( R230:R234,Y230:Y234, AN230:AN234,AU230:AU234))</f>
        <v>-8.8019007087736245E-4</v>
      </c>
      <c r="BK230" s="44">
        <f>IF( OR(ISBLANK(R230:R234),ISBLANK(AN230:AN234), ISBLANK(Z230:Z234),ISBLANK(AV230:AV234)), "·", bdRateExtend( R230:R234,Z230:Z234, AN230:AN234,AV230:AV234))</f>
        <v>-8.8019007087736245E-4</v>
      </c>
      <c r="BL230" s="45"/>
      <c r="BN230" s="44">
        <f>IF( OR(ISBLANK(P230:P234),ISBLANK(AL230:AL234), ISBLANK(T230:T234),ISBLANK(AP230:AP234)), "·", bdRateExtend( P230:P234,T230:T234, AL230:AL234,AP230:AP234))</f>
        <v>-9.7442862153518384E-5</v>
      </c>
      <c r="BO230" s="44">
        <f>IF( OR(ISBLANK(P230:P234),ISBLANK(AL230:AL234), ISBLANK(U230:U234),ISBLANK(AQ230:AQ234)), "·", bdRateExtend( P230:P234,U230:U234, AL230:AL234,AQ230:AQ234))</f>
        <v>-5.5552663229530008E-4</v>
      </c>
      <c r="BP230" s="44">
        <f>IF( OR(ISBLANK(P230:P234),ISBLANK(AL230:AL234), ISBLANK(V230:V234),ISBLANK(AR230:AR234)), "·", bdRateExtend( P230:P234,V230:V234, AL230:AL234,AR230:AR234))</f>
        <v>-2.2628530709134509E-4</v>
      </c>
      <c r="BQ230" s="45"/>
      <c r="BS230" s="44">
        <f>IF( OR(ISBLANK(P230:P234),ISBLANK(AL230:AL234), ISBLANK(X230:X234),ISBLANK(AT230:AT234)), "·", bdRateExtend( P230:P234,X230:X234, AL230:AL234,AT230:AT234))</f>
        <v>1.4833337865649554E-4</v>
      </c>
      <c r="BT230" s="44">
        <f>IF( OR(ISBLANK(P230:P234),ISBLANK(AL230:AL234), ISBLANK(Y230:Y234),ISBLANK(AU230:AU234)), "·", bdRateExtend( P230:P234,Y230:Y234, AL230:AL234,AU230:AU234))</f>
        <v>1.4833337865649554E-4</v>
      </c>
      <c r="BU230" s="44">
        <f>IF( OR(ISBLANK(P230:P234),ISBLANK(AL230:AL234), ISBLANK(Z230:Z234),ISBLANK(AV230:AV234)), "·", bdRateExtend( P230:P234,Z230:Z234, AL230:AL234,AV230:AV234))</f>
        <v>1.4833337865649554E-4</v>
      </c>
      <c r="BV230" s="45"/>
    </row>
    <row r="231" spans="1:74" outlineLevel="1" x14ac:dyDescent="0.15">
      <c r="A231" s="16"/>
      <c r="B231" s="16" t="s">
        <v>366</v>
      </c>
      <c r="C231" s="17" t="s">
        <v>226</v>
      </c>
      <c r="D231" s="16">
        <v>2000297</v>
      </c>
      <c r="E231" s="18">
        <v>20</v>
      </c>
      <c r="F231" s="17">
        <v>1</v>
      </c>
      <c r="G231" s="17"/>
      <c r="I231" s="19" t="str">
        <f t="shared" si="33"/>
        <v>·</v>
      </c>
      <c r="J231" s="20">
        <f t="shared" si="34"/>
        <v>34.231424633441932</v>
      </c>
      <c r="K231" s="20">
        <f t="shared" si="35"/>
        <v>30.838964413784552</v>
      </c>
      <c r="L231" s="20">
        <f t="shared" si="36"/>
        <v>3.3921482659825015</v>
      </c>
      <c r="M231" s="21"/>
      <c r="N231" s="20">
        <f t="shared" si="37"/>
        <v>34.231424633441932</v>
      </c>
      <c r="O231" s="22">
        <v>2000297</v>
      </c>
      <c r="P231" s="23">
        <v>68473016</v>
      </c>
      <c r="Q231" s="23">
        <v>61687088</v>
      </c>
      <c r="R231" s="23">
        <v>6785304</v>
      </c>
      <c r="S231" s="24"/>
      <c r="T231" s="25">
        <v>49.141199999999998</v>
      </c>
      <c r="U231" s="25">
        <v>51.9818</v>
      </c>
      <c r="V231" s="25">
        <v>51.459400000000002</v>
      </c>
      <c r="W231" s="26"/>
      <c r="X231" s="25">
        <v>42.110199999999999</v>
      </c>
      <c r="Y231" s="25">
        <v>42.110199999999999</v>
      </c>
      <c r="Z231" s="25">
        <v>42.110199999999999</v>
      </c>
      <c r="AA231" s="26"/>
      <c r="AB231" s="27"/>
      <c r="AC231" s="27"/>
      <c r="AE231" s="19" t="str">
        <f t="shared" si="38"/>
        <v>·</v>
      </c>
      <c r="AF231" s="20">
        <f t="shared" si="39"/>
        <v>34.247798201967008</v>
      </c>
      <c r="AG231" s="20">
        <f t="shared" si="40"/>
        <v>30.838964413784552</v>
      </c>
      <c r="AH231" s="20">
        <f t="shared" si="41"/>
        <v>3.4085218345075758</v>
      </c>
      <c r="AI231" s="21"/>
      <c r="AJ231" s="20">
        <f t="shared" si="42"/>
        <v>34.247798201967008</v>
      </c>
      <c r="AK231" s="22">
        <v>2000297</v>
      </c>
      <c r="AL231" s="23">
        <v>68505768</v>
      </c>
      <c r="AM231" s="23">
        <v>61687088</v>
      </c>
      <c r="AN231" s="23">
        <v>6818056</v>
      </c>
      <c r="AO231" s="24"/>
      <c r="AP231" s="25">
        <v>49.186199999999999</v>
      </c>
      <c r="AQ231" s="25">
        <v>52.0105</v>
      </c>
      <c r="AR231" s="25">
        <v>51.357599999999998</v>
      </c>
      <c r="AS231" s="26"/>
      <c r="AT231" s="25">
        <v>42.110199999999999</v>
      </c>
      <c r="AU231" s="25">
        <v>42.110199999999999</v>
      </c>
      <c r="AV231" s="25">
        <v>42.110199999999999</v>
      </c>
      <c r="AW231" s="26"/>
      <c r="AX231" s="27">
        <v>15.974</v>
      </c>
      <c r="AY231" s="27">
        <v>14.32</v>
      </c>
      <c r="BA231" s="28">
        <f t="shared" si="43"/>
        <v>-4.3071053825260996E-4</v>
      </c>
      <c r="BB231" s="28"/>
      <c r="BD231" s="29"/>
      <c r="BE231" s="29"/>
      <c r="BF231" s="29"/>
      <c r="BG231" s="30"/>
      <c r="BI231" s="29"/>
      <c r="BJ231" s="29"/>
      <c r="BK231" s="29"/>
      <c r="BL231" s="30"/>
      <c r="BN231" s="29"/>
      <c r="BO231" s="29"/>
      <c r="BP231" s="29"/>
      <c r="BQ231" s="30"/>
      <c r="BS231" s="29"/>
      <c r="BT231" s="29"/>
      <c r="BU231" s="29"/>
      <c r="BV231" s="30"/>
    </row>
    <row r="232" spans="1:74" outlineLevel="1" x14ac:dyDescent="0.15">
      <c r="A232" s="31"/>
      <c r="B232" s="31" t="s">
        <v>366</v>
      </c>
      <c r="C232" s="32" t="s">
        <v>227</v>
      </c>
      <c r="D232" s="31">
        <v>2000297</v>
      </c>
      <c r="E232" s="33">
        <v>20</v>
      </c>
      <c r="F232" s="32">
        <v>1</v>
      </c>
      <c r="G232" s="32"/>
      <c r="I232" s="34" t="str">
        <f t="shared" si="33"/>
        <v>·</v>
      </c>
      <c r="J232" s="35">
        <f t="shared" si="34"/>
        <v>32.98279005567673</v>
      </c>
      <c r="K232" s="35">
        <f t="shared" si="35"/>
        <v>30.838964413784552</v>
      </c>
      <c r="L232" s="35">
        <f t="shared" si="36"/>
        <v>2.1435136882172996</v>
      </c>
      <c r="M232" s="36"/>
      <c r="N232" s="35">
        <f t="shared" si="37"/>
        <v>32.98279005567673</v>
      </c>
      <c r="O232" s="37">
        <v>2000297</v>
      </c>
      <c r="P232" s="38">
        <v>65975376</v>
      </c>
      <c r="Q232" s="38">
        <v>61687088</v>
      </c>
      <c r="R232" s="38">
        <v>4287664</v>
      </c>
      <c r="S232" s="39"/>
      <c r="T232" s="40">
        <v>41.852200000000003</v>
      </c>
      <c r="U232" s="40">
        <v>45.889099999999999</v>
      </c>
      <c r="V232" s="40">
        <v>45.012599999999999</v>
      </c>
      <c r="W232" s="41"/>
      <c r="X232" s="40">
        <v>34.151400000000002</v>
      </c>
      <c r="Y232" s="40">
        <v>34.151400000000002</v>
      </c>
      <c r="Z232" s="40">
        <v>34.151400000000002</v>
      </c>
      <c r="AA232" s="41"/>
      <c r="AB232" s="42"/>
      <c r="AC232" s="42"/>
      <c r="AE232" s="34" t="str">
        <f t="shared" si="38"/>
        <v>·</v>
      </c>
      <c r="AF232" s="35">
        <f t="shared" si="39"/>
        <v>32.985273686857504</v>
      </c>
      <c r="AG232" s="35">
        <f t="shared" si="40"/>
        <v>30.838964413784552</v>
      </c>
      <c r="AH232" s="35">
        <f t="shared" si="41"/>
        <v>2.1459973193980693</v>
      </c>
      <c r="AI232" s="36"/>
      <c r="AJ232" s="35">
        <f t="shared" si="42"/>
        <v>32.985273686857504</v>
      </c>
      <c r="AK232" s="37">
        <v>2000297</v>
      </c>
      <c r="AL232" s="38">
        <v>65980344</v>
      </c>
      <c r="AM232" s="38">
        <v>61687088</v>
      </c>
      <c r="AN232" s="38">
        <v>4292632</v>
      </c>
      <c r="AO232" s="39"/>
      <c r="AP232" s="40">
        <v>41.865499999999997</v>
      </c>
      <c r="AQ232" s="40">
        <v>46.103400000000001</v>
      </c>
      <c r="AR232" s="40">
        <v>45.159599999999998</v>
      </c>
      <c r="AS232" s="41"/>
      <c r="AT232" s="40">
        <v>34.151400000000002</v>
      </c>
      <c r="AU232" s="40">
        <v>34.151400000000002</v>
      </c>
      <c r="AV232" s="40">
        <v>34.151400000000002</v>
      </c>
      <c r="AW232" s="41"/>
      <c r="AX232" s="42">
        <v>16.004999999999999</v>
      </c>
      <c r="AY232" s="42">
        <v>14.336</v>
      </c>
      <c r="BA232" s="43">
        <f t="shared" si="43"/>
        <v>-7.0401093870131604E-5</v>
      </c>
      <c r="BB232" s="43"/>
      <c r="BD232" s="44"/>
      <c r="BE232" s="44"/>
      <c r="BF232" s="44"/>
      <c r="BG232" s="45"/>
      <c r="BI232" s="44"/>
      <c r="BJ232" s="44"/>
      <c r="BK232" s="44"/>
      <c r="BL232" s="45"/>
      <c r="BN232" s="44"/>
      <c r="BO232" s="44"/>
      <c r="BP232" s="44"/>
      <c r="BQ232" s="45"/>
      <c r="BS232" s="44"/>
      <c r="BT232" s="44"/>
      <c r="BU232" s="44"/>
      <c r="BV232" s="45"/>
    </row>
    <row r="233" spans="1:74" outlineLevel="1" x14ac:dyDescent="0.15">
      <c r="A233" s="16"/>
      <c r="B233" s="16" t="s">
        <v>366</v>
      </c>
      <c r="C233" s="17" t="s">
        <v>228</v>
      </c>
      <c r="D233" s="16">
        <v>2000297</v>
      </c>
      <c r="E233" s="18">
        <v>20</v>
      </c>
      <c r="F233" s="17">
        <v>1</v>
      </c>
      <c r="G233" s="17"/>
      <c r="I233" s="19" t="str">
        <f t="shared" si="33"/>
        <v>·</v>
      </c>
      <c r="J233" s="20">
        <f t="shared" si="34"/>
        <v>32.181169096389183</v>
      </c>
      <c r="K233" s="20">
        <f t="shared" si="35"/>
        <v>30.838964413784552</v>
      </c>
      <c r="L233" s="20">
        <f t="shared" si="36"/>
        <v>1.341892728929754</v>
      </c>
      <c r="M233" s="21"/>
      <c r="N233" s="20">
        <f t="shared" si="37"/>
        <v>32.181169096389183</v>
      </c>
      <c r="O233" s="22">
        <v>2000297</v>
      </c>
      <c r="P233" s="23">
        <v>64371896</v>
      </c>
      <c r="Q233" s="23">
        <v>61687088</v>
      </c>
      <c r="R233" s="23">
        <v>2684184</v>
      </c>
      <c r="S233" s="24"/>
      <c r="T233" s="25">
        <v>36.487499999999997</v>
      </c>
      <c r="U233" s="25">
        <v>40.971299999999999</v>
      </c>
      <c r="V233" s="25">
        <v>40.163400000000003</v>
      </c>
      <c r="W233" s="26"/>
      <c r="X233" s="25">
        <v>28.130800000000001</v>
      </c>
      <c r="Y233" s="25">
        <v>28.130800000000001</v>
      </c>
      <c r="Z233" s="25">
        <v>28.130800000000001</v>
      </c>
      <c r="AA233" s="26"/>
      <c r="AB233" s="27"/>
      <c r="AC233" s="27"/>
      <c r="AE233" s="19" t="str">
        <f t="shared" si="38"/>
        <v>·</v>
      </c>
      <c r="AF233" s="20">
        <f t="shared" si="39"/>
        <v>32.173790192156467</v>
      </c>
      <c r="AG233" s="20">
        <f t="shared" si="40"/>
        <v>30.838964413784552</v>
      </c>
      <c r="AH233" s="20">
        <f t="shared" si="41"/>
        <v>1.3345138246970325</v>
      </c>
      <c r="AI233" s="21"/>
      <c r="AJ233" s="20">
        <f t="shared" si="42"/>
        <v>32.173790192156467</v>
      </c>
      <c r="AK233" s="22">
        <v>2000297</v>
      </c>
      <c r="AL233" s="23">
        <v>64357136</v>
      </c>
      <c r="AM233" s="23">
        <v>61687088</v>
      </c>
      <c r="AN233" s="23">
        <v>2669424</v>
      </c>
      <c r="AO233" s="24"/>
      <c r="AP233" s="25">
        <v>36.464799999999997</v>
      </c>
      <c r="AQ233" s="25">
        <v>41.150199999999998</v>
      </c>
      <c r="AR233" s="25">
        <v>40.268099999999997</v>
      </c>
      <c r="AS233" s="26"/>
      <c r="AT233" s="25">
        <v>28.130800000000001</v>
      </c>
      <c r="AU233" s="25">
        <v>28.130800000000001</v>
      </c>
      <c r="AV233" s="25">
        <v>28.130800000000001</v>
      </c>
      <c r="AW233" s="26"/>
      <c r="AX233" s="27">
        <v>15.943</v>
      </c>
      <c r="AY233" s="27">
        <v>14.352</v>
      </c>
      <c r="BA233" s="28">
        <f t="shared" si="43"/>
        <v>2.1977972059206152E-4</v>
      </c>
      <c r="BB233" s="28"/>
      <c r="BD233" s="29"/>
      <c r="BE233" s="29"/>
      <c r="BF233" s="29"/>
      <c r="BG233" s="30"/>
      <c r="BI233" s="29"/>
      <c r="BJ233" s="29"/>
      <c r="BK233" s="29"/>
      <c r="BL233" s="30"/>
      <c r="BN233" s="29"/>
      <c r="BO233" s="29"/>
      <c r="BP233" s="29"/>
      <c r="BQ233" s="30"/>
      <c r="BS233" s="29"/>
      <c r="BT233" s="29"/>
      <c r="BU233" s="29"/>
      <c r="BV233" s="30"/>
    </row>
    <row r="234" spans="1:74" outlineLevel="1" x14ac:dyDescent="0.15">
      <c r="A234" s="46"/>
      <c r="B234" s="46" t="s">
        <v>366</v>
      </c>
      <c r="C234" s="47" t="s">
        <v>229</v>
      </c>
      <c r="D234" s="46">
        <v>2000297</v>
      </c>
      <c r="E234" s="48">
        <v>20</v>
      </c>
      <c r="F234" s="47">
        <v>1</v>
      </c>
      <c r="G234" s="47"/>
      <c r="I234" s="49" t="str">
        <f t="shared" si="33"/>
        <v>·</v>
      </c>
      <c r="J234" s="50">
        <f t="shared" si="34"/>
        <v>31.56519256890352</v>
      </c>
      <c r="K234" s="50">
        <f t="shared" si="35"/>
        <v>30.838964413784552</v>
      </c>
      <c r="L234" s="50">
        <f t="shared" si="36"/>
        <v>0.72591620144408553</v>
      </c>
      <c r="M234" s="51"/>
      <c r="N234" s="50">
        <f t="shared" si="37"/>
        <v>31.56519256890352</v>
      </c>
      <c r="O234" s="52">
        <v>2000297</v>
      </c>
      <c r="P234" s="53">
        <v>63139760</v>
      </c>
      <c r="Q234" s="53">
        <v>61687088</v>
      </c>
      <c r="R234" s="53">
        <v>1452048</v>
      </c>
      <c r="S234" s="54"/>
      <c r="T234" s="55">
        <v>29.602799999999998</v>
      </c>
      <c r="U234" s="55">
        <v>35.340200000000003</v>
      </c>
      <c r="V234" s="55">
        <v>33.9133</v>
      </c>
      <c r="W234" s="56"/>
      <c r="X234" s="55">
        <v>21.686399999999999</v>
      </c>
      <c r="Y234" s="55">
        <v>21.686399999999999</v>
      </c>
      <c r="Z234" s="55">
        <v>21.686399999999999</v>
      </c>
      <c r="AA234" s="56"/>
      <c r="AB234" s="57"/>
      <c r="AC234" s="57"/>
      <c r="AE234" s="49" t="str">
        <f t="shared" si="38"/>
        <v>·</v>
      </c>
      <c r="AF234" s="50">
        <f t="shared" si="39"/>
        <v>31.551062667193921</v>
      </c>
      <c r="AG234" s="50">
        <f t="shared" si="40"/>
        <v>30.838964413784552</v>
      </c>
      <c r="AH234" s="50">
        <f t="shared" si="41"/>
        <v>0.71178629973448948</v>
      </c>
      <c r="AI234" s="51"/>
      <c r="AJ234" s="50">
        <f t="shared" si="42"/>
        <v>31.551062667193921</v>
      </c>
      <c r="AK234" s="52">
        <v>2000297</v>
      </c>
      <c r="AL234" s="53">
        <v>63111496</v>
      </c>
      <c r="AM234" s="53">
        <v>61687088</v>
      </c>
      <c r="AN234" s="53">
        <v>1423784</v>
      </c>
      <c r="AO234" s="54"/>
      <c r="AP234" s="55">
        <v>29.808199999999999</v>
      </c>
      <c r="AQ234" s="55">
        <v>35.593600000000002</v>
      </c>
      <c r="AR234" s="55">
        <v>34.319499999999998</v>
      </c>
      <c r="AS234" s="56"/>
      <c r="AT234" s="55">
        <v>21.686399999999999</v>
      </c>
      <c r="AU234" s="55">
        <v>21.686399999999999</v>
      </c>
      <c r="AV234" s="55">
        <v>21.686399999999999</v>
      </c>
      <c r="AW234" s="56"/>
      <c r="AX234" s="57">
        <v>16.099</v>
      </c>
      <c r="AY234" s="57">
        <v>14.273999999999999</v>
      </c>
      <c r="BA234" s="58">
        <f t="shared" si="43"/>
        <v>4.3753872028151619E-4</v>
      </c>
      <c r="BB234" s="58"/>
      <c r="BD234" s="59"/>
      <c r="BE234" s="59"/>
      <c r="BF234" s="59"/>
      <c r="BG234" s="60"/>
      <c r="BI234" s="59"/>
      <c r="BJ234" s="59"/>
      <c r="BK234" s="59"/>
      <c r="BL234" s="60"/>
      <c r="BN234" s="59"/>
      <c r="BO234" s="59"/>
      <c r="BP234" s="59"/>
      <c r="BQ234" s="60"/>
      <c r="BS234" s="59"/>
      <c r="BT234" s="59"/>
      <c r="BU234" s="59"/>
      <c r="BV234" s="60"/>
    </row>
    <row r="235" spans="1:74" x14ac:dyDescent="0.15">
      <c r="A235" s="16" t="s">
        <v>370</v>
      </c>
      <c r="B235" s="16" t="s">
        <v>369</v>
      </c>
      <c r="C235" s="17" t="s">
        <v>225</v>
      </c>
      <c r="D235" s="16">
        <v>19948121</v>
      </c>
      <c r="E235" s="18">
        <v>21</v>
      </c>
      <c r="F235" s="17">
        <v>1</v>
      </c>
      <c r="G235" s="17"/>
      <c r="I235" s="19" t="str">
        <f t="shared" si="33"/>
        <v>·</v>
      </c>
      <c r="J235" s="20">
        <f t="shared" si="34"/>
        <v>31.763001638099148</v>
      </c>
      <c r="K235" s="20">
        <f t="shared" si="35"/>
        <v>17.528235366127969</v>
      </c>
      <c r="L235" s="20">
        <f t="shared" si="36"/>
        <v>10.582027650624337</v>
      </c>
      <c r="M235" s="20">
        <f t="shared" ref="M235:M266" si="44">IF(ISBLANK(Q235),"·",S235/D235)</f>
        <v>3.6525413095298549</v>
      </c>
      <c r="N235" s="20">
        <f t="shared" si="37"/>
        <v>31.763001638099148</v>
      </c>
      <c r="O235" s="22">
        <v>19948121</v>
      </c>
      <c r="P235" s="23">
        <v>633612200</v>
      </c>
      <c r="Q235" s="23">
        <v>349655360</v>
      </c>
      <c r="R235" s="23">
        <v>211091568</v>
      </c>
      <c r="S235" s="23">
        <v>72861336</v>
      </c>
      <c r="T235" s="25">
        <v>53.491199999999999</v>
      </c>
      <c r="U235" s="25">
        <v>55.0411</v>
      </c>
      <c r="V235" s="25">
        <v>54.828600000000002</v>
      </c>
      <c r="W235" s="25">
        <v>51.2059</v>
      </c>
      <c r="X235" s="25">
        <v>48.130800000000001</v>
      </c>
      <c r="Y235" s="25">
        <v>48.130800000000001</v>
      </c>
      <c r="Z235" s="25">
        <v>48.130800000000001</v>
      </c>
      <c r="AA235" s="25">
        <v>48.198700000000002</v>
      </c>
      <c r="AB235" s="27"/>
      <c r="AC235" s="27"/>
      <c r="AE235" s="19" t="str">
        <f t="shared" si="38"/>
        <v>·</v>
      </c>
      <c r="AF235" s="20">
        <f t="shared" si="39"/>
        <v>31.80297773409335</v>
      </c>
      <c r="AG235" s="20">
        <f t="shared" si="40"/>
        <v>17.528235366127969</v>
      </c>
      <c r="AH235" s="20">
        <f t="shared" si="41"/>
        <v>10.607867477844154</v>
      </c>
      <c r="AI235" s="20">
        <f t="shared" ref="AI235:AI266" si="45">IF(ISBLANK(AM235),"·",AO235/D235)</f>
        <v>3.6666775783042422</v>
      </c>
      <c r="AJ235" s="20">
        <f t="shared" si="42"/>
        <v>31.80297773409335</v>
      </c>
      <c r="AK235" s="22">
        <v>19948121</v>
      </c>
      <c r="AL235" s="23">
        <v>634409648</v>
      </c>
      <c r="AM235" s="23">
        <v>349655360</v>
      </c>
      <c r="AN235" s="23">
        <v>211607024</v>
      </c>
      <c r="AO235" s="23">
        <v>73143328</v>
      </c>
      <c r="AP235" s="25">
        <v>53.482399999999998</v>
      </c>
      <c r="AQ235" s="25">
        <v>55.053600000000003</v>
      </c>
      <c r="AR235" s="25">
        <v>54.858600000000003</v>
      </c>
      <c r="AS235" s="25">
        <v>51.207900000000002</v>
      </c>
      <c r="AT235" s="25">
        <v>48.130800000000001</v>
      </c>
      <c r="AU235" s="25">
        <v>48.130800000000001</v>
      </c>
      <c r="AV235" s="25">
        <v>48.130800000000001</v>
      </c>
      <c r="AW235" s="25">
        <v>48.198700000000002</v>
      </c>
      <c r="AX235" s="27">
        <v>106.595</v>
      </c>
      <c r="AY235" s="27">
        <v>78.561999999999998</v>
      </c>
      <c r="BA235" s="28">
        <f t="shared" si="43"/>
        <v>-6.9366415562199801E-4</v>
      </c>
      <c r="BB235" s="28">
        <f t="array" ref="BB235">AVERAGE(AM235:AM239/AL235:AL239) - AVERAGE(Q235:Q239/P235:P239)</f>
        <v>1.7615813322902074E-4</v>
      </c>
      <c r="BD235" s="29">
        <f>IF( OR(ISBLANK(R235:R239),ISBLANK(AN235:AN239), ISBLANK(T235:T239),ISBLANK(AP235:AP239)), "·", bdRateExtend( R235:R239,T235:T239, AN235:AN239,AP235:AP239))</f>
        <v>-4.0554701256161341E-3</v>
      </c>
      <c r="BE235" s="29">
        <f>IF( OR(ISBLANK(R235:R239),ISBLANK(AN235:AN239), ISBLANK(U235:U239),ISBLANK(AQ235:AQ239)), "·", bdRateExtend( R235:R239,U235:U239, AN235:AN239,AQ235:AQ239))</f>
        <v>-1.417120994724741E-2</v>
      </c>
      <c r="BF235" s="29">
        <f>IF( OR(ISBLANK(R235:R239),ISBLANK(AN235:AN239), ISBLANK(V235:V239),ISBLANK(AR235:AR239)), "·", bdRateExtend( R235:R239,V235:V239, AN235:AN239,AR235:AR239))</f>
        <v>-1.4178414832295094E-2</v>
      </c>
      <c r="BG235" s="29">
        <f>IF( OR(ISBLANK(S235:S239),ISBLANK(AO235:AO239), ISBLANK(W235:W239),ISBLANK(AS235:AS239)), "·", bdRateExtend( S235:S239,W235:W239, AO235:AO239,AS235:AS239))</f>
        <v>6.5862252807202815E-3</v>
      </c>
      <c r="BI235" s="29">
        <f>IF( OR(ISBLANK(R235:R239),ISBLANK(AN235:AN239), ISBLANK(X235:X239),ISBLANK(AT235:AT239)), "·", bdRateExtend( R235:R239,X235:X239, AN235:AN239,AT235:AT239))</f>
        <v>-3.87812151827438E-3</v>
      </c>
      <c r="BJ235" s="29">
        <f>IF( OR(ISBLANK(R235:R239),ISBLANK(AN235:AN239), ISBLANK(Y235:Y239),ISBLANK(AU235:AU239)), "·", bdRateExtend( R235:R239,Y235:Y239, AN235:AN239,AU235:AU239))</f>
        <v>-3.87812151827438E-3</v>
      </c>
      <c r="BK235" s="29">
        <f>IF( OR(ISBLANK(R235:R239),ISBLANK(AN235:AN239), ISBLANK(Z235:Z239),ISBLANK(AV235:AV239)), "·", bdRateExtend( R235:R239,Z235:Z239, AN235:AN239,AV235:AV239))</f>
        <v>-3.87812151827438E-3</v>
      </c>
      <c r="BL235" s="29">
        <f>IF( OR(ISBLANK(S235:S239),ISBLANK(AO235:AO239), ISBLANK(AA235:AA239),ISBLANK(AW235:AW239)), "·", bdRateExtend( S235:S239,AA235:AA239, AO235:AO239,AW235:AW239))</f>
        <v>6.1940137800535755E-3</v>
      </c>
      <c r="BN235" s="29">
        <f>IF( OR(ISBLANK(P235:P239),ISBLANK(AL235:AL239), ISBLANK(T235:T239),ISBLANK(AP235:AP239)), "·", bdRateExtend( P235:P239,T235:T239, AL235:AL239,AP235:AP239))</f>
        <v>-3.5827632878571158E-5</v>
      </c>
      <c r="BO235" s="29">
        <f>IF( OR(ISBLANK(P235:P239),ISBLANK(AL235:AL239), ISBLANK(U235:U239),ISBLANK(AQ235:AQ239)), "·", bdRateExtend( P235:P239,U235:U239, AL235:AL239,AQ235:AQ239))</f>
        <v>-2.1514861689435616E-3</v>
      </c>
      <c r="BP235" s="29">
        <f>IF( OR(ISBLANK(P235:P239),ISBLANK(AL235:AL239), ISBLANK(V235:V239),ISBLANK(AR235:AR239)), "·", bdRateExtend( P235:P239,V235:V239, AL235:AL239,AR235:AR239))</f>
        <v>-2.166342776329433E-3</v>
      </c>
      <c r="BQ235" s="29">
        <f>IF( OR(ISBLANK(P235:P239),ISBLANK(AL235:AL239), ISBLANK(W235:W239),ISBLANK(AS235:AS239)), "·", bdRateExtend( P235:P239,W235:W239, AL235:AL239,AS235:AS239))</f>
        <v>-1.3491633240636514E-4</v>
      </c>
      <c r="BS235" s="29">
        <f>IF( OR(ISBLANK(P235:P239),ISBLANK(AL235:AL239), ISBLANK(X235:X239),ISBLANK(AT235:AT239)), "·", bdRateExtend( P235:P239,X235:X239, AL235:AL239,AT235:AT239))</f>
        <v>-2.7393885933535422E-5</v>
      </c>
      <c r="BT235" s="29">
        <f>IF( OR(ISBLANK(P235:P239),ISBLANK(AL235:AL239), ISBLANK(Y235:Y239),ISBLANK(AU235:AU239)), "·", bdRateExtend( P235:P239,Y235:Y239, AL235:AL239,AU235:AU239))</f>
        <v>-2.7393885933535422E-5</v>
      </c>
      <c r="BU235" s="29">
        <f>IF( OR(ISBLANK(P235:P239),ISBLANK(AL235:AL239), ISBLANK(Z235:Z239),ISBLANK(AV235:AV239)), "·", bdRateExtend( P235:P239,Z235:Z239, AL235:AL239,AV235:AV239))</f>
        <v>-2.7393885933535422E-5</v>
      </c>
      <c r="BV235" s="29">
        <f>IF( OR(ISBLANK(P235:P239),ISBLANK(AL235:AL239), ISBLANK(AA235:AA239),ISBLANK(AW235:AW239)), "·", bdRateExtend( P235:P239,AA235:AA239, AL235:AL239,AW235:AW239))</f>
        <v>-2.7393885933535422E-5</v>
      </c>
    </row>
    <row r="236" spans="1:74" outlineLevel="1" x14ac:dyDescent="0.15">
      <c r="A236" s="31"/>
      <c r="B236" s="31" t="s">
        <v>369</v>
      </c>
      <c r="C236" s="32" t="s">
        <v>226</v>
      </c>
      <c r="D236" s="31">
        <v>19948121</v>
      </c>
      <c r="E236" s="33">
        <v>21</v>
      </c>
      <c r="F236" s="32">
        <v>1</v>
      </c>
      <c r="G236" s="32"/>
      <c r="I236" s="34" t="str">
        <f t="shared" si="33"/>
        <v>·</v>
      </c>
      <c r="J236" s="35">
        <f t="shared" si="34"/>
        <v>28.28951238063976</v>
      </c>
      <c r="K236" s="35">
        <f t="shared" si="35"/>
        <v>17.528235366127969</v>
      </c>
      <c r="L236" s="35">
        <f t="shared" si="36"/>
        <v>8.0461144184958577</v>
      </c>
      <c r="M236" s="35">
        <f t="shared" si="44"/>
        <v>2.7149648831586695</v>
      </c>
      <c r="N236" s="35">
        <f t="shared" si="37"/>
        <v>28.28951238063976</v>
      </c>
      <c r="O236" s="37">
        <v>19948121</v>
      </c>
      <c r="P236" s="38">
        <v>564322616</v>
      </c>
      <c r="Q236" s="38">
        <v>349655360</v>
      </c>
      <c r="R236" s="38">
        <v>160504864</v>
      </c>
      <c r="S236" s="38">
        <v>54158448</v>
      </c>
      <c r="T236" s="40">
        <v>48.669699999999999</v>
      </c>
      <c r="U236" s="40">
        <v>50.5702</v>
      </c>
      <c r="V236" s="40">
        <v>50.2226</v>
      </c>
      <c r="W236" s="40">
        <v>46.457799999999999</v>
      </c>
      <c r="X236" s="40">
        <v>42.110199999999999</v>
      </c>
      <c r="Y236" s="40">
        <v>42.110199999999999</v>
      </c>
      <c r="Z236" s="40">
        <v>42.110199999999999</v>
      </c>
      <c r="AA236" s="40">
        <v>42.178100000000001</v>
      </c>
      <c r="AB236" s="42"/>
      <c r="AC236" s="42"/>
      <c r="AE236" s="34" t="str">
        <f t="shared" si="38"/>
        <v>·</v>
      </c>
      <c r="AF236" s="35">
        <f t="shared" si="39"/>
        <v>28.309764112619931</v>
      </c>
      <c r="AG236" s="35">
        <f t="shared" si="40"/>
        <v>17.528235366127969</v>
      </c>
      <c r="AH236" s="35">
        <f t="shared" si="41"/>
        <v>8.0554787089972031</v>
      </c>
      <c r="AI236" s="35">
        <f t="shared" si="45"/>
        <v>2.7258523246374935</v>
      </c>
      <c r="AJ236" s="35">
        <f t="shared" si="42"/>
        <v>28.309764112619931</v>
      </c>
      <c r="AK236" s="37">
        <v>19948121</v>
      </c>
      <c r="AL236" s="38">
        <v>564726600</v>
      </c>
      <c r="AM236" s="38">
        <v>349655360</v>
      </c>
      <c r="AN236" s="38">
        <v>160691664</v>
      </c>
      <c r="AO236" s="38">
        <v>54375632</v>
      </c>
      <c r="AP236" s="40">
        <v>48.6785</v>
      </c>
      <c r="AQ236" s="40">
        <v>50.598399999999998</v>
      </c>
      <c r="AR236" s="40">
        <v>50.255299999999998</v>
      </c>
      <c r="AS236" s="40">
        <v>46.460700000000003</v>
      </c>
      <c r="AT236" s="40">
        <v>42.110199999999999</v>
      </c>
      <c r="AU236" s="40">
        <v>42.110199999999999</v>
      </c>
      <c r="AV236" s="40">
        <v>42.110199999999999</v>
      </c>
      <c r="AW236" s="40">
        <v>42.178100000000001</v>
      </c>
      <c r="AX236" s="42">
        <v>95.02</v>
      </c>
      <c r="AY236" s="42">
        <v>77.251000000000005</v>
      </c>
      <c r="BA236" s="43">
        <f t="shared" si="43"/>
        <v>-4.432397027663848E-4</v>
      </c>
      <c r="BB236" s="43"/>
      <c r="BD236" s="44"/>
      <c r="BE236" s="44"/>
      <c r="BF236" s="44"/>
      <c r="BG236" s="44"/>
      <c r="BI236" s="44"/>
      <c r="BJ236" s="44"/>
      <c r="BK236" s="44"/>
      <c r="BL236" s="44"/>
      <c r="BN236" s="44"/>
      <c r="BO236" s="44"/>
      <c r="BP236" s="44"/>
      <c r="BQ236" s="44"/>
      <c r="BS236" s="44"/>
      <c r="BT236" s="44"/>
      <c r="BU236" s="44"/>
      <c r="BV236" s="44"/>
    </row>
    <row r="237" spans="1:74" outlineLevel="1" x14ac:dyDescent="0.15">
      <c r="A237" s="16"/>
      <c r="B237" s="16" t="s">
        <v>369</v>
      </c>
      <c r="C237" s="17" t="s">
        <v>227</v>
      </c>
      <c r="D237" s="16">
        <v>19948121</v>
      </c>
      <c r="E237" s="18">
        <v>21</v>
      </c>
      <c r="F237" s="17">
        <v>1</v>
      </c>
      <c r="G237" s="17"/>
      <c r="I237" s="19" t="str">
        <f t="shared" si="33"/>
        <v>·</v>
      </c>
      <c r="J237" s="20">
        <f t="shared" si="34"/>
        <v>24.448338968868295</v>
      </c>
      <c r="K237" s="20">
        <f t="shared" si="35"/>
        <v>17.528235366127969</v>
      </c>
      <c r="L237" s="20">
        <f t="shared" si="36"/>
        <v>5.260758143586556</v>
      </c>
      <c r="M237" s="20">
        <f t="shared" si="44"/>
        <v>1.6591477462965059</v>
      </c>
      <c r="N237" s="20">
        <f t="shared" si="37"/>
        <v>24.448338968868295</v>
      </c>
      <c r="O237" s="22">
        <v>19948121</v>
      </c>
      <c r="P237" s="23">
        <v>487698424</v>
      </c>
      <c r="Q237" s="23">
        <v>349655360</v>
      </c>
      <c r="R237" s="23">
        <v>104942240</v>
      </c>
      <c r="S237" s="23">
        <v>33096880</v>
      </c>
      <c r="T237" s="25">
        <v>41.536200000000001</v>
      </c>
      <c r="U237" s="25">
        <v>44.401600000000002</v>
      </c>
      <c r="V237" s="25">
        <v>44.061999999999998</v>
      </c>
      <c r="W237" s="25">
        <v>39.910899999999998</v>
      </c>
      <c r="X237" s="25">
        <v>34.151400000000002</v>
      </c>
      <c r="Y237" s="25">
        <v>34.151400000000002</v>
      </c>
      <c r="Z237" s="25">
        <v>34.151400000000002</v>
      </c>
      <c r="AA237" s="25">
        <v>34.219299999999997</v>
      </c>
      <c r="AB237" s="27"/>
      <c r="AC237" s="27"/>
      <c r="AE237" s="19" t="str">
        <f t="shared" si="38"/>
        <v>·</v>
      </c>
      <c r="AF237" s="20">
        <f t="shared" si="39"/>
        <v>24.450583190266393</v>
      </c>
      <c r="AG237" s="20">
        <f t="shared" si="40"/>
        <v>17.528235366127969</v>
      </c>
      <c r="AH237" s="20">
        <f t="shared" si="41"/>
        <v>5.2513521448962539</v>
      </c>
      <c r="AI237" s="20">
        <f t="shared" si="45"/>
        <v>1.6707979663849042</v>
      </c>
      <c r="AJ237" s="20">
        <f t="shared" si="42"/>
        <v>24.450583190266393</v>
      </c>
      <c r="AK237" s="22">
        <v>19948121</v>
      </c>
      <c r="AL237" s="23">
        <v>487743192</v>
      </c>
      <c r="AM237" s="23">
        <v>349655360</v>
      </c>
      <c r="AN237" s="23">
        <v>104754608</v>
      </c>
      <c r="AO237" s="23">
        <v>33329280</v>
      </c>
      <c r="AP237" s="25">
        <v>41.525500000000001</v>
      </c>
      <c r="AQ237" s="25">
        <v>44.475900000000003</v>
      </c>
      <c r="AR237" s="25">
        <v>44.1447</v>
      </c>
      <c r="AS237" s="25">
        <v>39.926299999999998</v>
      </c>
      <c r="AT237" s="25">
        <v>34.151400000000002</v>
      </c>
      <c r="AU237" s="25">
        <v>34.151400000000002</v>
      </c>
      <c r="AV237" s="25">
        <v>34.151400000000002</v>
      </c>
      <c r="AW237" s="25">
        <v>34.219299999999997</v>
      </c>
      <c r="AX237" s="27">
        <v>91.602999999999994</v>
      </c>
      <c r="AY237" s="27">
        <v>76.081000000000003</v>
      </c>
      <c r="BA237" s="28">
        <f t="shared" si="43"/>
        <v>-6.5805972945587321E-5</v>
      </c>
      <c r="BB237" s="28"/>
      <c r="BD237" s="29"/>
      <c r="BE237" s="29"/>
      <c r="BF237" s="29"/>
      <c r="BG237" s="29"/>
      <c r="BI237" s="29"/>
      <c r="BJ237" s="29"/>
      <c r="BK237" s="29"/>
      <c r="BL237" s="29"/>
      <c r="BN237" s="29"/>
      <c r="BO237" s="29"/>
      <c r="BP237" s="29"/>
      <c r="BQ237" s="29"/>
      <c r="BS237" s="29"/>
      <c r="BT237" s="29"/>
      <c r="BU237" s="29"/>
      <c r="BV237" s="29"/>
    </row>
    <row r="238" spans="1:74" outlineLevel="1" x14ac:dyDescent="0.15">
      <c r="A238" s="31"/>
      <c r="B238" s="31" t="s">
        <v>369</v>
      </c>
      <c r="C238" s="32" t="s">
        <v>228</v>
      </c>
      <c r="D238" s="31">
        <v>19948121</v>
      </c>
      <c r="E238" s="33">
        <v>21</v>
      </c>
      <c r="F238" s="32">
        <v>1</v>
      </c>
      <c r="G238" s="32"/>
      <c r="I238" s="34" t="str">
        <f t="shared" si="33"/>
        <v>·</v>
      </c>
      <c r="J238" s="35">
        <f t="shared" si="34"/>
        <v>21.77485007234516</v>
      </c>
      <c r="K238" s="35">
        <f t="shared" si="35"/>
        <v>17.528235366127969</v>
      </c>
      <c r="L238" s="35">
        <f t="shared" si="36"/>
        <v>3.2950728542302303</v>
      </c>
      <c r="M238" s="35">
        <f t="shared" si="44"/>
        <v>0.95134413912969551</v>
      </c>
      <c r="N238" s="35">
        <f t="shared" si="37"/>
        <v>21.77485007234516</v>
      </c>
      <c r="O238" s="37">
        <v>19948121</v>
      </c>
      <c r="P238" s="38">
        <v>434367344</v>
      </c>
      <c r="Q238" s="38">
        <v>349655360</v>
      </c>
      <c r="R238" s="38">
        <v>65730512</v>
      </c>
      <c r="S238" s="38">
        <v>18977528</v>
      </c>
      <c r="T238" s="40">
        <v>35.786499999999997</v>
      </c>
      <c r="U238" s="40">
        <v>39.660200000000003</v>
      </c>
      <c r="V238" s="40">
        <v>39.162599999999998</v>
      </c>
      <c r="W238" s="40">
        <v>34.796799999999998</v>
      </c>
      <c r="X238" s="40">
        <v>28.130800000000001</v>
      </c>
      <c r="Y238" s="40">
        <v>28.130800000000001</v>
      </c>
      <c r="Z238" s="40">
        <v>28.130800000000001</v>
      </c>
      <c r="AA238" s="40">
        <v>28.198699999999999</v>
      </c>
      <c r="AB238" s="42"/>
      <c r="AC238" s="42"/>
      <c r="AE238" s="34" t="str">
        <f t="shared" si="38"/>
        <v>·</v>
      </c>
      <c r="AF238" s="35">
        <f t="shared" si="39"/>
        <v>21.757146951334413</v>
      </c>
      <c r="AG238" s="35">
        <f t="shared" si="40"/>
        <v>17.528235366127969</v>
      </c>
      <c r="AH238" s="35">
        <f t="shared" si="41"/>
        <v>3.2678923493596215</v>
      </c>
      <c r="AI238" s="35">
        <f t="shared" si="45"/>
        <v>0.96082152298955881</v>
      </c>
      <c r="AJ238" s="35">
        <f t="shared" si="42"/>
        <v>21.757146951334413</v>
      </c>
      <c r="AK238" s="37">
        <v>19948121</v>
      </c>
      <c r="AL238" s="38">
        <v>434014200</v>
      </c>
      <c r="AM238" s="38">
        <v>349655360</v>
      </c>
      <c r="AN238" s="38">
        <v>65188312</v>
      </c>
      <c r="AO238" s="38">
        <v>19166584</v>
      </c>
      <c r="AP238" s="40">
        <v>35.776499999999999</v>
      </c>
      <c r="AQ238" s="40">
        <v>39.831400000000002</v>
      </c>
      <c r="AR238" s="40">
        <v>39.312100000000001</v>
      </c>
      <c r="AS238" s="40">
        <v>34.809699999999999</v>
      </c>
      <c r="AT238" s="40">
        <v>28.130800000000001</v>
      </c>
      <c r="AU238" s="40">
        <v>28.130800000000001</v>
      </c>
      <c r="AV238" s="40">
        <v>28.130800000000001</v>
      </c>
      <c r="AW238" s="40">
        <v>28.198699999999999</v>
      </c>
      <c r="AX238" s="42">
        <v>91.290999999999997</v>
      </c>
      <c r="AY238" s="42">
        <v>74.272000000000006</v>
      </c>
      <c r="BA238" s="43">
        <f t="shared" si="43"/>
        <v>6.5498433878241613E-4</v>
      </c>
      <c r="BB238" s="43"/>
      <c r="BD238" s="44"/>
      <c r="BE238" s="44"/>
      <c r="BF238" s="44"/>
      <c r="BG238" s="44"/>
      <c r="BI238" s="44"/>
      <c r="BJ238" s="44"/>
      <c r="BK238" s="44"/>
      <c r="BL238" s="44"/>
      <c r="BN238" s="44"/>
      <c r="BO238" s="44"/>
      <c r="BP238" s="44"/>
      <c r="BQ238" s="44"/>
      <c r="BS238" s="44"/>
      <c r="BT238" s="44"/>
      <c r="BU238" s="44"/>
      <c r="BV238" s="44"/>
    </row>
    <row r="239" spans="1:74" outlineLevel="1" x14ac:dyDescent="0.15">
      <c r="A239" s="16"/>
      <c r="B239" s="65" t="s">
        <v>369</v>
      </c>
      <c r="C239" s="67" t="s">
        <v>229</v>
      </c>
      <c r="D239" s="65">
        <v>19948121</v>
      </c>
      <c r="E239" s="66">
        <v>21</v>
      </c>
      <c r="F239" s="67">
        <v>1</v>
      </c>
      <c r="G239" s="67"/>
      <c r="I239" s="69" t="str">
        <f t="shared" si="33"/>
        <v>·</v>
      </c>
      <c r="J239" s="70">
        <f t="shared" si="34"/>
        <v>19.76226512762781</v>
      </c>
      <c r="K239" s="70">
        <f t="shared" si="35"/>
        <v>17.528235366127969</v>
      </c>
      <c r="L239" s="70">
        <f t="shared" si="36"/>
        <v>1.7624288523214793</v>
      </c>
      <c r="M239" s="70">
        <f t="shared" si="44"/>
        <v>0.47140319632109712</v>
      </c>
      <c r="N239" s="70">
        <f t="shared" si="37"/>
        <v>19.76226512762781</v>
      </c>
      <c r="O239" s="71">
        <v>19948121</v>
      </c>
      <c r="P239" s="72">
        <v>394220056</v>
      </c>
      <c r="Q239" s="72">
        <v>349655360</v>
      </c>
      <c r="R239" s="72">
        <v>35157144</v>
      </c>
      <c r="S239" s="72">
        <v>9403608</v>
      </c>
      <c r="T239" s="77">
        <v>29.2089</v>
      </c>
      <c r="U239" s="77">
        <v>35.075600000000001</v>
      </c>
      <c r="V239" s="77">
        <v>34.353400000000001</v>
      </c>
      <c r="W239" s="77">
        <v>28.886199999999999</v>
      </c>
      <c r="X239" s="77">
        <v>21.686399999999999</v>
      </c>
      <c r="Y239" s="77">
        <v>21.686399999999999</v>
      </c>
      <c r="Z239" s="77">
        <v>21.686399999999999</v>
      </c>
      <c r="AA239" s="77">
        <v>21.754300000000001</v>
      </c>
      <c r="AB239" s="73"/>
      <c r="AC239" s="73"/>
      <c r="AE239" s="69" t="str">
        <f t="shared" si="38"/>
        <v>·</v>
      </c>
      <c r="AF239" s="70">
        <f t="shared" si="39"/>
        <v>19.730487498045555</v>
      </c>
      <c r="AG239" s="70">
        <f t="shared" si="40"/>
        <v>17.528235366127969</v>
      </c>
      <c r="AH239" s="70">
        <f t="shared" si="41"/>
        <v>1.7296406012375802</v>
      </c>
      <c r="AI239" s="70">
        <f t="shared" si="45"/>
        <v>0.47241381782274128</v>
      </c>
      <c r="AJ239" s="70">
        <f t="shared" si="42"/>
        <v>19.730487498045555</v>
      </c>
      <c r="AK239" s="71">
        <v>19948121</v>
      </c>
      <c r="AL239" s="72">
        <v>393586152</v>
      </c>
      <c r="AM239" s="72">
        <v>349655360</v>
      </c>
      <c r="AN239" s="72">
        <v>34503080</v>
      </c>
      <c r="AO239" s="72">
        <v>9423768</v>
      </c>
      <c r="AP239" s="77">
        <v>29.212199999999999</v>
      </c>
      <c r="AQ239" s="77">
        <v>35.308900000000001</v>
      </c>
      <c r="AR239" s="77">
        <v>34.632199999999997</v>
      </c>
      <c r="AS239" s="77">
        <v>28.794</v>
      </c>
      <c r="AT239" s="77">
        <v>21.686399999999999</v>
      </c>
      <c r="AU239" s="77">
        <v>21.686399999999999</v>
      </c>
      <c r="AV239" s="77">
        <v>21.686399999999999</v>
      </c>
      <c r="AW239" s="77">
        <v>21.754300000000001</v>
      </c>
      <c r="AX239" s="73">
        <v>90.667000000000002</v>
      </c>
      <c r="AY239" s="73">
        <v>74.147000000000006</v>
      </c>
      <c r="BA239" s="68">
        <f t="shared" si="43"/>
        <v>1.4285161586963246E-3</v>
      </c>
      <c r="BB239" s="68"/>
      <c r="BD239" s="74"/>
      <c r="BE239" s="74"/>
      <c r="BF239" s="74"/>
      <c r="BG239" s="74"/>
      <c r="BI239" s="74"/>
      <c r="BJ239" s="74"/>
      <c r="BK239" s="74"/>
      <c r="BL239" s="74"/>
      <c r="BN239" s="74"/>
      <c r="BO239" s="74"/>
      <c r="BP239" s="74"/>
      <c r="BQ239" s="74"/>
      <c r="BS239" s="74"/>
      <c r="BT239" s="74"/>
      <c r="BU239" s="74"/>
      <c r="BV239" s="74"/>
    </row>
    <row r="240" spans="1:74" x14ac:dyDescent="0.15">
      <c r="A240" s="31"/>
      <c r="B240" s="31" t="s">
        <v>373</v>
      </c>
      <c r="C240" s="32" t="s">
        <v>225</v>
      </c>
      <c r="D240" s="31">
        <v>5255920</v>
      </c>
      <c r="E240" s="33">
        <v>20</v>
      </c>
      <c r="F240" s="32">
        <v>1</v>
      </c>
      <c r="G240" s="32"/>
      <c r="I240" s="34" t="str">
        <f t="shared" si="33"/>
        <v>·</v>
      </c>
      <c r="J240" s="35">
        <f t="shared" si="34"/>
        <v>35.110405028995878</v>
      </c>
      <c r="K240" s="35">
        <f t="shared" si="35"/>
        <v>20.815736921414327</v>
      </c>
      <c r="L240" s="35">
        <f t="shared" si="36"/>
        <v>10.224720315377708</v>
      </c>
      <c r="M240" s="35">
        <f t="shared" si="44"/>
        <v>4.06965555031279</v>
      </c>
      <c r="N240" s="35">
        <f t="shared" si="37"/>
        <v>35.110405028995878</v>
      </c>
      <c r="O240" s="37">
        <v>5255920</v>
      </c>
      <c r="P240" s="38">
        <v>184537480</v>
      </c>
      <c r="Q240" s="38">
        <v>109405848</v>
      </c>
      <c r="R240" s="38">
        <v>53740312</v>
      </c>
      <c r="S240" s="38">
        <v>21389784</v>
      </c>
      <c r="T240" s="40">
        <v>53.424500000000002</v>
      </c>
      <c r="U240" s="40">
        <v>55.040500000000002</v>
      </c>
      <c r="V240" s="40">
        <v>54.942100000000003</v>
      </c>
      <c r="W240" s="40">
        <v>51.204000000000001</v>
      </c>
      <c r="X240" s="40">
        <v>48.130800000000001</v>
      </c>
      <c r="Y240" s="40">
        <v>48.130800000000001</v>
      </c>
      <c r="Z240" s="40">
        <v>48.130800000000001</v>
      </c>
      <c r="AA240" s="40">
        <v>48.198700000000002</v>
      </c>
      <c r="AB240" s="42"/>
      <c r="AC240" s="42"/>
      <c r="AE240" s="34" t="str">
        <f t="shared" si="38"/>
        <v>·</v>
      </c>
      <c r="AF240" s="35">
        <f t="shared" si="39"/>
        <v>35.109379138190839</v>
      </c>
      <c r="AG240" s="35">
        <f t="shared" si="40"/>
        <v>20.815736921414327</v>
      </c>
      <c r="AH240" s="35">
        <f t="shared" si="41"/>
        <v>10.215622764425639</v>
      </c>
      <c r="AI240" s="35">
        <f t="shared" si="45"/>
        <v>4.0777272104598241</v>
      </c>
      <c r="AJ240" s="35">
        <f t="shared" si="42"/>
        <v>35.109379138190839</v>
      </c>
      <c r="AK240" s="37">
        <v>5255920</v>
      </c>
      <c r="AL240" s="38">
        <v>184532088</v>
      </c>
      <c r="AM240" s="38">
        <v>109405848</v>
      </c>
      <c r="AN240" s="38">
        <v>53692496</v>
      </c>
      <c r="AO240" s="38">
        <v>21432208</v>
      </c>
      <c r="AP240" s="40">
        <v>53.4131</v>
      </c>
      <c r="AQ240" s="40">
        <v>55.047899999999998</v>
      </c>
      <c r="AR240" s="40">
        <v>54.968499999999999</v>
      </c>
      <c r="AS240" s="40">
        <v>51.203499999999998</v>
      </c>
      <c r="AT240" s="40">
        <v>48.130800000000001</v>
      </c>
      <c r="AU240" s="40">
        <v>48.130800000000001</v>
      </c>
      <c r="AV240" s="40">
        <v>48.130800000000001</v>
      </c>
      <c r="AW240" s="40">
        <v>48.198700000000002</v>
      </c>
      <c r="AX240" s="42">
        <v>25.911000000000001</v>
      </c>
      <c r="AY240" s="42">
        <v>19.405999999999999</v>
      </c>
      <c r="BA240" s="43">
        <f t="shared" si="43"/>
        <v>1.7323432119353832E-5</v>
      </c>
      <c r="BB240" s="43">
        <f t="array" ref="BB240">AVERAGE(AM240:AM244/AL240:AL244) - AVERAGE(Q240:Q244/P240:P244)</f>
        <v>5.204849936676359E-4</v>
      </c>
      <c r="BD240" s="44">
        <f>IF( OR(ISBLANK(R240:R244),ISBLANK(AN240:AN244), ISBLANK(T240:T244),ISBLANK(AP240:AP244)), "·", bdRateExtend( R240:R244,T240:T244, AN240:AN244,AP240:AP244))</f>
        <v>-3.6907528169819459E-3</v>
      </c>
      <c r="BE240" s="44">
        <f>IF( OR(ISBLANK(R240:R244),ISBLANK(AN240:AN244), ISBLANK(U240:U244),ISBLANK(AQ240:AQ244)), "·", bdRateExtend( R240:R244,U240:U244, AN240:AN244,AQ240:AQ244))</f>
        <v>-1.6332470677494992E-2</v>
      </c>
      <c r="BF240" s="44">
        <f>IF( OR(ISBLANK(R240:R244),ISBLANK(AN240:AN244), ISBLANK(V240:V244),ISBLANK(AR240:AR244)), "·", bdRateExtend( R240:R244,V240:V244, AN240:AN244,AR240:AR244))</f>
        <v>-1.6308202661320603E-2</v>
      </c>
      <c r="BG240" s="44">
        <f>IF( OR(ISBLANK(S240:S244),ISBLANK(AO240:AO244), ISBLANK(W240:W244),ISBLANK(AS240:AS244)), "·", bdRateExtend( S240:S244,W240:W244, AO240:AO244,AS240:AS244))</f>
        <v>4.4585010136348746E-3</v>
      </c>
      <c r="BI240" s="44">
        <f>IF( OR(ISBLANK(R240:R244),ISBLANK(AN240:AN244), ISBLANK(X240:X244),ISBLANK(AT240:AT244)), "·", bdRateExtend( R240:R244,X240:X244, AN240:AN244,AT240:AT244))</f>
        <v>-6.4789941062082246E-3</v>
      </c>
      <c r="BJ240" s="44">
        <f>IF( OR(ISBLANK(R240:R244),ISBLANK(AN240:AN244), ISBLANK(Y240:Y244),ISBLANK(AU240:AU244)), "·", bdRateExtend( R240:R244,Y240:Y244, AN240:AN244,AU240:AU244))</f>
        <v>-6.4789941062082246E-3</v>
      </c>
      <c r="BK240" s="44">
        <f>IF( OR(ISBLANK(R240:R244),ISBLANK(AN240:AN244), ISBLANK(Z240:Z244),ISBLANK(AV240:AV244)), "·", bdRateExtend( R240:R244,Z240:Z244, AN240:AN244,AV240:AV244))</f>
        <v>-6.4789941062082246E-3</v>
      </c>
      <c r="BL240" s="44">
        <f>IF( OR(ISBLANK(S240:S244),ISBLANK(AO240:AO244), ISBLANK(AA240:AA244),ISBLANK(AW240:AW244)), "·", bdRateExtend( S240:S244,AA240:AA244, AO240:AO244,AW240:AW244))</f>
        <v>2.8717291164388481E-3</v>
      </c>
      <c r="BN240" s="44">
        <f>IF( OR(ISBLANK(P240:P244),ISBLANK(AL240:AL244), ISBLANK(T240:T244),ISBLANK(AP240:AP244)), "·", bdRateExtend( P240:P244,T240:T244, AL240:AL244,AP240:AP244))</f>
        <v>-1.1621137518247338E-4</v>
      </c>
      <c r="BO240" s="44">
        <f>IF( OR(ISBLANK(P240:P244),ISBLANK(AL240:AL244), ISBLANK(U240:U244),ISBLANK(AQ240:AQ244)), "·", bdRateExtend( P240:P244,U240:U244, AL240:AL244,AQ240:AQ244))</f>
        <v>-2.334564209851453E-3</v>
      </c>
      <c r="BP240" s="44">
        <f>IF( OR(ISBLANK(P240:P244),ISBLANK(AL240:AL244), ISBLANK(V240:V244),ISBLANK(AR240:AR244)), "·", bdRateExtend( P240:P244,V240:V244, AL240:AL244,AR240:AR244))</f>
        <v>-2.3965044844120875E-3</v>
      </c>
      <c r="BQ240" s="44">
        <f>IF( OR(ISBLANK(P240:P244),ISBLANK(AL240:AL244), ISBLANK(W240:W244),ISBLANK(AS240:AS244)), "·", bdRateExtend( P240:P244,W240:W244, AL240:AL244,AS240:AS244))</f>
        <v>-4.7580521917722773E-4</v>
      </c>
      <c r="BS240" s="44">
        <f>IF( OR(ISBLANK(P240:P244),ISBLANK(AL240:AL244), ISBLANK(X240:X244),ISBLANK(AT240:AT244)), "·", bdRateExtend( P240:P244,X240:X244, AL240:AL244,AT240:AT244))</f>
        <v>-6.4661301105783942E-4</v>
      </c>
      <c r="BT240" s="44">
        <f>IF( OR(ISBLANK(P240:P244),ISBLANK(AL240:AL244), ISBLANK(Y240:Y244),ISBLANK(AU240:AU244)), "·", bdRateExtend( P240:P244,Y240:Y244, AL240:AL244,AU240:AU244))</f>
        <v>-6.4661301105783942E-4</v>
      </c>
      <c r="BU240" s="44">
        <f>IF( OR(ISBLANK(P240:P244),ISBLANK(AL240:AL244), ISBLANK(Z240:Z244),ISBLANK(AV240:AV244)), "·", bdRateExtend( P240:P244,Z240:Z244, AL240:AL244,AV240:AV244))</f>
        <v>-6.4661301105783942E-4</v>
      </c>
      <c r="BV240" s="44">
        <f>IF( OR(ISBLANK(P240:P244),ISBLANK(AL240:AL244), ISBLANK(AA240:AA244),ISBLANK(AW240:AW244)), "·", bdRateExtend( P240:P244,AA240:AA244, AL240:AL244,AW240:AW244))</f>
        <v>-6.4661301105783942E-4</v>
      </c>
    </row>
    <row r="241" spans="1:74" outlineLevel="1" x14ac:dyDescent="0.15">
      <c r="A241" s="16"/>
      <c r="B241" s="16" t="s">
        <v>373</v>
      </c>
      <c r="C241" s="17" t="s">
        <v>226</v>
      </c>
      <c r="D241" s="16">
        <v>5255920</v>
      </c>
      <c r="E241" s="18">
        <v>20</v>
      </c>
      <c r="F241" s="17">
        <v>1</v>
      </c>
      <c r="G241" s="17"/>
      <c r="I241" s="19" t="str">
        <f t="shared" si="33"/>
        <v>·</v>
      </c>
      <c r="J241" s="20">
        <f t="shared" si="34"/>
        <v>31.562644789113989</v>
      </c>
      <c r="K241" s="20">
        <f t="shared" si="35"/>
        <v>20.815736921414327</v>
      </c>
      <c r="L241" s="20">
        <f t="shared" si="36"/>
        <v>7.6406185786693861</v>
      </c>
      <c r="M241" s="20">
        <f t="shared" si="44"/>
        <v>3.1059955250460431</v>
      </c>
      <c r="N241" s="20">
        <f t="shared" si="37"/>
        <v>31.562644789113989</v>
      </c>
      <c r="O241" s="22">
        <v>5255920</v>
      </c>
      <c r="P241" s="23">
        <v>165890736</v>
      </c>
      <c r="Q241" s="23">
        <v>109405848</v>
      </c>
      <c r="R241" s="23">
        <v>40158480</v>
      </c>
      <c r="S241" s="23">
        <v>16324864</v>
      </c>
      <c r="T241" s="25">
        <v>48.588799999999999</v>
      </c>
      <c r="U241" s="25">
        <v>50.590800000000002</v>
      </c>
      <c r="V241" s="25">
        <v>50.305</v>
      </c>
      <c r="W241" s="25">
        <v>46.443300000000001</v>
      </c>
      <c r="X241" s="25">
        <v>42.110199999999999</v>
      </c>
      <c r="Y241" s="25">
        <v>42.110199999999999</v>
      </c>
      <c r="Z241" s="25">
        <v>42.110199999999999</v>
      </c>
      <c r="AA241" s="25">
        <v>42.178100000000001</v>
      </c>
      <c r="AB241" s="27"/>
      <c r="AC241" s="27"/>
      <c r="AE241" s="19" t="str">
        <f t="shared" si="38"/>
        <v>·</v>
      </c>
      <c r="AF241" s="20">
        <f t="shared" si="39"/>
        <v>31.552175832204448</v>
      </c>
      <c r="AG241" s="20">
        <f t="shared" si="40"/>
        <v>20.815736921414327</v>
      </c>
      <c r="AH241" s="20">
        <f t="shared" si="41"/>
        <v>7.6235072071112198</v>
      </c>
      <c r="AI241" s="20">
        <f t="shared" si="45"/>
        <v>3.1126379396946682</v>
      </c>
      <c r="AJ241" s="20">
        <f t="shared" si="42"/>
        <v>31.552175832204448</v>
      </c>
      <c r="AK241" s="22">
        <v>5255920</v>
      </c>
      <c r="AL241" s="23">
        <v>165835712</v>
      </c>
      <c r="AM241" s="23">
        <v>109405848</v>
      </c>
      <c r="AN241" s="23">
        <v>40068544</v>
      </c>
      <c r="AO241" s="23">
        <v>16359776</v>
      </c>
      <c r="AP241" s="25">
        <v>48.587800000000001</v>
      </c>
      <c r="AQ241" s="25">
        <v>50.609900000000003</v>
      </c>
      <c r="AR241" s="25">
        <v>50.331499999999998</v>
      </c>
      <c r="AS241" s="25">
        <v>46.441499999999998</v>
      </c>
      <c r="AT241" s="25">
        <v>42.110199999999999</v>
      </c>
      <c r="AU241" s="25">
        <v>42.110199999999999</v>
      </c>
      <c r="AV241" s="25">
        <v>42.110199999999999</v>
      </c>
      <c r="AW241" s="25">
        <v>42.178100000000001</v>
      </c>
      <c r="AX241" s="27">
        <v>23.524000000000001</v>
      </c>
      <c r="AY241" s="27">
        <v>18.751000000000001</v>
      </c>
      <c r="BA241" s="28">
        <f t="shared" si="43"/>
        <v>2.1882276504392451E-4</v>
      </c>
      <c r="BB241" s="28"/>
      <c r="BD241" s="29"/>
      <c r="BE241" s="29"/>
      <c r="BF241" s="29"/>
      <c r="BG241" s="29"/>
      <c r="BI241" s="29"/>
      <c r="BJ241" s="29"/>
      <c r="BK241" s="29"/>
      <c r="BL241" s="29"/>
      <c r="BN241" s="29"/>
      <c r="BO241" s="29"/>
      <c r="BP241" s="29"/>
      <c r="BQ241" s="29"/>
      <c r="BS241" s="29"/>
      <c r="BT241" s="29"/>
      <c r="BU241" s="29"/>
      <c r="BV241" s="29"/>
    </row>
    <row r="242" spans="1:74" outlineLevel="1" x14ac:dyDescent="0.15">
      <c r="A242" s="31"/>
      <c r="B242" s="31" t="s">
        <v>373</v>
      </c>
      <c r="C242" s="32" t="s">
        <v>227</v>
      </c>
      <c r="D242" s="31">
        <v>5255920</v>
      </c>
      <c r="E242" s="33">
        <v>20</v>
      </c>
      <c r="F242" s="32">
        <v>1</v>
      </c>
      <c r="G242" s="32"/>
      <c r="I242" s="34" t="str">
        <f t="shared" si="33"/>
        <v>·</v>
      </c>
      <c r="J242" s="35">
        <f t="shared" si="34"/>
        <v>27.621962282530937</v>
      </c>
      <c r="K242" s="35">
        <f t="shared" si="35"/>
        <v>20.815736921414327</v>
      </c>
      <c r="L242" s="35">
        <f t="shared" si="36"/>
        <v>4.7843909344130049</v>
      </c>
      <c r="M242" s="35">
        <f t="shared" si="44"/>
        <v>2.0215406627193717</v>
      </c>
      <c r="N242" s="35">
        <f t="shared" si="37"/>
        <v>27.621962282530937</v>
      </c>
      <c r="O242" s="37">
        <v>5255920</v>
      </c>
      <c r="P242" s="38">
        <v>145178824</v>
      </c>
      <c r="Q242" s="38">
        <v>109405848</v>
      </c>
      <c r="R242" s="38">
        <v>25146376</v>
      </c>
      <c r="S242" s="38">
        <v>10625056</v>
      </c>
      <c r="T242" s="40">
        <v>41.497300000000003</v>
      </c>
      <c r="U242" s="40">
        <v>44.676299999999998</v>
      </c>
      <c r="V242" s="40">
        <v>44.447499999999998</v>
      </c>
      <c r="W242" s="40">
        <v>39.744199999999999</v>
      </c>
      <c r="X242" s="40">
        <v>34.151400000000002</v>
      </c>
      <c r="Y242" s="40">
        <v>34.151400000000002</v>
      </c>
      <c r="Z242" s="40">
        <v>34.151400000000002</v>
      </c>
      <c r="AA242" s="40">
        <v>34.219299999999997</v>
      </c>
      <c r="AB242" s="42"/>
      <c r="AC242" s="42"/>
      <c r="AE242" s="34" t="str">
        <f t="shared" si="38"/>
        <v>·</v>
      </c>
      <c r="AF242" s="35">
        <f t="shared" si="39"/>
        <v>27.601351618746101</v>
      </c>
      <c r="AG242" s="35">
        <f t="shared" si="40"/>
        <v>20.815736921414327</v>
      </c>
      <c r="AH242" s="35">
        <f t="shared" si="41"/>
        <v>4.7569612931703675</v>
      </c>
      <c r="AI242" s="35">
        <f t="shared" si="45"/>
        <v>2.0283596401771717</v>
      </c>
      <c r="AJ242" s="35">
        <f t="shared" si="42"/>
        <v>27.601351618746101</v>
      </c>
      <c r="AK242" s="37">
        <v>5255920</v>
      </c>
      <c r="AL242" s="38">
        <v>145070496</v>
      </c>
      <c r="AM242" s="38">
        <v>109405848</v>
      </c>
      <c r="AN242" s="38">
        <v>25002208</v>
      </c>
      <c r="AO242" s="38">
        <v>10660896</v>
      </c>
      <c r="AP242" s="40">
        <v>41.458399999999997</v>
      </c>
      <c r="AQ242" s="40">
        <v>44.747799999999998</v>
      </c>
      <c r="AR242" s="40">
        <v>44.528199999999998</v>
      </c>
      <c r="AS242" s="40">
        <v>39.750900000000001</v>
      </c>
      <c r="AT242" s="40">
        <v>34.151400000000002</v>
      </c>
      <c r="AU242" s="40">
        <v>34.151400000000002</v>
      </c>
      <c r="AV242" s="40">
        <v>34.151400000000002</v>
      </c>
      <c r="AW242" s="40">
        <v>34.219299999999997</v>
      </c>
      <c r="AX242" s="42">
        <v>25.318000000000001</v>
      </c>
      <c r="AY242" s="42">
        <v>19.015999999999998</v>
      </c>
      <c r="BA242" s="43">
        <f t="shared" si="43"/>
        <v>5.6272847495775213E-4</v>
      </c>
      <c r="BB242" s="43"/>
      <c r="BD242" s="44"/>
      <c r="BE242" s="44"/>
      <c r="BF242" s="44"/>
      <c r="BG242" s="44"/>
      <c r="BI242" s="44"/>
      <c r="BJ242" s="44"/>
      <c r="BK242" s="44"/>
      <c r="BL242" s="44"/>
      <c r="BN242" s="44"/>
      <c r="BO242" s="44"/>
      <c r="BP242" s="44"/>
      <c r="BQ242" s="44"/>
      <c r="BS242" s="44"/>
      <c r="BT242" s="44"/>
      <c r="BU242" s="44"/>
      <c r="BV242" s="44"/>
    </row>
    <row r="243" spans="1:74" outlineLevel="1" x14ac:dyDescent="0.15">
      <c r="A243" s="16"/>
      <c r="B243" s="16" t="s">
        <v>373</v>
      </c>
      <c r="C243" s="17" t="s">
        <v>228</v>
      </c>
      <c r="D243" s="16">
        <v>5255920</v>
      </c>
      <c r="E243" s="18">
        <v>20</v>
      </c>
      <c r="F243" s="17">
        <v>1</v>
      </c>
      <c r="G243" s="17"/>
      <c r="I243" s="19" t="str">
        <f t="shared" si="33"/>
        <v>·</v>
      </c>
      <c r="J243" s="20">
        <f t="shared" si="34"/>
        <v>24.927281998203931</v>
      </c>
      <c r="K243" s="20">
        <f t="shared" si="35"/>
        <v>20.815736921414327</v>
      </c>
      <c r="L243" s="20">
        <f t="shared" si="36"/>
        <v>2.8920044445120929</v>
      </c>
      <c r="M243" s="20">
        <f t="shared" si="44"/>
        <v>1.2192468682932769</v>
      </c>
      <c r="N243" s="20">
        <f t="shared" si="37"/>
        <v>24.927281998203931</v>
      </c>
      <c r="O243" s="22">
        <v>5255920</v>
      </c>
      <c r="P243" s="23">
        <v>131015800</v>
      </c>
      <c r="Q243" s="23">
        <v>109405848</v>
      </c>
      <c r="R243" s="23">
        <v>15200144</v>
      </c>
      <c r="S243" s="23">
        <v>6408264</v>
      </c>
      <c r="T243" s="25">
        <v>35.845399999999998</v>
      </c>
      <c r="U243" s="25">
        <v>40.283099999999997</v>
      </c>
      <c r="V243" s="25">
        <v>39.804699999999997</v>
      </c>
      <c r="W243" s="25">
        <v>34.618400000000001</v>
      </c>
      <c r="X243" s="25">
        <v>28.130800000000001</v>
      </c>
      <c r="Y243" s="25">
        <v>28.130800000000001</v>
      </c>
      <c r="Z243" s="25">
        <v>28.130800000000001</v>
      </c>
      <c r="AA243" s="25">
        <v>28.198699999999999</v>
      </c>
      <c r="AB243" s="27"/>
      <c r="AC243" s="27"/>
      <c r="AE243" s="19" t="str">
        <f t="shared" si="38"/>
        <v>·</v>
      </c>
      <c r="AF243" s="20">
        <f t="shared" si="39"/>
        <v>24.904298391147506</v>
      </c>
      <c r="AG243" s="20">
        <f t="shared" si="40"/>
        <v>20.815736921414327</v>
      </c>
      <c r="AH243" s="20">
        <f t="shared" si="41"/>
        <v>2.8626813193503708</v>
      </c>
      <c r="AI243" s="20">
        <f t="shared" si="45"/>
        <v>1.2255863863985754</v>
      </c>
      <c r="AJ243" s="20">
        <f t="shared" si="42"/>
        <v>24.904298391147506</v>
      </c>
      <c r="AK243" s="22">
        <v>5255920</v>
      </c>
      <c r="AL243" s="23">
        <v>130895000</v>
      </c>
      <c r="AM243" s="23">
        <v>109405848</v>
      </c>
      <c r="AN243" s="23">
        <v>15046024</v>
      </c>
      <c r="AO243" s="23">
        <v>6441584</v>
      </c>
      <c r="AP243" s="25">
        <v>35.779299999999999</v>
      </c>
      <c r="AQ243" s="25">
        <v>40.430599999999998</v>
      </c>
      <c r="AR243" s="25">
        <v>39.948999999999998</v>
      </c>
      <c r="AS243" s="25">
        <v>34.5931</v>
      </c>
      <c r="AT243" s="25">
        <v>28.130800000000001</v>
      </c>
      <c r="AU243" s="25">
        <v>28.130800000000001</v>
      </c>
      <c r="AV243" s="25">
        <v>28.130800000000001</v>
      </c>
      <c r="AW243" s="25">
        <v>28.198699999999999</v>
      </c>
      <c r="AX243" s="27">
        <v>22.806999999999999</v>
      </c>
      <c r="AY243" s="27">
        <v>18.47</v>
      </c>
      <c r="BA243" s="28">
        <f t="shared" si="43"/>
        <v>7.7065631315598182E-4</v>
      </c>
      <c r="BB243" s="28"/>
      <c r="BD243" s="29"/>
      <c r="BE243" s="29"/>
      <c r="BF243" s="29"/>
      <c r="BG243" s="29"/>
      <c r="BI243" s="29"/>
      <c r="BJ243" s="29"/>
      <c r="BK243" s="29"/>
      <c r="BL243" s="29"/>
      <c r="BN243" s="29"/>
      <c r="BO243" s="29"/>
      <c r="BP243" s="29"/>
      <c r="BQ243" s="29"/>
      <c r="BS243" s="29"/>
      <c r="BT243" s="29"/>
      <c r="BU243" s="29"/>
      <c r="BV243" s="29"/>
    </row>
    <row r="244" spans="1:74" outlineLevel="1" x14ac:dyDescent="0.15">
      <c r="A244" s="31"/>
      <c r="B244" s="46" t="s">
        <v>373</v>
      </c>
      <c r="C244" s="47" t="s">
        <v>229</v>
      </c>
      <c r="D244" s="46">
        <v>5255920</v>
      </c>
      <c r="E244" s="48">
        <v>20</v>
      </c>
      <c r="F244" s="47">
        <v>1</v>
      </c>
      <c r="G244" s="47"/>
      <c r="I244" s="49" t="str">
        <f t="shared" si="33"/>
        <v>·</v>
      </c>
      <c r="J244" s="50">
        <f t="shared" si="34"/>
        <v>22.943859115055023</v>
      </c>
      <c r="K244" s="50">
        <f t="shared" si="35"/>
        <v>20.815736921414327</v>
      </c>
      <c r="L244" s="50">
        <f t="shared" si="36"/>
        <v>1.5013211768824488</v>
      </c>
      <c r="M244" s="50">
        <f t="shared" si="44"/>
        <v>0.62650725277401487</v>
      </c>
      <c r="N244" s="50">
        <f t="shared" si="37"/>
        <v>22.943859115055023</v>
      </c>
      <c r="O244" s="52">
        <v>5255920</v>
      </c>
      <c r="P244" s="53">
        <v>120591088</v>
      </c>
      <c r="Q244" s="53">
        <v>109405848</v>
      </c>
      <c r="R244" s="53">
        <v>7890824</v>
      </c>
      <c r="S244" s="53">
        <v>3292872</v>
      </c>
      <c r="T244" s="55">
        <v>29.314399999999999</v>
      </c>
      <c r="U244" s="55">
        <v>36.035600000000002</v>
      </c>
      <c r="V244" s="55">
        <v>35.3127</v>
      </c>
      <c r="W244" s="55">
        <v>28.837299999999999</v>
      </c>
      <c r="X244" s="55">
        <v>21.686399999999999</v>
      </c>
      <c r="Y244" s="55">
        <v>21.686399999999999</v>
      </c>
      <c r="Z244" s="55">
        <v>21.686399999999999</v>
      </c>
      <c r="AA244" s="55">
        <v>21.754300000000001</v>
      </c>
      <c r="AB244" s="57"/>
      <c r="AC244" s="57"/>
      <c r="AE244" s="49" t="str">
        <f t="shared" si="38"/>
        <v>·</v>
      </c>
      <c r="AF244" s="50">
        <f t="shared" si="39"/>
        <v>22.917767393719842</v>
      </c>
      <c r="AG244" s="50">
        <f t="shared" si="40"/>
        <v>20.815736921414327</v>
      </c>
      <c r="AH244" s="50">
        <f t="shared" si="41"/>
        <v>1.4765765080138207</v>
      </c>
      <c r="AI244" s="50">
        <f t="shared" si="45"/>
        <v>0.62516020030746278</v>
      </c>
      <c r="AJ244" s="50">
        <f t="shared" si="42"/>
        <v>22.917767393719842</v>
      </c>
      <c r="AK244" s="52">
        <v>5255920</v>
      </c>
      <c r="AL244" s="53">
        <v>120453952</v>
      </c>
      <c r="AM244" s="53">
        <v>109405848</v>
      </c>
      <c r="AN244" s="53">
        <v>7760768</v>
      </c>
      <c r="AO244" s="53">
        <v>3285792</v>
      </c>
      <c r="AP244" s="55">
        <v>29.270399999999999</v>
      </c>
      <c r="AQ244" s="55">
        <v>36.236899999999999</v>
      </c>
      <c r="AR244" s="55">
        <v>35.5032</v>
      </c>
      <c r="AS244" s="55">
        <v>28.7651</v>
      </c>
      <c r="AT244" s="55">
        <v>21.686399999999999</v>
      </c>
      <c r="AU244" s="55">
        <v>21.686399999999999</v>
      </c>
      <c r="AV244" s="55">
        <v>21.686399999999999</v>
      </c>
      <c r="AW244" s="55">
        <v>21.754300000000001</v>
      </c>
      <c r="AX244" s="57">
        <v>22.603999999999999</v>
      </c>
      <c r="AY244" s="57">
        <v>18.236000000000001</v>
      </c>
      <c r="BA244" s="58">
        <f t="shared" si="43"/>
        <v>1.0328939830613892E-3</v>
      </c>
      <c r="BB244" s="58"/>
      <c r="BD244" s="59"/>
      <c r="BE244" s="59"/>
      <c r="BF244" s="59"/>
      <c r="BG244" s="59"/>
      <c r="BI244" s="59"/>
      <c r="BJ244" s="59"/>
      <c r="BK244" s="59"/>
      <c r="BL244" s="59"/>
      <c r="BN244" s="59"/>
      <c r="BO244" s="59"/>
      <c r="BP244" s="59"/>
      <c r="BQ244" s="59"/>
      <c r="BS244" s="59"/>
      <c r="BT244" s="59"/>
      <c r="BU244" s="59"/>
      <c r="BV244" s="59"/>
    </row>
    <row r="245" spans="1:74" x14ac:dyDescent="0.15">
      <c r="A245" s="16"/>
      <c r="B245" s="16" t="s">
        <v>376</v>
      </c>
      <c r="C245" s="17" t="s">
        <v>225</v>
      </c>
      <c r="D245" s="16">
        <v>7148516</v>
      </c>
      <c r="E245" s="18">
        <v>21</v>
      </c>
      <c r="F245" s="17">
        <v>1</v>
      </c>
      <c r="G245" s="17"/>
      <c r="I245" s="19" t="str">
        <f t="shared" si="33"/>
        <v>·</v>
      </c>
      <c r="J245" s="20">
        <f t="shared" si="34"/>
        <v>33.578080821250175</v>
      </c>
      <c r="K245" s="20">
        <f t="shared" si="35"/>
        <v>20.74781842832834</v>
      </c>
      <c r="L245" s="20">
        <f t="shared" si="36"/>
        <v>8.9320099444416154</v>
      </c>
      <c r="M245" s="20">
        <f t="shared" si="44"/>
        <v>3.8979704319050277</v>
      </c>
      <c r="N245" s="20">
        <f t="shared" si="37"/>
        <v>33.578080821250175</v>
      </c>
      <c r="O245" s="22">
        <v>7148516</v>
      </c>
      <c r="P245" s="23">
        <v>240033448</v>
      </c>
      <c r="Q245" s="23">
        <v>148316112</v>
      </c>
      <c r="R245" s="23">
        <v>63850616</v>
      </c>
      <c r="S245" s="23">
        <v>27864704</v>
      </c>
      <c r="T245" s="25">
        <v>53.363500000000002</v>
      </c>
      <c r="U245" s="25">
        <v>55.131300000000003</v>
      </c>
      <c r="V245" s="25">
        <v>55.027099999999997</v>
      </c>
      <c r="W245" s="25">
        <v>51.204300000000003</v>
      </c>
      <c r="X245" s="25">
        <v>48.130800000000001</v>
      </c>
      <c r="Y245" s="25">
        <v>48.130800000000001</v>
      </c>
      <c r="Z245" s="25">
        <v>48.130800000000001</v>
      </c>
      <c r="AA245" s="25">
        <v>48.198700000000002</v>
      </c>
      <c r="AB245" s="27"/>
      <c r="AC245" s="27"/>
      <c r="AE245" s="19" t="str">
        <f t="shared" si="38"/>
        <v>·</v>
      </c>
      <c r="AF245" s="20">
        <f t="shared" si="39"/>
        <v>33.554973367899017</v>
      </c>
      <c r="AG245" s="20">
        <f t="shared" si="40"/>
        <v>20.74781842832834</v>
      </c>
      <c r="AH245" s="20">
        <f t="shared" si="41"/>
        <v>8.9087995326582465</v>
      </c>
      <c r="AI245" s="20">
        <f t="shared" si="45"/>
        <v>3.8980733903372391</v>
      </c>
      <c r="AJ245" s="20">
        <f t="shared" si="42"/>
        <v>33.554973367899017</v>
      </c>
      <c r="AK245" s="22">
        <v>7148516</v>
      </c>
      <c r="AL245" s="23">
        <v>239868264</v>
      </c>
      <c r="AM245" s="23">
        <v>148316112</v>
      </c>
      <c r="AN245" s="23">
        <v>63684696</v>
      </c>
      <c r="AO245" s="23">
        <v>27865440</v>
      </c>
      <c r="AP245" s="25">
        <v>53.348599999999998</v>
      </c>
      <c r="AQ245" s="25">
        <v>55.146599999999999</v>
      </c>
      <c r="AR245" s="25">
        <v>55.065300000000001</v>
      </c>
      <c r="AS245" s="25">
        <v>51.199300000000001</v>
      </c>
      <c r="AT245" s="25">
        <v>48.130800000000001</v>
      </c>
      <c r="AU245" s="25">
        <v>48.130800000000001</v>
      </c>
      <c r="AV245" s="25">
        <v>48.130800000000001</v>
      </c>
      <c r="AW245" s="25">
        <v>48.198700000000002</v>
      </c>
      <c r="AX245" s="27">
        <v>32.136000000000003</v>
      </c>
      <c r="AY245" s="27">
        <v>25.911000000000001</v>
      </c>
      <c r="BA245" s="28">
        <f t="shared" si="43"/>
        <v>4.2551194395568093E-4</v>
      </c>
      <c r="BB245" s="28">
        <f t="array" ref="BB245">AVERAGE(AM245:AM249/AL245:AL249) - AVERAGE(Q245:Q249/P245:P249)</f>
        <v>8.4466265224525383E-4</v>
      </c>
      <c r="BD245" s="29">
        <f>IF( OR(ISBLANK(R245:R249),ISBLANK(AN245:AN249), ISBLANK(T245:T249),ISBLANK(AP245:AP249)), "·", bdRateExtend( R245:R249,T245:T249, AN245:AN249,AP245:AP249))</f>
        <v>-7.7519140092303651E-3</v>
      </c>
      <c r="BE245" s="29">
        <f>IF( OR(ISBLANK(R245:R249),ISBLANK(AN245:AN249), ISBLANK(U245:U249),ISBLANK(AQ245:AQ249)), "·", bdRateExtend( R245:R249,U245:U249, AN245:AN249,AQ245:AQ249))</f>
        <v>-2.4817121738029524E-2</v>
      </c>
      <c r="BF245" s="29">
        <f>IF( OR(ISBLANK(R245:R249),ISBLANK(AN245:AN249), ISBLANK(V245:V249),ISBLANK(AR245:AR249)), "·", bdRateExtend( R245:R249,V245:V249, AN245:AN249,AR245:AR249))</f>
        <v>-2.3681262247410295E-2</v>
      </c>
      <c r="BG245" s="29">
        <f>IF( OR(ISBLANK(S245:S249),ISBLANK(AO245:AO249), ISBLANK(W245:W249),ISBLANK(AS245:AS249)), "·", bdRateExtend( S245:S249,W245:W249, AO245:AO249,AS245:AS249))</f>
        <v>-2.4073244036006969E-3</v>
      </c>
      <c r="BI245" s="29">
        <f>IF( OR(ISBLANK(R245:R249),ISBLANK(AN245:AN249), ISBLANK(X245:X249),ISBLANK(AT245:AT249)), "·", bdRateExtend( R245:R249,X245:X249, AN245:AN249,AT245:AT249))</f>
        <v>-8.6258885457555223E-3</v>
      </c>
      <c r="BJ245" s="29">
        <f>IF( OR(ISBLANK(R245:R249),ISBLANK(AN245:AN249), ISBLANK(Y245:Y249),ISBLANK(AU245:AU249)), "·", bdRateExtend( R245:R249,Y245:Y249, AN245:AN249,AU245:AU249))</f>
        <v>-8.6258885457555223E-3</v>
      </c>
      <c r="BK245" s="29">
        <f>IF( OR(ISBLANK(R245:R249),ISBLANK(AN245:AN249), ISBLANK(Z245:Z249),ISBLANK(AV245:AV249)), "·", bdRateExtend( R245:R249,Z245:Z249, AN245:AN249,AV245:AV249))</f>
        <v>-8.6258885457555223E-3</v>
      </c>
      <c r="BL245" s="29">
        <f>IF( OR(ISBLANK(S245:S249),ISBLANK(AO245:AO249), ISBLANK(AA245:AA249),ISBLANK(AW245:AW249)), "·", bdRateExtend( S245:S249,AA245:AA249, AO245:AO249,AW245:AW249))</f>
        <v>-1.4342684435343367E-3</v>
      </c>
      <c r="BN245" s="29">
        <f>IF( OR(ISBLANK(P245:P249),ISBLANK(AL245:AL249), ISBLANK(T245:T249),ISBLANK(AP245:AP249)), "·", bdRateExtend( P245:P249,T245:T249, AL245:AL249,AP245:AP249))</f>
        <v>-9.1086508229087926E-4</v>
      </c>
      <c r="BO245" s="29">
        <f>IF( OR(ISBLANK(P245:P249),ISBLANK(AL245:AL249), ISBLANK(U245:U249),ISBLANK(AQ245:AQ249)), "·", bdRateExtend( P245:P249,U245:U249, AL245:AL249,AQ245:AQ249))</f>
        <v>-3.6248709937125589E-3</v>
      </c>
      <c r="BP245" s="29">
        <f>IF( OR(ISBLANK(P245:P249),ISBLANK(AL245:AL249), ISBLANK(V245:V249),ISBLANK(AR245:AR249)), "·", bdRateExtend( P245:P249,V245:V249, AL245:AL249,AR245:AR249))</f>
        <v>-3.552091975810856E-3</v>
      </c>
      <c r="BQ245" s="29">
        <f>IF( OR(ISBLANK(P245:P249),ISBLANK(AL245:AL249), ISBLANK(W245:W249),ISBLANK(AS245:AS249)), "·", bdRateExtend( P245:P249,W245:W249, AL245:AL249,AS245:AS249))</f>
        <v>-1.314111850801436E-3</v>
      </c>
      <c r="BS245" s="29">
        <f>IF( OR(ISBLANK(P245:P249),ISBLANK(AL245:AL249), ISBLANK(X245:X249),ISBLANK(AT245:AT249)), "·", bdRateExtend( P245:P249,X245:X249, AL245:AL249,AT245:AT249))</f>
        <v>-1.1297986497531554E-3</v>
      </c>
      <c r="BT245" s="29">
        <f>IF( OR(ISBLANK(P245:P249),ISBLANK(AL245:AL249), ISBLANK(Y245:Y249),ISBLANK(AU245:AU249)), "·", bdRateExtend( P245:P249,Y245:Y249, AL245:AL249,AU245:AU249))</f>
        <v>-1.1297986497531554E-3</v>
      </c>
      <c r="BU245" s="29">
        <f>IF( OR(ISBLANK(P245:P249),ISBLANK(AL245:AL249), ISBLANK(Z245:Z249),ISBLANK(AV245:AV249)), "·", bdRateExtend( P245:P249,Z245:Z249, AL245:AL249,AV245:AV249))</f>
        <v>-1.1297986497531554E-3</v>
      </c>
      <c r="BV245" s="29">
        <f>IF( OR(ISBLANK(P245:P249),ISBLANK(AL245:AL249), ISBLANK(AA245:AA249),ISBLANK(AW245:AW249)), "·", bdRateExtend( P245:P249,AA245:AA249, AL245:AL249,AW245:AW249))</f>
        <v>-1.1297986497531554E-3</v>
      </c>
    </row>
    <row r="246" spans="1:74" outlineLevel="1" x14ac:dyDescent="0.15">
      <c r="A246" s="31"/>
      <c r="B246" s="31" t="s">
        <v>376</v>
      </c>
      <c r="C246" s="32" t="s">
        <v>226</v>
      </c>
      <c r="D246" s="31">
        <v>7148516</v>
      </c>
      <c r="E246" s="33">
        <v>21</v>
      </c>
      <c r="F246" s="32">
        <v>1</v>
      </c>
      <c r="G246" s="32"/>
      <c r="I246" s="34" t="str">
        <f t="shared" si="33"/>
        <v>·</v>
      </c>
      <c r="J246" s="35">
        <f t="shared" si="34"/>
        <v>30.176471871924186</v>
      </c>
      <c r="K246" s="35">
        <f t="shared" si="35"/>
        <v>20.74781842832834</v>
      </c>
      <c r="L246" s="35">
        <f t="shared" si="36"/>
        <v>6.4814078894136911</v>
      </c>
      <c r="M246" s="35">
        <f t="shared" si="44"/>
        <v>2.9469624184935728</v>
      </c>
      <c r="N246" s="35">
        <f t="shared" si="37"/>
        <v>30.176471871924186</v>
      </c>
      <c r="O246" s="37">
        <v>7148516</v>
      </c>
      <c r="P246" s="38">
        <v>215716992</v>
      </c>
      <c r="Q246" s="38">
        <v>148316112</v>
      </c>
      <c r="R246" s="38">
        <v>46332448</v>
      </c>
      <c r="S246" s="38">
        <v>21066408</v>
      </c>
      <c r="T246" s="40">
        <v>48.6402</v>
      </c>
      <c r="U246" s="40">
        <v>50.680199999999999</v>
      </c>
      <c r="V246" s="40">
        <v>50.400799999999997</v>
      </c>
      <c r="W246" s="40">
        <v>46.440100000000001</v>
      </c>
      <c r="X246" s="40">
        <v>42.110199999999999</v>
      </c>
      <c r="Y246" s="40">
        <v>42.110199999999999</v>
      </c>
      <c r="Z246" s="40">
        <v>42.110199999999999</v>
      </c>
      <c r="AA246" s="40">
        <v>42.178100000000001</v>
      </c>
      <c r="AB246" s="42"/>
      <c r="AC246" s="42"/>
      <c r="AE246" s="34" t="str">
        <f t="shared" si="38"/>
        <v>·</v>
      </c>
      <c r="AF246" s="35">
        <f t="shared" si="39"/>
        <v>30.139676542655845</v>
      </c>
      <c r="AG246" s="35">
        <f t="shared" si="40"/>
        <v>20.74781842832834</v>
      </c>
      <c r="AH246" s="35">
        <f t="shared" si="41"/>
        <v>6.4467847592423375</v>
      </c>
      <c r="AI246" s="35">
        <f t="shared" si="45"/>
        <v>2.9447902193965851</v>
      </c>
      <c r="AJ246" s="35">
        <f t="shared" si="42"/>
        <v>30.139676542655845</v>
      </c>
      <c r="AK246" s="37">
        <v>7148516</v>
      </c>
      <c r="AL246" s="38">
        <v>215453960</v>
      </c>
      <c r="AM246" s="38">
        <v>148316112</v>
      </c>
      <c r="AN246" s="38">
        <v>46084944</v>
      </c>
      <c r="AO246" s="38">
        <v>21050880</v>
      </c>
      <c r="AP246" s="40">
        <v>48.637</v>
      </c>
      <c r="AQ246" s="40">
        <v>50.723100000000002</v>
      </c>
      <c r="AR246" s="40">
        <v>50.450400000000002</v>
      </c>
      <c r="AS246" s="40">
        <v>46.444299999999998</v>
      </c>
      <c r="AT246" s="40">
        <v>42.110199999999999</v>
      </c>
      <c r="AU246" s="40">
        <v>42.110199999999999</v>
      </c>
      <c r="AV246" s="40">
        <v>42.110199999999999</v>
      </c>
      <c r="AW246" s="40">
        <v>42.178100000000001</v>
      </c>
      <c r="AX246" s="42">
        <v>31.667999999999999</v>
      </c>
      <c r="AY246" s="42">
        <v>25.506</v>
      </c>
      <c r="BA246" s="43">
        <f t="shared" si="43"/>
        <v>8.3937896770847065E-4</v>
      </c>
      <c r="BB246" s="43"/>
      <c r="BD246" s="44"/>
      <c r="BE246" s="44"/>
      <c r="BF246" s="44"/>
      <c r="BG246" s="44"/>
      <c r="BI246" s="44"/>
      <c r="BJ246" s="44"/>
      <c r="BK246" s="44"/>
      <c r="BL246" s="44"/>
      <c r="BN246" s="44"/>
      <c r="BO246" s="44"/>
      <c r="BP246" s="44"/>
      <c r="BQ246" s="44"/>
      <c r="BS246" s="44"/>
      <c r="BT246" s="44"/>
      <c r="BU246" s="44"/>
      <c r="BV246" s="44"/>
    </row>
    <row r="247" spans="1:74" outlineLevel="1" x14ac:dyDescent="0.15">
      <c r="A247" s="16"/>
      <c r="B247" s="16" t="s">
        <v>376</v>
      </c>
      <c r="C247" s="17" t="s">
        <v>227</v>
      </c>
      <c r="D247" s="16">
        <v>7148516</v>
      </c>
      <c r="E247" s="18">
        <v>21</v>
      </c>
      <c r="F247" s="17">
        <v>1</v>
      </c>
      <c r="G247" s="17"/>
      <c r="I247" s="19" t="str">
        <f t="shared" si="33"/>
        <v>·</v>
      </c>
      <c r="J247" s="20">
        <f t="shared" si="34"/>
        <v>26.428520828658705</v>
      </c>
      <c r="K247" s="20">
        <f t="shared" si="35"/>
        <v>20.74781842832834</v>
      </c>
      <c r="L247" s="20">
        <f t="shared" si="36"/>
        <v>3.8056995326022913</v>
      </c>
      <c r="M247" s="20">
        <f t="shared" si="44"/>
        <v>1.8747197320394891</v>
      </c>
      <c r="N247" s="20">
        <f t="shared" si="37"/>
        <v>26.428520828658705</v>
      </c>
      <c r="O247" s="22">
        <v>7148516</v>
      </c>
      <c r="P247" s="23">
        <v>188924704</v>
      </c>
      <c r="Q247" s="23">
        <v>148316112</v>
      </c>
      <c r="R247" s="23">
        <v>27205104</v>
      </c>
      <c r="S247" s="23">
        <v>13401464</v>
      </c>
      <c r="T247" s="25">
        <v>41.628300000000003</v>
      </c>
      <c r="U247" s="25">
        <v>45.064799999999998</v>
      </c>
      <c r="V247" s="25">
        <v>44.784199999999998</v>
      </c>
      <c r="W247" s="25">
        <v>39.790799999999997</v>
      </c>
      <c r="X247" s="25">
        <v>34.151400000000002</v>
      </c>
      <c r="Y247" s="25">
        <v>34.151400000000002</v>
      </c>
      <c r="Z247" s="25">
        <v>34.151400000000002</v>
      </c>
      <c r="AA247" s="25">
        <v>34.219299999999997</v>
      </c>
      <c r="AB247" s="27"/>
      <c r="AC247" s="27"/>
      <c r="AE247" s="19" t="str">
        <f t="shared" si="38"/>
        <v>·</v>
      </c>
      <c r="AF247" s="20">
        <f t="shared" si="39"/>
        <v>26.39831148171173</v>
      </c>
      <c r="AG247" s="20">
        <f t="shared" si="40"/>
        <v>20.74781842832834</v>
      </c>
      <c r="AH247" s="20">
        <f t="shared" si="41"/>
        <v>3.7776187393299532</v>
      </c>
      <c r="AI247" s="20">
        <f t="shared" si="45"/>
        <v>1.8725911783648523</v>
      </c>
      <c r="AJ247" s="20">
        <f t="shared" si="42"/>
        <v>26.39831148171173</v>
      </c>
      <c r="AK247" s="22">
        <v>7148516</v>
      </c>
      <c r="AL247" s="23">
        <v>188708752</v>
      </c>
      <c r="AM247" s="23">
        <v>148316112</v>
      </c>
      <c r="AN247" s="23">
        <v>27004368</v>
      </c>
      <c r="AO247" s="23">
        <v>13386248</v>
      </c>
      <c r="AP247" s="25">
        <v>41.603700000000003</v>
      </c>
      <c r="AQ247" s="25">
        <v>45.2044</v>
      </c>
      <c r="AR247" s="25">
        <v>44.920900000000003</v>
      </c>
      <c r="AS247" s="25">
        <v>39.802599999999998</v>
      </c>
      <c r="AT247" s="25">
        <v>34.151400000000002</v>
      </c>
      <c r="AU247" s="25">
        <v>34.151400000000002</v>
      </c>
      <c r="AV247" s="25">
        <v>34.151400000000002</v>
      </c>
      <c r="AW247" s="25">
        <v>34.219299999999997</v>
      </c>
      <c r="AX247" s="27">
        <v>31.044</v>
      </c>
      <c r="AY247" s="27">
        <v>25.63</v>
      </c>
      <c r="BA247" s="28">
        <f t="shared" si="43"/>
        <v>8.9838971181854799E-4</v>
      </c>
      <c r="BB247" s="28"/>
      <c r="BD247" s="29"/>
      <c r="BE247" s="29"/>
      <c r="BF247" s="29"/>
      <c r="BG247" s="29"/>
      <c r="BI247" s="29"/>
      <c r="BJ247" s="29"/>
      <c r="BK247" s="29"/>
      <c r="BL247" s="29"/>
      <c r="BN247" s="29"/>
      <c r="BO247" s="29"/>
      <c r="BP247" s="29"/>
      <c r="BQ247" s="29"/>
      <c r="BS247" s="29"/>
      <c r="BT247" s="29"/>
      <c r="BU247" s="29"/>
      <c r="BV247" s="29"/>
    </row>
    <row r="248" spans="1:74" outlineLevel="1" x14ac:dyDescent="0.15">
      <c r="A248" s="31"/>
      <c r="B248" s="31" t="s">
        <v>376</v>
      </c>
      <c r="C248" s="32" t="s">
        <v>228</v>
      </c>
      <c r="D248" s="31">
        <v>7148516</v>
      </c>
      <c r="E248" s="33">
        <v>21</v>
      </c>
      <c r="F248" s="32">
        <v>1</v>
      </c>
      <c r="G248" s="32"/>
      <c r="I248" s="34" t="str">
        <f t="shared" si="33"/>
        <v>·</v>
      </c>
      <c r="J248" s="35">
        <f t="shared" si="34"/>
        <v>24.126993630566119</v>
      </c>
      <c r="K248" s="35">
        <f t="shared" si="35"/>
        <v>20.74781842832834</v>
      </c>
      <c r="L248" s="35">
        <f t="shared" si="36"/>
        <v>2.2515621424082983</v>
      </c>
      <c r="M248" s="35">
        <f t="shared" si="44"/>
        <v>1.1273299241408987</v>
      </c>
      <c r="N248" s="35">
        <f t="shared" si="37"/>
        <v>24.126993630566119</v>
      </c>
      <c r="O248" s="37">
        <v>7148516</v>
      </c>
      <c r="P248" s="38">
        <v>172472200</v>
      </c>
      <c r="Q248" s="38">
        <v>148316112</v>
      </c>
      <c r="R248" s="38">
        <v>16095328</v>
      </c>
      <c r="S248" s="38">
        <v>8058736</v>
      </c>
      <c r="T248" s="40">
        <v>35.9377</v>
      </c>
      <c r="U248" s="40">
        <v>40.737299999999998</v>
      </c>
      <c r="V248" s="40">
        <v>40.2027</v>
      </c>
      <c r="W248" s="40">
        <v>34.634500000000003</v>
      </c>
      <c r="X248" s="40">
        <v>28.130800000000001</v>
      </c>
      <c r="Y248" s="40">
        <v>28.130800000000001</v>
      </c>
      <c r="Z248" s="40">
        <v>28.130800000000001</v>
      </c>
      <c r="AA248" s="40">
        <v>28.198699999999999</v>
      </c>
      <c r="AB248" s="42"/>
      <c r="AC248" s="42"/>
      <c r="AE248" s="34" t="str">
        <f t="shared" si="38"/>
        <v>·</v>
      </c>
      <c r="AF248" s="35">
        <f t="shared" si="39"/>
        <v>24.099718598937176</v>
      </c>
      <c r="AG248" s="35">
        <f t="shared" si="40"/>
        <v>20.74781842832834</v>
      </c>
      <c r="AH248" s="35">
        <f t="shared" si="41"/>
        <v>2.225899753179541</v>
      </c>
      <c r="AI248" s="35">
        <f t="shared" si="45"/>
        <v>1.1257172817407137</v>
      </c>
      <c r="AJ248" s="35">
        <f t="shared" si="42"/>
        <v>24.099718598937176</v>
      </c>
      <c r="AK248" s="37">
        <v>7148516</v>
      </c>
      <c r="AL248" s="38">
        <v>172277224</v>
      </c>
      <c r="AM248" s="38">
        <v>148316112</v>
      </c>
      <c r="AN248" s="38">
        <v>15911880</v>
      </c>
      <c r="AO248" s="38">
        <v>8047208</v>
      </c>
      <c r="AP248" s="40">
        <v>35.923900000000003</v>
      </c>
      <c r="AQ248" s="40">
        <v>40.943300000000001</v>
      </c>
      <c r="AR248" s="40">
        <v>40.411900000000003</v>
      </c>
      <c r="AS248" s="40">
        <v>34.6676</v>
      </c>
      <c r="AT248" s="40">
        <v>28.130800000000001</v>
      </c>
      <c r="AU248" s="40">
        <v>28.130800000000001</v>
      </c>
      <c r="AV248" s="40">
        <v>28.130800000000001</v>
      </c>
      <c r="AW248" s="40">
        <v>28.198699999999999</v>
      </c>
      <c r="AX248" s="42">
        <v>30.498000000000001</v>
      </c>
      <c r="AY248" s="42">
        <v>25.49</v>
      </c>
      <c r="BA248" s="43">
        <f t="shared" si="43"/>
        <v>9.7324576016599718E-4</v>
      </c>
      <c r="BB248" s="43"/>
      <c r="BD248" s="44"/>
      <c r="BE248" s="44"/>
      <c r="BF248" s="44"/>
      <c r="BG248" s="44"/>
      <c r="BI248" s="44"/>
      <c r="BJ248" s="44"/>
      <c r="BK248" s="44"/>
      <c r="BL248" s="44"/>
      <c r="BN248" s="44"/>
      <c r="BO248" s="44"/>
      <c r="BP248" s="44"/>
      <c r="BQ248" s="44"/>
      <c r="BS248" s="44"/>
      <c r="BT248" s="44"/>
      <c r="BU248" s="44"/>
      <c r="BV248" s="44"/>
    </row>
    <row r="249" spans="1:74" outlineLevel="1" x14ac:dyDescent="0.15">
      <c r="A249" s="65"/>
      <c r="B249" s="65" t="s">
        <v>376</v>
      </c>
      <c r="C249" s="67" t="s">
        <v>229</v>
      </c>
      <c r="D249" s="65">
        <v>7148516</v>
      </c>
      <c r="E249" s="66">
        <v>21</v>
      </c>
      <c r="F249" s="67">
        <v>1</v>
      </c>
      <c r="G249" s="67"/>
      <c r="I249" s="69" t="str">
        <f t="shared" si="33"/>
        <v>·</v>
      </c>
      <c r="J249" s="70">
        <f t="shared" si="34"/>
        <v>22.50929955252251</v>
      </c>
      <c r="K249" s="70">
        <f t="shared" si="35"/>
        <v>20.74781842832834</v>
      </c>
      <c r="L249" s="70">
        <f t="shared" si="36"/>
        <v>1.1648235801668487</v>
      </c>
      <c r="M249" s="70">
        <f t="shared" si="44"/>
        <v>0.59637440833873767</v>
      </c>
      <c r="N249" s="70">
        <f t="shared" si="37"/>
        <v>22.50929955252251</v>
      </c>
      <c r="O249" s="71">
        <v>7148516</v>
      </c>
      <c r="P249" s="72">
        <v>160908088</v>
      </c>
      <c r="Q249" s="72">
        <v>148316112</v>
      </c>
      <c r="R249" s="72">
        <v>8326760</v>
      </c>
      <c r="S249" s="72">
        <v>4263192</v>
      </c>
      <c r="T249" s="77">
        <v>29.489799999999999</v>
      </c>
      <c r="U249" s="77">
        <v>36.135300000000001</v>
      </c>
      <c r="V249" s="77">
        <v>35.448500000000003</v>
      </c>
      <c r="W249" s="77">
        <v>28.6492</v>
      </c>
      <c r="X249" s="77">
        <v>21.686399999999999</v>
      </c>
      <c r="Y249" s="77">
        <v>21.686399999999999</v>
      </c>
      <c r="Z249" s="77">
        <v>21.686399999999999</v>
      </c>
      <c r="AA249" s="77">
        <v>21.754300000000001</v>
      </c>
      <c r="AB249" s="73"/>
      <c r="AC249" s="73"/>
      <c r="AE249" s="69" t="str">
        <f t="shared" si="38"/>
        <v>·</v>
      </c>
      <c r="AF249" s="70">
        <f t="shared" si="39"/>
        <v>22.482791113568187</v>
      </c>
      <c r="AG249" s="70">
        <f t="shared" si="40"/>
        <v>20.74781842832834</v>
      </c>
      <c r="AH249" s="70">
        <f t="shared" si="41"/>
        <v>1.1417821545059141</v>
      </c>
      <c r="AI249" s="70">
        <f t="shared" si="45"/>
        <v>0.59290739504534928</v>
      </c>
      <c r="AJ249" s="70">
        <f t="shared" si="42"/>
        <v>22.482791113568187</v>
      </c>
      <c r="AK249" s="71">
        <v>7148516</v>
      </c>
      <c r="AL249" s="72">
        <v>160718592</v>
      </c>
      <c r="AM249" s="72">
        <v>148316112</v>
      </c>
      <c r="AN249" s="72">
        <v>8162048</v>
      </c>
      <c r="AO249" s="72">
        <v>4238408</v>
      </c>
      <c r="AP249" s="77">
        <v>29.4726</v>
      </c>
      <c r="AQ249" s="77">
        <v>36.442</v>
      </c>
      <c r="AR249" s="77">
        <v>35.673699999999997</v>
      </c>
      <c r="AS249" s="77">
        <v>28.614599999999999</v>
      </c>
      <c r="AT249" s="77">
        <v>21.686399999999999</v>
      </c>
      <c r="AU249" s="77">
        <v>21.686399999999999</v>
      </c>
      <c r="AV249" s="77">
        <v>21.686399999999999</v>
      </c>
      <c r="AW249" s="77">
        <v>21.754300000000001</v>
      </c>
      <c r="AX249" s="73">
        <v>30.966000000000001</v>
      </c>
      <c r="AY249" s="73">
        <v>24.273</v>
      </c>
      <c r="BA249" s="68">
        <f t="shared" si="43"/>
        <v>1.0867868775771283E-3</v>
      </c>
      <c r="BB249" s="68"/>
      <c r="BD249" s="74"/>
      <c r="BE249" s="74"/>
      <c r="BF249" s="74"/>
      <c r="BG249" s="74"/>
      <c r="BI249" s="74"/>
      <c r="BJ249" s="74"/>
      <c r="BK249" s="74"/>
      <c r="BL249" s="74"/>
      <c r="BN249" s="74"/>
      <c r="BO249" s="74"/>
      <c r="BP249" s="74"/>
      <c r="BQ249" s="74"/>
      <c r="BS249" s="74"/>
      <c r="BT249" s="74"/>
      <c r="BU249" s="74"/>
      <c r="BV249" s="74"/>
    </row>
    <row r="250" spans="1:74" x14ac:dyDescent="0.15">
      <c r="A250" s="31" t="s">
        <v>380</v>
      </c>
      <c r="B250" s="31" t="s">
        <v>379</v>
      </c>
      <c r="C250" s="32" t="s">
        <v>225</v>
      </c>
      <c r="D250" s="31">
        <v>123940658</v>
      </c>
      <c r="E250" s="33">
        <v>18</v>
      </c>
      <c r="F250" s="32">
        <v>1500</v>
      </c>
      <c r="G250" s="32">
        <v>10</v>
      </c>
      <c r="I250" s="34">
        <f t="shared" si="33"/>
        <v>17.542766933333333</v>
      </c>
      <c r="J250" s="35">
        <f t="shared" si="34"/>
        <v>21.231249554928134</v>
      </c>
      <c r="K250" s="35">
        <f t="shared" si="35"/>
        <v>17.394479541975645</v>
      </c>
      <c r="L250" s="36"/>
      <c r="M250" s="35">
        <f t="shared" si="44"/>
        <v>3.8148885735300841</v>
      </c>
      <c r="N250" s="35">
        <f t="shared" si="37"/>
        <v>21.231249554928134</v>
      </c>
      <c r="O250" s="37">
        <v>123940658</v>
      </c>
      <c r="P250" s="38">
        <v>2631415040</v>
      </c>
      <c r="Q250" s="38">
        <v>2155883240</v>
      </c>
      <c r="R250" s="39"/>
      <c r="S250" s="38">
        <v>472819800</v>
      </c>
      <c r="T250" s="41"/>
      <c r="U250" s="41"/>
      <c r="V250" s="41"/>
      <c r="W250" s="40">
        <v>99.251069000000001</v>
      </c>
      <c r="X250" s="41"/>
      <c r="Y250" s="41"/>
      <c r="Z250" s="41"/>
      <c r="AA250" s="40">
        <v>96.329499999999996</v>
      </c>
      <c r="AB250" s="42"/>
      <c r="AC250" s="42"/>
      <c r="AE250" s="34">
        <f t="shared" si="38"/>
        <v>17.582762613333333</v>
      </c>
      <c r="AF250" s="35">
        <f t="shared" si="39"/>
        <v>21.279654590828461</v>
      </c>
      <c r="AG250" s="35">
        <f t="shared" si="40"/>
        <v>17.394479541975645</v>
      </c>
      <c r="AH250" s="36"/>
      <c r="AI250" s="35">
        <f t="shared" si="45"/>
        <v>3.8632936094304098</v>
      </c>
      <c r="AJ250" s="35">
        <f t="shared" si="42"/>
        <v>21.279654590828461</v>
      </c>
      <c r="AK250" s="37">
        <v>123940658</v>
      </c>
      <c r="AL250" s="38">
        <v>2637414392</v>
      </c>
      <c r="AM250" s="38">
        <v>2155883240</v>
      </c>
      <c r="AN250" s="39"/>
      <c r="AO250" s="38">
        <v>478819152</v>
      </c>
      <c r="AP250" s="41"/>
      <c r="AQ250" s="41"/>
      <c r="AR250" s="41"/>
      <c r="AS250" s="40">
        <v>99.247434999999996</v>
      </c>
      <c r="AT250" s="41"/>
      <c r="AU250" s="41"/>
      <c r="AV250" s="41"/>
      <c r="AW250" s="40">
        <v>96.329499999999996</v>
      </c>
      <c r="AX250" s="42">
        <v>466.22499999999644</v>
      </c>
      <c r="AY250" s="42">
        <v>399.44799999999719</v>
      </c>
      <c r="BA250" s="43">
        <f t="shared" si="43"/>
        <v>-1.8636392820892134E-3</v>
      </c>
      <c r="BB250" s="43">
        <f t="array" ref="BB250">AVERAGE(AM250:AM254/AL250:AL254) - AVERAGE(Q250:Q254/P250:P254)</f>
        <v>-7.9231357492570709E-4</v>
      </c>
      <c r="BD250" s="45"/>
      <c r="BE250" s="45"/>
      <c r="BF250" s="45"/>
      <c r="BG250" s="44">
        <f>IF( OR(ISBLANK(S250:S254),ISBLANK(AO250:AO254), ISBLANK(W250:W254),ISBLANK(AS250:AS254)), "·", bdRateExtend( S250:S254,W250:W254, AO250:AO254,AS250:AS254))</f>
        <v>4.8098172995070243E-3</v>
      </c>
      <c r="BI250" s="45"/>
      <c r="BJ250" s="45"/>
      <c r="BK250" s="45"/>
      <c r="BL250" s="44">
        <f>IF( OR(ISBLANK(S250:S254),ISBLANK(AO250:AO254), ISBLANK(AA250:AA254),ISBLANK(AW250:AW254)), "·", bdRateExtend( S250:S254,AA250:AA254, AO250:AO254,AW250:AW254))</f>
        <v>6.7767477703184476E-3</v>
      </c>
      <c r="BN250" s="45"/>
      <c r="BO250" s="45"/>
      <c r="BP250" s="45"/>
      <c r="BQ250" s="44">
        <f>IF( OR(ISBLANK(P250:P254),ISBLANK(AL250:AL254), ISBLANK(W250:W254),ISBLANK(AS250:AS254)), "·", bdRateExtend( P250:P254,W250:W254, AL250:AL254,AS250:AS254))</f>
        <v>7.4631271337266547E-4</v>
      </c>
      <c r="BS250" s="45"/>
      <c r="BT250" s="45"/>
      <c r="BU250" s="45"/>
      <c r="BV250" s="44">
        <f>IF( OR(ISBLANK(P250:P254),ISBLANK(AL250:AL254), ISBLANK(AA250:AA254),ISBLANK(AW250:AW254)), "·", bdRateExtend( P250:P254,AA250:AA254, AL250:AL254,AW250:AW254))</f>
        <v>9.5033388507892447E-4</v>
      </c>
    </row>
    <row r="251" spans="1:74" outlineLevel="1" x14ac:dyDescent="0.15">
      <c r="A251" s="16"/>
      <c r="B251" s="16" t="s">
        <v>379</v>
      </c>
      <c r="C251" s="17" t="s">
        <v>226</v>
      </c>
      <c r="D251" s="16">
        <v>123940658</v>
      </c>
      <c r="E251" s="18">
        <v>18</v>
      </c>
      <c r="F251" s="17">
        <v>1500</v>
      </c>
      <c r="G251" s="17">
        <v>10</v>
      </c>
      <c r="I251" s="19">
        <f t="shared" si="33"/>
        <v>16.814723626666666</v>
      </c>
      <c r="J251" s="20">
        <f t="shared" si="34"/>
        <v>20.35013033414749</v>
      </c>
      <c r="K251" s="20">
        <f t="shared" si="35"/>
        <v>17.394479541975645</v>
      </c>
      <c r="L251" s="21"/>
      <c r="M251" s="20">
        <f t="shared" si="44"/>
        <v>2.9337693527494424</v>
      </c>
      <c r="N251" s="20">
        <f t="shared" si="37"/>
        <v>20.35013033414749</v>
      </c>
      <c r="O251" s="22">
        <v>123940658</v>
      </c>
      <c r="P251" s="23">
        <v>2522208544</v>
      </c>
      <c r="Q251" s="23">
        <v>2155883240</v>
      </c>
      <c r="R251" s="24"/>
      <c r="S251" s="23">
        <v>363613304</v>
      </c>
      <c r="T251" s="26"/>
      <c r="U251" s="26"/>
      <c r="V251" s="26"/>
      <c r="W251" s="25">
        <v>94.557008999999994</v>
      </c>
      <c r="X251" s="26"/>
      <c r="Y251" s="26"/>
      <c r="Z251" s="26"/>
      <c r="AA251" s="25">
        <v>90.308899999999994</v>
      </c>
      <c r="AB251" s="27"/>
      <c r="AC251" s="27"/>
      <c r="AE251" s="19">
        <f t="shared" si="38"/>
        <v>16.841701866666668</v>
      </c>
      <c r="AF251" s="20">
        <f t="shared" si="39"/>
        <v>20.382780927304744</v>
      </c>
      <c r="AG251" s="20">
        <f t="shared" si="40"/>
        <v>17.394479541975645</v>
      </c>
      <c r="AH251" s="21"/>
      <c r="AI251" s="20">
        <f t="shared" si="45"/>
        <v>2.9664199459066936</v>
      </c>
      <c r="AJ251" s="20">
        <f t="shared" si="42"/>
        <v>20.382780927304744</v>
      </c>
      <c r="AK251" s="22">
        <v>123940658</v>
      </c>
      <c r="AL251" s="23">
        <v>2526255280</v>
      </c>
      <c r="AM251" s="23">
        <v>2155883240</v>
      </c>
      <c r="AN251" s="24"/>
      <c r="AO251" s="23">
        <v>367660040</v>
      </c>
      <c r="AP251" s="26"/>
      <c r="AQ251" s="26"/>
      <c r="AR251" s="26"/>
      <c r="AS251" s="25">
        <v>94.594365999999994</v>
      </c>
      <c r="AT251" s="26"/>
      <c r="AU251" s="26"/>
      <c r="AV251" s="26"/>
      <c r="AW251" s="25">
        <v>90.308899999999994</v>
      </c>
      <c r="AX251" s="27">
        <v>463.06799999999481</v>
      </c>
      <c r="AY251" s="27">
        <v>397.48199999999764</v>
      </c>
      <c r="BA251" s="28">
        <f t="shared" si="43"/>
        <v>-1.3692157383341508E-3</v>
      </c>
      <c r="BB251" s="28"/>
      <c r="BD251" s="30"/>
      <c r="BE251" s="30"/>
      <c r="BF251" s="30"/>
      <c r="BG251" s="29"/>
      <c r="BI251" s="30"/>
      <c r="BJ251" s="30"/>
      <c r="BK251" s="30"/>
      <c r="BL251" s="29"/>
      <c r="BN251" s="30"/>
      <c r="BO251" s="30"/>
      <c r="BP251" s="30"/>
      <c r="BQ251" s="29"/>
      <c r="BS251" s="30"/>
      <c r="BT251" s="30"/>
      <c r="BU251" s="30"/>
      <c r="BV251" s="29"/>
    </row>
    <row r="252" spans="1:74" outlineLevel="1" x14ac:dyDescent="0.15">
      <c r="A252" s="31"/>
      <c r="B252" s="31" t="s">
        <v>379</v>
      </c>
      <c r="C252" s="32" t="s">
        <v>227</v>
      </c>
      <c r="D252" s="31">
        <v>123940658</v>
      </c>
      <c r="E252" s="33">
        <v>18</v>
      </c>
      <c r="F252" s="32">
        <v>1500</v>
      </c>
      <c r="G252" s="32">
        <v>10</v>
      </c>
      <c r="I252" s="34">
        <f t="shared" si="33"/>
        <v>16.02694704</v>
      </c>
      <c r="J252" s="35">
        <f t="shared" si="34"/>
        <v>19.396718516695305</v>
      </c>
      <c r="K252" s="35">
        <f t="shared" si="35"/>
        <v>17.394479541975645</v>
      </c>
      <c r="L252" s="36"/>
      <c r="M252" s="35">
        <f t="shared" si="44"/>
        <v>1.9802607147688371</v>
      </c>
      <c r="N252" s="35">
        <f t="shared" si="37"/>
        <v>19.396718516695305</v>
      </c>
      <c r="O252" s="37">
        <v>123940658</v>
      </c>
      <c r="P252" s="38">
        <v>2404042056</v>
      </c>
      <c r="Q252" s="38">
        <v>2155883240</v>
      </c>
      <c r="R252" s="39"/>
      <c r="S252" s="38">
        <v>245434816</v>
      </c>
      <c r="T252" s="41"/>
      <c r="U252" s="41"/>
      <c r="V252" s="41"/>
      <c r="W252" s="40">
        <v>87.854695000000007</v>
      </c>
      <c r="X252" s="41"/>
      <c r="Y252" s="41"/>
      <c r="Z252" s="41"/>
      <c r="AA252" s="40">
        <v>82.350099999999998</v>
      </c>
      <c r="AB252" s="42"/>
      <c r="AC252" s="42"/>
      <c r="AE252" s="34">
        <f t="shared" si="38"/>
        <v>16.043557706666668</v>
      </c>
      <c r="AF252" s="35">
        <f t="shared" si="39"/>
        <v>19.41682168574577</v>
      </c>
      <c r="AG252" s="35">
        <f t="shared" si="40"/>
        <v>17.394479541975645</v>
      </c>
      <c r="AH252" s="36"/>
      <c r="AI252" s="35">
        <f t="shared" si="45"/>
        <v>2.0003638838193032</v>
      </c>
      <c r="AJ252" s="35">
        <f t="shared" si="42"/>
        <v>19.41682168574577</v>
      </c>
      <c r="AK252" s="37">
        <v>123940658</v>
      </c>
      <c r="AL252" s="38">
        <v>2406533656</v>
      </c>
      <c r="AM252" s="38">
        <v>2155883240</v>
      </c>
      <c r="AN252" s="39"/>
      <c r="AO252" s="38">
        <v>247926416</v>
      </c>
      <c r="AP252" s="41"/>
      <c r="AQ252" s="41"/>
      <c r="AR252" s="41"/>
      <c r="AS252" s="40">
        <v>87.861823999999999</v>
      </c>
      <c r="AT252" s="41"/>
      <c r="AU252" s="41"/>
      <c r="AV252" s="41"/>
      <c r="AW252" s="40">
        <v>82.350099999999998</v>
      </c>
      <c r="AX252" s="42">
        <v>461.41699999999548</v>
      </c>
      <c r="AY252" s="42">
        <v>394.23199999999906</v>
      </c>
      <c r="BA252" s="43">
        <f t="shared" si="43"/>
        <v>-9.2847359616388125E-4</v>
      </c>
      <c r="BB252" s="43"/>
      <c r="BD252" s="45"/>
      <c r="BE252" s="45"/>
      <c r="BF252" s="45"/>
      <c r="BG252" s="44"/>
      <c r="BI252" s="45"/>
      <c r="BJ252" s="45"/>
      <c r="BK252" s="45"/>
      <c r="BL252" s="44"/>
      <c r="BN252" s="45"/>
      <c r="BO252" s="45"/>
      <c r="BP252" s="45"/>
      <c r="BQ252" s="44"/>
      <c r="BS252" s="45"/>
      <c r="BT252" s="45"/>
      <c r="BU252" s="45"/>
      <c r="BV252" s="44"/>
    </row>
    <row r="253" spans="1:74" outlineLevel="1" x14ac:dyDescent="0.15">
      <c r="A253" s="16"/>
      <c r="B253" s="16" t="s">
        <v>379</v>
      </c>
      <c r="C253" s="17" t="s">
        <v>228</v>
      </c>
      <c r="D253" s="16">
        <v>123940658</v>
      </c>
      <c r="E253" s="18">
        <v>18</v>
      </c>
      <c r="F253" s="17">
        <v>1500</v>
      </c>
      <c r="G253" s="17">
        <v>10</v>
      </c>
      <c r="I253" s="19">
        <f t="shared" si="33"/>
        <v>15.446974933333333</v>
      </c>
      <c r="J253" s="20">
        <f t="shared" si="34"/>
        <v>18.694803443757738</v>
      </c>
      <c r="K253" s="20">
        <f t="shared" si="35"/>
        <v>17.394479541975645</v>
      </c>
      <c r="L253" s="21"/>
      <c r="M253" s="20">
        <f t="shared" si="44"/>
        <v>1.2783456418312706</v>
      </c>
      <c r="N253" s="20">
        <f t="shared" si="37"/>
        <v>18.694803443757738</v>
      </c>
      <c r="O253" s="22">
        <v>123940658</v>
      </c>
      <c r="P253" s="23">
        <v>2317046240</v>
      </c>
      <c r="Q253" s="23">
        <v>2155883240</v>
      </c>
      <c r="R253" s="24"/>
      <c r="S253" s="23">
        <v>158439000</v>
      </c>
      <c r="T253" s="26"/>
      <c r="U253" s="26"/>
      <c r="V253" s="26"/>
      <c r="W253" s="25">
        <v>82.393450999999999</v>
      </c>
      <c r="X253" s="26"/>
      <c r="Y253" s="26"/>
      <c r="Z253" s="26"/>
      <c r="AA253" s="25">
        <v>76.329499999999996</v>
      </c>
      <c r="AB253" s="27"/>
      <c r="AC253" s="27"/>
      <c r="AE253" s="19">
        <f t="shared" si="38"/>
        <v>15.45015744</v>
      </c>
      <c r="AF253" s="20">
        <f t="shared" si="39"/>
        <v>18.698655093472233</v>
      </c>
      <c r="AG253" s="20">
        <f t="shared" si="40"/>
        <v>17.394479541975645</v>
      </c>
      <c r="AH253" s="21"/>
      <c r="AI253" s="20">
        <f t="shared" si="45"/>
        <v>1.2821972915457653</v>
      </c>
      <c r="AJ253" s="20">
        <f t="shared" si="42"/>
        <v>18.698655093472233</v>
      </c>
      <c r="AK253" s="22">
        <v>123940658</v>
      </c>
      <c r="AL253" s="23">
        <v>2317523616</v>
      </c>
      <c r="AM253" s="23">
        <v>2155883240</v>
      </c>
      <c r="AN253" s="24"/>
      <c r="AO253" s="23">
        <v>158916376</v>
      </c>
      <c r="AP253" s="26"/>
      <c r="AQ253" s="26"/>
      <c r="AR253" s="26"/>
      <c r="AS253" s="25">
        <v>82.423601000000005</v>
      </c>
      <c r="AT253" s="26"/>
      <c r="AU253" s="26"/>
      <c r="AV253" s="26"/>
      <c r="AW253" s="25">
        <v>76.329499999999996</v>
      </c>
      <c r="AX253" s="27">
        <v>455.10699999999582</v>
      </c>
      <c r="AY253" s="27">
        <v>387.21399999999898</v>
      </c>
      <c r="BA253" s="28">
        <f t="shared" si="43"/>
        <v>-1.9165799838327668E-4</v>
      </c>
      <c r="BB253" s="28"/>
      <c r="BD253" s="30"/>
      <c r="BE253" s="30"/>
      <c r="BF253" s="30"/>
      <c r="BG253" s="29"/>
      <c r="BI253" s="30"/>
      <c r="BJ253" s="30"/>
      <c r="BK253" s="30"/>
      <c r="BL253" s="29"/>
      <c r="BN253" s="30"/>
      <c r="BO253" s="30"/>
      <c r="BP253" s="30"/>
      <c r="BQ253" s="29"/>
      <c r="BS253" s="30"/>
      <c r="BT253" s="30"/>
      <c r="BU253" s="30"/>
      <c r="BV253" s="29"/>
    </row>
    <row r="254" spans="1:74" outlineLevel="1" x14ac:dyDescent="0.15">
      <c r="A254" s="31"/>
      <c r="B254" s="46" t="s">
        <v>379</v>
      </c>
      <c r="C254" s="47" t="s">
        <v>229</v>
      </c>
      <c r="D254" s="46">
        <v>123940658</v>
      </c>
      <c r="E254" s="48">
        <v>18</v>
      </c>
      <c r="F254" s="47">
        <v>1500</v>
      </c>
      <c r="G254" s="47">
        <v>10</v>
      </c>
      <c r="I254" s="49">
        <f t="shared" si="33"/>
        <v>14.971329279999999</v>
      </c>
      <c r="J254" s="50">
        <f t="shared" si="34"/>
        <v>18.119150150066172</v>
      </c>
      <c r="K254" s="50">
        <f t="shared" si="35"/>
        <v>17.394479541975645</v>
      </c>
      <c r="L254" s="51"/>
      <c r="M254" s="50">
        <f t="shared" si="44"/>
        <v>0.70269234813970405</v>
      </c>
      <c r="N254" s="50">
        <f t="shared" si="37"/>
        <v>18.119150150066172</v>
      </c>
      <c r="O254" s="52">
        <v>123940658</v>
      </c>
      <c r="P254" s="53">
        <v>2245699392</v>
      </c>
      <c r="Q254" s="53">
        <v>2155883240</v>
      </c>
      <c r="R254" s="54"/>
      <c r="S254" s="53">
        <v>87092152</v>
      </c>
      <c r="T254" s="56"/>
      <c r="U254" s="56"/>
      <c r="V254" s="56"/>
      <c r="W254" s="55">
        <v>76.427797999999996</v>
      </c>
      <c r="X254" s="56"/>
      <c r="Y254" s="56"/>
      <c r="Z254" s="56"/>
      <c r="AA254" s="55">
        <v>69.885099999999994</v>
      </c>
      <c r="AB254" s="57"/>
      <c r="AC254" s="57"/>
      <c r="AE254" s="49">
        <f t="shared" si="38"/>
        <v>14.965227573333333</v>
      </c>
      <c r="AF254" s="50">
        <f t="shared" si="39"/>
        <v>18.111765519269714</v>
      </c>
      <c r="AG254" s="50">
        <f t="shared" si="40"/>
        <v>17.394479541975645</v>
      </c>
      <c r="AH254" s="51"/>
      <c r="AI254" s="50">
        <f t="shared" si="45"/>
        <v>0.69530771734324659</v>
      </c>
      <c r="AJ254" s="50">
        <f t="shared" si="42"/>
        <v>18.111765519269714</v>
      </c>
      <c r="AK254" s="52">
        <v>123940658</v>
      </c>
      <c r="AL254" s="53">
        <v>2244784136</v>
      </c>
      <c r="AM254" s="53">
        <v>2155883240</v>
      </c>
      <c r="AN254" s="54"/>
      <c r="AO254" s="53">
        <v>86176896</v>
      </c>
      <c r="AP254" s="56"/>
      <c r="AQ254" s="56"/>
      <c r="AR254" s="56"/>
      <c r="AS254" s="55">
        <v>76.437900999999997</v>
      </c>
      <c r="AT254" s="56"/>
      <c r="AU254" s="56"/>
      <c r="AV254" s="56"/>
      <c r="AW254" s="55">
        <v>69.885099999999994</v>
      </c>
      <c r="AX254" s="57">
        <v>454.74899999999485</v>
      </c>
      <c r="AY254" s="57">
        <v>392.59099999999785</v>
      </c>
      <c r="BA254" s="58">
        <f t="shared" si="43"/>
        <v>3.9141874034187563E-4</v>
      </c>
      <c r="BB254" s="58"/>
      <c r="BD254" s="60"/>
      <c r="BE254" s="60"/>
      <c r="BF254" s="60"/>
      <c r="BG254" s="59"/>
      <c r="BI254" s="60"/>
      <c r="BJ254" s="60"/>
      <c r="BK254" s="60"/>
      <c r="BL254" s="59"/>
      <c r="BN254" s="60"/>
      <c r="BO254" s="60"/>
      <c r="BP254" s="60"/>
      <c r="BQ254" s="59"/>
      <c r="BS254" s="60"/>
      <c r="BT254" s="60"/>
      <c r="BU254" s="60"/>
      <c r="BV254" s="59"/>
    </row>
    <row r="255" spans="1:74" x14ac:dyDescent="0.15">
      <c r="A255" s="16"/>
      <c r="B255" s="16" t="s">
        <v>383</v>
      </c>
      <c r="C255" s="17" t="s">
        <v>225</v>
      </c>
      <c r="D255" s="16">
        <v>125751705</v>
      </c>
      <c r="E255" s="18">
        <v>18</v>
      </c>
      <c r="F255" s="17">
        <v>1500</v>
      </c>
      <c r="G255" s="17">
        <v>10</v>
      </c>
      <c r="I255" s="19">
        <f t="shared" si="33"/>
        <v>17.593506986666668</v>
      </c>
      <c r="J255" s="20">
        <f t="shared" si="34"/>
        <v>20.986006098287096</v>
      </c>
      <c r="K255" s="20">
        <f t="shared" si="35"/>
        <v>17.137833447268171</v>
      </c>
      <c r="L255" s="21"/>
      <c r="M255" s="20">
        <f t="shared" si="44"/>
        <v>3.8266063430312931</v>
      </c>
      <c r="N255" s="20">
        <f t="shared" si="37"/>
        <v>20.986006098287096</v>
      </c>
      <c r="O255" s="22">
        <v>125751705</v>
      </c>
      <c r="P255" s="23">
        <v>2639026048</v>
      </c>
      <c r="Q255" s="23">
        <v>2155111776</v>
      </c>
      <c r="R255" s="24"/>
      <c r="S255" s="23">
        <v>481202272</v>
      </c>
      <c r="T255" s="26"/>
      <c r="U255" s="26"/>
      <c r="V255" s="26"/>
      <c r="W255" s="25">
        <v>99.260225000000005</v>
      </c>
      <c r="X255" s="26"/>
      <c r="Y255" s="26"/>
      <c r="Z255" s="26"/>
      <c r="AA255" s="25">
        <v>96.329499999999996</v>
      </c>
      <c r="AB255" s="27"/>
      <c r="AC255" s="27"/>
      <c r="AE255" s="19">
        <f t="shared" si="38"/>
        <v>17.635323360000001</v>
      </c>
      <c r="AF255" s="20">
        <f t="shared" si="39"/>
        <v>21.035885787791109</v>
      </c>
      <c r="AG255" s="20">
        <f t="shared" si="40"/>
        <v>17.137833447268171</v>
      </c>
      <c r="AH255" s="21"/>
      <c r="AI255" s="20">
        <f t="shared" si="45"/>
        <v>3.8764860325353045</v>
      </c>
      <c r="AJ255" s="20">
        <f t="shared" si="42"/>
        <v>21.035885787791109</v>
      </c>
      <c r="AK255" s="22">
        <v>125751705</v>
      </c>
      <c r="AL255" s="23">
        <v>2645298504</v>
      </c>
      <c r="AM255" s="23">
        <v>2155111776</v>
      </c>
      <c r="AN255" s="24"/>
      <c r="AO255" s="23">
        <v>487474728</v>
      </c>
      <c r="AP255" s="26"/>
      <c r="AQ255" s="26"/>
      <c r="AR255" s="26"/>
      <c r="AS255" s="25">
        <v>99.254633999999996</v>
      </c>
      <c r="AT255" s="26"/>
      <c r="AU255" s="26"/>
      <c r="AV255" s="26"/>
      <c r="AW255" s="25">
        <v>96.329499999999996</v>
      </c>
      <c r="AX255" s="27">
        <v>436.19799999999537</v>
      </c>
      <c r="AY255" s="27">
        <v>370.41599999999852</v>
      </c>
      <c r="BA255" s="28">
        <f t="shared" si="43"/>
        <v>-1.9363731869564971E-3</v>
      </c>
      <c r="BB255" s="28">
        <f t="array" ref="BB255">AVERAGE(AM255:AM259/AL255:AL259) - AVERAGE(Q255:Q259/P255:P259)</f>
        <v>-8.2475726502939661E-4</v>
      </c>
      <c r="BD255" s="30"/>
      <c r="BE255" s="30"/>
      <c r="BF255" s="30"/>
      <c r="BG255" s="29">
        <f>IF( OR(ISBLANK(S255:S259),ISBLANK(AO255:AO259), ISBLANK(W255:W259),ISBLANK(AS255:AS259)), "·", bdRateExtend( S255:S259,W255:W259, AO255:AO259,AS255:AS259))</f>
        <v>5.3892534074067022E-3</v>
      </c>
      <c r="BI255" s="30"/>
      <c r="BJ255" s="30"/>
      <c r="BK255" s="30"/>
      <c r="BL255" s="29">
        <f>IF( OR(ISBLANK(S255:S259),ISBLANK(AO255:AO259), ISBLANK(AA255:AA259),ISBLANK(AW255:AW259)), "·", bdRateExtend( S255:S259,AA255:AA259, AO255:AO259,AW255:AW259))</f>
        <v>6.9809526272095468E-3</v>
      </c>
      <c r="BN255" s="30"/>
      <c r="BO255" s="30"/>
      <c r="BP255" s="30"/>
      <c r="BQ255" s="29">
        <f>IF( OR(ISBLANK(P255:P259),ISBLANK(AL255:AL259), ISBLANK(W255:W259),ISBLANK(AS255:AS259)), "·", bdRateExtend( P255:P259,W255:W259, AL255:AL259,AS255:AS259))</f>
        <v>8.1986106305920181E-4</v>
      </c>
      <c r="BS255" s="30"/>
      <c r="BT255" s="30"/>
      <c r="BU255" s="30"/>
      <c r="BV255" s="29">
        <f>IF( OR(ISBLANK(P255:P259),ISBLANK(AL255:AL259), ISBLANK(AA255:AA259),ISBLANK(AW255:AW259)), "·", bdRateExtend( P255:P259,AA255:AA259, AL255:AL259,AW255:AW259))</f>
        <v>9.8856142054937202E-4</v>
      </c>
    </row>
    <row r="256" spans="1:74" outlineLevel="1" x14ac:dyDescent="0.15">
      <c r="A256" s="31"/>
      <c r="B256" s="31" t="s">
        <v>383</v>
      </c>
      <c r="C256" s="32" t="s">
        <v>226</v>
      </c>
      <c r="D256" s="31">
        <v>125751705</v>
      </c>
      <c r="E256" s="33">
        <v>18</v>
      </c>
      <c r="F256" s="32">
        <v>1500</v>
      </c>
      <c r="G256" s="32">
        <v>10</v>
      </c>
      <c r="I256" s="34">
        <f t="shared" si="33"/>
        <v>16.848069813333332</v>
      </c>
      <c r="J256" s="35">
        <f t="shared" si="34"/>
        <v>20.096828683157813</v>
      </c>
      <c r="K256" s="35">
        <f t="shared" si="35"/>
        <v>17.137833447268171</v>
      </c>
      <c r="L256" s="36"/>
      <c r="M256" s="35">
        <f t="shared" si="44"/>
        <v>2.9374289279020114</v>
      </c>
      <c r="N256" s="35">
        <f t="shared" si="37"/>
        <v>20.096828683157813</v>
      </c>
      <c r="O256" s="37">
        <v>125751705</v>
      </c>
      <c r="P256" s="38">
        <v>2527210472</v>
      </c>
      <c r="Q256" s="38">
        <v>2155111776</v>
      </c>
      <c r="R256" s="39"/>
      <c r="S256" s="38">
        <v>369386696</v>
      </c>
      <c r="T256" s="41"/>
      <c r="U256" s="41"/>
      <c r="V256" s="41"/>
      <c r="W256" s="40">
        <v>94.563372000000001</v>
      </c>
      <c r="X256" s="41"/>
      <c r="Y256" s="41"/>
      <c r="Z256" s="41"/>
      <c r="AA256" s="40">
        <v>90.308899999999994</v>
      </c>
      <c r="AB256" s="42"/>
      <c r="AC256" s="42"/>
      <c r="AE256" s="34">
        <f t="shared" si="38"/>
        <v>16.876334933333332</v>
      </c>
      <c r="AF256" s="35">
        <f t="shared" si="39"/>
        <v>20.130544074929244</v>
      </c>
      <c r="AG256" s="35">
        <f t="shared" si="40"/>
        <v>17.137833447268171</v>
      </c>
      <c r="AH256" s="36"/>
      <c r="AI256" s="35">
        <f t="shared" si="45"/>
        <v>2.9711443196734391</v>
      </c>
      <c r="AJ256" s="35">
        <f t="shared" si="42"/>
        <v>20.130544074929244</v>
      </c>
      <c r="AK256" s="37">
        <v>125751705</v>
      </c>
      <c r="AL256" s="38">
        <v>2531450240</v>
      </c>
      <c r="AM256" s="38">
        <v>2155111776</v>
      </c>
      <c r="AN256" s="39"/>
      <c r="AO256" s="38">
        <v>373626464</v>
      </c>
      <c r="AP256" s="41"/>
      <c r="AQ256" s="41"/>
      <c r="AR256" s="41"/>
      <c r="AS256" s="40">
        <v>94.593862000000001</v>
      </c>
      <c r="AT256" s="41"/>
      <c r="AU256" s="41"/>
      <c r="AV256" s="41"/>
      <c r="AW256" s="40">
        <v>90.308899999999994</v>
      </c>
      <c r="AX256" s="42">
        <v>431.28999999999496</v>
      </c>
      <c r="AY256" s="42">
        <v>366.02899999999869</v>
      </c>
      <c r="BA256" s="43">
        <f t="shared" si="43"/>
        <v>-1.4282396487234061E-3</v>
      </c>
      <c r="BB256" s="43"/>
      <c r="BD256" s="45"/>
      <c r="BE256" s="45"/>
      <c r="BF256" s="45"/>
      <c r="BG256" s="44"/>
      <c r="BI256" s="45"/>
      <c r="BJ256" s="45"/>
      <c r="BK256" s="45"/>
      <c r="BL256" s="44"/>
      <c r="BN256" s="45"/>
      <c r="BO256" s="45"/>
      <c r="BP256" s="45"/>
      <c r="BQ256" s="44"/>
      <c r="BS256" s="45"/>
      <c r="BT256" s="45"/>
      <c r="BU256" s="45"/>
      <c r="BV256" s="44"/>
    </row>
    <row r="257" spans="1:74" outlineLevel="1" x14ac:dyDescent="0.15">
      <c r="A257" s="16"/>
      <c r="B257" s="16" t="s">
        <v>383</v>
      </c>
      <c r="C257" s="17" t="s">
        <v>227</v>
      </c>
      <c r="D257" s="16">
        <v>125751705</v>
      </c>
      <c r="E257" s="18">
        <v>18</v>
      </c>
      <c r="F257" s="17">
        <v>1500</v>
      </c>
      <c r="G257" s="17">
        <v>10</v>
      </c>
      <c r="I257" s="19">
        <f t="shared" si="33"/>
        <v>16.038765493333333</v>
      </c>
      <c r="J257" s="20">
        <f t="shared" si="34"/>
        <v>19.131468825810355</v>
      </c>
      <c r="K257" s="20">
        <f t="shared" si="35"/>
        <v>17.137833447268171</v>
      </c>
      <c r="L257" s="21"/>
      <c r="M257" s="20">
        <f t="shared" si="44"/>
        <v>1.971973644413012</v>
      </c>
      <c r="N257" s="20">
        <f t="shared" si="37"/>
        <v>19.131468825810355</v>
      </c>
      <c r="O257" s="22">
        <v>125751705</v>
      </c>
      <c r="P257" s="23">
        <v>2405814824</v>
      </c>
      <c r="Q257" s="23">
        <v>2155111776</v>
      </c>
      <c r="R257" s="24"/>
      <c r="S257" s="23">
        <v>247979048</v>
      </c>
      <c r="T257" s="26"/>
      <c r="U257" s="26"/>
      <c r="V257" s="26"/>
      <c r="W257" s="25">
        <v>87.860404000000003</v>
      </c>
      <c r="X257" s="26"/>
      <c r="Y257" s="26"/>
      <c r="Z257" s="26"/>
      <c r="AA257" s="25">
        <v>82.350099999999998</v>
      </c>
      <c r="AB257" s="27"/>
      <c r="AC257" s="27"/>
      <c r="AE257" s="19">
        <f t="shared" si="38"/>
        <v>16.055831893333334</v>
      </c>
      <c r="AF257" s="20">
        <f t="shared" si="39"/>
        <v>19.151826084584698</v>
      </c>
      <c r="AG257" s="20">
        <f t="shared" si="40"/>
        <v>17.137833447268171</v>
      </c>
      <c r="AH257" s="21"/>
      <c r="AI257" s="20">
        <f t="shared" si="45"/>
        <v>1.9923309031873564</v>
      </c>
      <c r="AJ257" s="20">
        <f t="shared" si="42"/>
        <v>19.151826084584698</v>
      </c>
      <c r="AK257" s="22">
        <v>125751705</v>
      </c>
      <c r="AL257" s="23">
        <v>2408374784</v>
      </c>
      <c r="AM257" s="23">
        <v>2155111776</v>
      </c>
      <c r="AN257" s="24"/>
      <c r="AO257" s="23">
        <v>250539008</v>
      </c>
      <c r="AP257" s="26"/>
      <c r="AQ257" s="26"/>
      <c r="AR257" s="26"/>
      <c r="AS257" s="25">
        <v>87.857471000000004</v>
      </c>
      <c r="AT257" s="26"/>
      <c r="AU257" s="26"/>
      <c r="AV257" s="26"/>
      <c r="AW257" s="25">
        <v>82.350099999999998</v>
      </c>
      <c r="AX257" s="27">
        <v>431.60499999999507</v>
      </c>
      <c r="AY257" s="27">
        <v>363.63699999999892</v>
      </c>
      <c r="BA257" s="28">
        <f t="shared" si="43"/>
        <v>-9.5217486144139052E-4</v>
      </c>
      <c r="BB257" s="28"/>
      <c r="BD257" s="30"/>
      <c r="BE257" s="30"/>
      <c r="BF257" s="30"/>
      <c r="BG257" s="29"/>
      <c r="BI257" s="30"/>
      <c r="BJ257" s="30"/>
      <c r="BK257" s="30"/>
      <c r="BL257" s="29"/>
      <c r="BN257" s="30"/>
      <c r="BO257" s="30"/>
      <c r="BP257" s="30"/>
      <c r="BQ257" s="29"/>
      <c r="BS257" s="30"/>
      <c r="BT257" s="30"/>
      <c r="BU257" s="30"/>
      <c r="BV257" s="29"/>
    </row>
    <row r="258" spans="1:74" outlineLevel="1" x14ac:dyDescent="0.15">
      <c r="A258" s="31"/>
      <c r="B258" s="31" t="s">
        <v>383</v>
      </c>
      <c r="C258" s="32" t="s">
        <v>228</v>
      </c>
      <c r="D258" s="31">
        <v>125751705</v>
      </c>
      <c r="E258" s="33">
        <v>18</v>
      </c>
      <c r="F258" s="32">
        <v>1500</v>
      </c>
      <c r="G258" s="32">
        <v>10</v>
      </c>
      <c r="I258" s="34">
        <f t="shared" si="33"/>
        <v>15.446440000000001</v>
      </c>
      <c r="J258" s="35">
        <f t="shared" si="34"/>
        <v>18.424927121266467</v>
      </c>
      <c r="K258" s="35">
        <f t="shared" si="35"/>
        <v>17.137833447268171</v>
      </c>
      <c r="L258" s="36"/>
      <c r="M258" s="35">
        <f t="shared" si="44"/>
        <v>1.2654319398691254</v>
      </c>
      <c r="N258" s="35">
        <f t="shared" si="37"/>
        <v>18.424927121266467</v>
      </c>
      <c r="O258" s="37">
        <v>125751705</v>
      </c>
      <c r="P258" s="38">
        <v>2316966000</v>
      </c>
      <c r="Q258" s="38">
        <v>2155111776</v>
      </c>
      <c r="R258" s="39"/>
      <c r="S258" s="38">
        <v>159130224</v>
      </c>
      <c r="T258" s="41"/>
      <c r="U258" s="41"/>
      <c r="V258" s="41"/>
      <c r="W258" s="40">
        <v>82.398732999999993</v>
      </c>
      <c r="X258" s="41"/>
      <c r="Y258" s="41"/>
      <c r="Z258" s="41"/>
      <c r="AA258" s="40">
        <v>76.329499999999996</v>
      </c>
      <c r="AB258" s="42"/>
      <c r="AC258" s="42"/>
      <c r="AE258" s="34">
        <f t="shared" si="38"/>
        <v>15.449673279999999</v>
      </c>
      <c r="AF258" s="35">
        <f t="shared" si="39"/>
        <v>18.428783864202874</v>
      </c>
      <c r="AG258" s="35">
        <f t="shared" si="40"/>
        <v>17.137833447268171</v>
      </c>
      <c r="AH258" s="36"/>
      <c r="AI258" s="35">
        <f t="shared" si="45"/>
        <v>1.2692886828055334</v>
      </c>
      <c r="AJ258" s="35">
        <f t="shared" si="42"/>
        <v>18.428783864202874</v>
      </c>
      <c r="AK258" s="37">
        <v>125751705</v>
      </c>
      <c r="AL258" s="38">
        <v>2317450992</v>
      </c>
      <c r="AM258" s="38">
        <v>2155111776</v>
      </c>
      <c r="AN258" s="39"/>
      <c r="AO258" s="38">
        <v>159615216</v>
      </c>
      <c r="AP258" s="41"/>
      <c r="AQ258" s="41"/>
      <c r="AR258" s="41"/>
      <c r="AS258" s="40">
        <v>82.428657999999999</v>
      </c>
      <c r="AT258" s="41"/>
      <c r="AU258" s="41"/>
      <c r="AV258" s="41"/>
      <c r="AW258" s="40">
        <v>76.329499999999996</v>
      </c>
      <c r="AX258" s="42">
        <v>425.75199999999597</v>
      </c>
      <c r="AY258" s="42">
        <v>363.14499999999884</v>
      </c>
      <c r="BA258" s="43">
        <f t="shared" si="43"/>
        <v>-1.9465885090175217E-4</v>
      </c>
      <c r="BB258" s="43"/>
      <c r="BD258" s="45"/>
      <c r="BE258" s="45"/>
      <c r="BF258" s="45"/>
      <c r="BG258" s="44"/>
      <c r="BI258" s="45"/>
      <c r="BJ258" s="45"/>
      <c r="BK258" s="45"/>
      <c r="BL258" s="44"/>
      <c r="BN258" s="45"/>
      <c r="BO258" s="45"/>
      <c r="BP258" s="45"/>
      <c r="BQ258" s="44"/>
      <c r="BS258" s="45"/>
      <c r="BT258" s="45"/>
      <c r="BU258" s="45"/>
      <c r="BV258" s="44"/>
    </row>
    <row r="259" spans="1:74" outlineLevel="1" x14ac:dyDescent="0.15">
      <c r="A259" s="16"/>
      <c r="B259" s="65" t="s">
        <v>383</v>
      </c>
      <c r="C259" s="67" t="s">
        <v>229</v>
      </c>
      <c r="D259" s="65">
        <v>125751705</v>
      </c>
      <c r="E259" s="66">
        <v>18</v>
      </c>
      <c r="F259" s="67">
        <v>1500</v>
      </c>
      <c r="G259" s="67">
        <v>10</v>
      </c>
      <c r="I259" s="69">
        <f t="shared" si="33"/>
        <v>14.971764</v>
      </c>
      <c r="J259" s="70">
        <f t="shared" si="34"/>
        <v>17.858720881756632</v>
      </c>
      <c r="K259" s="70">
        <f t="shared" si="35"/>
        <v>17.137833447268171</v>
      </c>
      <c r="L259" s="75"/>
      <c r="M259" s="70">
        <f t="shared" si="44"/>
        <v>0.69922570035929132</v>
      </c>
      <c r="N259" s="70">
        <f t="shared" si="37"/>
        <v>17.858720881756632</v>
      </c>
      <c r="O259" s="71">
        <v>125751705</v>
      </c>
      <c r="P259" s="72">
        <v>2245764600</v>
      </c>
      <c r="Q259" s="72">
        <v>2155111776</v>
      </c>
      <c r="R259" s="76"/>
      <c r="S259" s="72">
        <v>87928824</v>
      </c>
      <c r="T259" s="78"/>
      <c r="U259" s="78"/>
      <c r="V259" s="78"/>
      <c r="W259" s="77">
        <v>76.444923000000003</v>
      </c>
      <c r="X259" s="78"/>
      <c r="Y259" s="78"/>
      <c r="Z259" s="78"/>
      <c r="AA259" s="77">
        <v>69.885099999999994</v>
      </c>
      <c r="AB259" s="73"/>
      <c r="AC259" s="73"/>
      <c r="AE259" s="69">
        <f t="shared" si="38"/>
        <v>14.965718346666666</v>
      </c>
      <c r="AF259" s="70">
        <f t="shared" si="39"/>
        <v>17.851509464623163</v>
      </c>
      <c r="AG259" s="70">
        <f t="shared" si="40"/>
        <v>17.137833447268171</v>
      </c>
      <c r="AH259" s="75"/>
      <c r="AI259" s="70">
        <f t="shared" si="45"/>
        <v>0.69201428322582181</v>
      </c>
      <c r="AJ259" s="70">
        <f t="shared" si="42"/>
        <v>17.851509464623163</v>
      </c>
      <c r="AK259" s="71">
        <v>125751705</v>
      </c>
      <c r="AL259" s="72">
        <v>2244857752</v>
      </c>
      <c r="AM259" s="72">
        <v>2155111776</v>
      </c>
      <c r="AN259" s="76"/>
      <c r="AO259" s="72">
        <v>87021976</v>
      </c>
      <c r="AP259" s="78"/>
      <c r="AQ259" s="78"/>
      <c r="AR259" s="78"/>
      <c r="AS259" s="77">
        <v>76.446725000000001</v>
      </c>
      <c r="AT259" s="78"/>
      <c r="AU259" s="78"/>
      <c r="AV259" s="78"/>
      <c r="AW259" s="77">
        <v>69.885099999999994</v>
      </c>
      <c r="AX259" s="73">
        <v>426.69599999999463</v>
      </c>
      <c r="AY259" s="73">
        <v>361.2779999999986</v>
      </c>
      <c r="BA259" s="68">
        <f t="shared" si="43"/>
        <v>3.8766022287617385E-4</v>
      </c>
      <c r="BB259" s="68"/>
      <c r="BD259" s="79"/>
      <c r="BE259" s="79"/>
      <c r="BF259" s="79"/>
      <c r="BG259" s="74"/>
      <c r="BI259" s="79"/>
      <c r="BJ259" s="79"/>
      <c r="BK259" s="79"/>
      <c r="BL259" s="74"/>
      <c r="BN259" s="79"/>
      <c r="BO259" s="79"/>
      <c r="BP259" s="79"/>
      <c r="BQ259" s="74"/>
      <c r="BS259" s="79"/>
      <c r="BT259" s="79"/>
      <c r="BU259" s="79"/>
      <c r="BV259" s="74"/>
    </row>
    <row r="260" spans="1:74" x14ac:dyDescent="0.15">
      <c r="A260" s="31"/>
      <c r="B260" s="31" t="s">
        <v>386</v>
      </c>
      <c r="C260" s="32" t="s">
        <v>225</v>
      </c>
      <c r="D260" s="31">
        <v>126093865</v>
      </c>
      <c r="E260" s="33">
        <v>18</v>
      </c>
      <c r="F260" s="32">
        <v>1500</v>
      </c>
      <c r="G260" s="32">
        <v>10</v>
      </c>
      <c r="I260" s="34">
        <f t="shared" si="33"/>
        <v>18.326785280000003</v>
      </c>
      <c r="J260" s="35">
        <f t="shared" si="34"/>
        <v>21.801360375463151</v>
      </c>
      <c r="K260" s="35">
        <f t="shared" si="35"/>
        <v>17.910893983620852</v>
      </c>
      <c r="L260" s="36"/>
      <c r="M260" s="35">
        <f t="shared" si="44"/>
        <v>3.868958604766378</v>
      </c>
      <c r="N260" s="35">
        <f t="shared" si="37"/>
        <v>21.801360375463151</v>
      </c>
      <c r="O260" s="37">
        <v>126093865</v>
      </c>
      <c r="P260" s="38">
        <v>2749017792</v>
      </c>
      <c r="Q260" s="38">
        <v>2258453848</v>
      </c>
      <c r="R260" s="39"/>
      <c r="S260" s="38">
        <v>487851944</v>
      </c>
      <c r="T260" s="41"/>
      <c r="U260" s="41"/>
      <c r="V260" s="41"/>
      <c r="W260" s="40">
        <v>99.294856999999993</v>
      </c>
      <c r="X260" s="41"/>
      <c r="Y260" s="41"/>
      <c r="Z260" s="41"/>
      <c r="AA260" s="40">
        <v>96.329499999999996</v>
      </c>
      <c r="AB260" s="42"/>
      <c r="AC260" s="42"/>
      <c r="AE260" s="34">
        <f t="shared" si="38"/>
        <v>18.339170399999997</v>
      </c>
      <c r="AF260" s="35">
        <f t="shared" si="39"/>
        <v>21.816093590278957</v>
      </c>
      <c r="AG260" s="35">
        <f t="shared" si="40"/>
        <v>17.910893983620852</v>
      </c>
      <c r="AH260" s="36"/>
      <c r="AI260" s="35">
        <f t="shared" si="45"/>
        <v>3.8836918195821819</v>
      </c>
      <c r="AJ260" s="35">
        <f t="shared" si="42"/>
        <v>21.816093590278957</v>
      </c>
      <c r="AK260" s="37">
        <v>126093865</v>
      </c>
      <c r="AL260" s="38">
        <v>2750875560</v>
      </c>
      <c r="AM260" s="38">
        <v>2258453848</v>
      </c>
      <c r="AN260" s="39"/>
      <c r="AO260" s="38">
        <v>489709712</v>
      </c>
      <c r="AP260" s="41"/>
      <c r="AQ260" s="41"/>
      <c r="AR260" s="41"/>
      <c r="AS260" s="40">
        <v>99.298929000000001</v>
      </c>
      <c r="AT260" s="41"/>
      <c r="AU260" s="41"/>
      <c r="AV260" s="41"/>
      <c r="AW260" s="40">
        <v>96.329499999999996</v>
      </c>
      <c r="AX260" s="42">
        <v>440.33299999999377</v>
      </c>
      <c r="AY260" s="42">
        <v>373.6159999999993</v>
      </c>
      <c r="BA260" s="43">
        <f t="shared" si="43"/>
        <v>-5.5482267569362254E-4</v>
      </c>
      <c r="BB260" s="43">
        <f t="array" ref="BB260">AVERAGE(AM260:AM264/AL260:AL264) - AVERAGE(Q260:Q264/P260:P264)</f>
        <v>2.3621951562513566E-4</v>
      </c>
      <c r="BD260" s="45"/>
      <c r="BE260" s="45"/>
      <c r="BF260" s="45"/>
      <c r="BG260" s="44">
        <f>IF( OR(ISBLANK(S260:S264),ISBLANK(AO260:AO264), ISBLANK(W260:W264),ISBLANK(AS260:AS264)), "·", bdRateExtend( S260:S264,W260:W264, AO260:AO264,AS260:AS264))</f>
        <v>-1.0516971861735169E-2</v>
      </c>
      <c r="BI260" s="45"/>
      <c r="BJ260" s="45"/>
      <c r="BK260" s="45"/>
      <c r="BL260" s="44">
        <f>IF( OR(ISBLANK(S260:S264),ISBLANK(AO260:AO264), ISBLANK(AA260:AA264),ISBLANK(AW260:AW264)), "·", bdRateExtend( S260:S264,AA260:AA264, AO260:AO264,AW260:AW264))</f>
        <v>-6.6030148841531577E-3</v>
      </c>
      <c r="BN260" s="45"/>
      <c r="BO260" s="45"/>
      <c r="BP260" s="45"/>
      <c r="BQ260" s="44">
        <f>IF( OR(ISBLANK(P260:P264),ISBLANK(AL260:AL264), ISBLANK(W260:W264),ISBLANK(AS260:AS264)), "·", bdRateExtend( P260:P264,W260:W264, AL260:AL264,AS260:AS264))</f>
        <v>-5.0770503797681332E-4</v>
      </c>
      <c r="BS260" s="45"/>
      <c r="BT260" s="45"/>
      <c r="BU260" s="45"/>
      <c r="BV260" s="44">
        <f>IF( OR(ISBLANK(P260:P264),ISBLANK(AL260:AL264), ISBLANK(AA260:AA264),ISBLANK(AW260:AW264)), "·", bdRateExtend( P260:P264,AA260:AA264, AL260:AL264,AW260:AW264))</f>
        <v>-2.6113617745648909E-4</v>
      </c>
    </row>
    <row r="261" spans="1:74" outlineLevel="1" x14ac:dyDescent="0.15">
      <c r="A261" s="16"/>
      <c r="B261" s="16" t="s">
        <v>386</v>
      </c>
      <c r="C261" s="17" t="s">
        <v>226</v>
      </c>
      <c r="D261" s="16">
        <v>126093865</v>
      </c>
      <c r="E261" s="18">
        <v>18</v>
      </c>
      <c r="F261" s="17">
        <v>1500</v>
      </c>
      <c r="G261" s="17">
        <v>10</v>
      </c>
      <c r="I261" s="19">
        <f t="shared" ref="I261:I284" si="46">IF(OR(ISBLANK(P261),ISBLANK(G261)),"·",P261*G261/F261/1000000)</f>
        <v>17.55399504</v>
      </c>
      <c r="J261" s="20">
        <f t="shared" ref="J261:J284" si="47">IF(ISBLANK(P261),"·",P261/D261)</f>
        <v>20.882056839165013</v>
      </c>
      <c r="K261" s="20">
        <f t="shared" ref="K261:K284" si="48">IF(Q261="","·",Q261/D261)</f>
        <v>17.910893983620852</v>
      </c>
      <c r="L261" s="21"/>
      <c r="M261" s="20">
        <f t="shared" si="44"/>
        <v>2.9496550684682399</v>
      </c>
      <c r="N261" s="20">
        <f t="shared" ref="N261:N284" si="49">IF(ISBLANK(P261),"·",P261/O261)</f>
        <v>20.882056839165013</v>
      </c>
      <c r="O261" s="22">
        <v>126093865</v>
      </c>
      <c r="P261" s="23">
        <v>2633099256</v>
      </c>
      <c r="Q261" s="23">
        <v>2258453848</v>
      </c>
      <c r="R261" s="24"/>
      <c r="S261" s="23">
        <v>371933408</v>
      </c>
      <c r="T261" s="26"/>
      <c r="U261" s="26"/>
      <c r="V261" s="26"/>
      <c r="W261" s="25">
        <v>94.560406</v>
      </c>
      <c r="X261" s="26"/>
      <c r="Y261" s="26"/>
      <c r="Z261" s="26"/>
      <c r="AA261" s="25">
        <v>90.308899999999994</v>
      </c>
      <c r="AB261" s="27"/>
      <c r="AC261" s="27"/>
      <c r="AE261" s="19">
        <f t="shared" ref="AE261:AE284" si="50">IF(OR(ISBLANK(AL261),ISBLANK(G261)),"·",AL261*G261/F261/1000000)</f>
        <v>17.55661392</v>
      </c>
      <c r="AF261" s="20">
        <f t="shared" ref="AF261:AF284" si="51">IF(ISBLANK(AL261),"·",AL261/D261)</f>
        <v>20.885172232606241</v>
      </c>
      <c r="AG261" s="20">
        <f t="shared" ref="AG261:AG284" si="52">IF(AM261="","·",AM261/D261)</f>
        <v>17.910893983620852</v>
      </c>
      <c r="AH261" s="21"/>
      <c r="AI261" s="20">
        <f t="shared" si="45"/>
        <v>2.9527704619094672</v>
      </c>
      <c r="AJ261" s="20">
        <f t="shared" ref="AJ261:AJ284" si="53">IF(ISBLANK(AL261),"·",AL261/AK261)</f>
        <v>20.885172232606241</v>
      </c>
      <c r="AK261" s="22">
        <v>126093865</v>
      </c>
      <c r="AL261" s="23">
        <v>2633492088</v>
      </c>
      <c r="AM261" s="23">
        <v>2258453848</v>
      </c>
      <c r="AN261" s="24"/>
      <c r="AO261" s="23">
        <v>372326240</v>
      </c>
      <c r="AP261" s="26"/>
      <c r="AQ261" s="26"/>
      <c r="AR261" s="26"/>
      <c r="AS261" s="25">
        <v>94.585356000000004</v>
      </c>
      <c r="AT261" s="26"/>
      <c r="AU261" s="26"/>
      <c r="AV261" s="26"/>
      <c r="AW261" s="25">
        <v>90.308899999999994</v>
      </c>
      <c r="AX261" s="27">
        <v>438.31299999999487</v>
      </c>
      <c r="AY261" s="27">
        <v>370.6439999999991</v>
      </c>
      <c r="BA261" s="28">
        <f t="shared" ref="BA261:BA284" si="54">(AM261/AL261) - (Q261/P261)</f>
        <v>-1.2794367760371461E-4</v>
      </c>
      <c r="BB261" s="28"/>
      <c r="BD261" s="30"/>
      <c r="BE261" s="30"/>
      <c r="BF261" s="30"/>
      <c r="BG261" s="29"/>
      <c r="BI261" s="30"/>
      <c r="BJ261" s="30"/>
      <c r="BK261" s="30"/>
      <c r="BL261" s="29"/>
      <c r="BN261" s="30"/>
      <c r="BO261" s="30"/>
      <c r="BP261" s="30"/>
      <c r="BQ261" s="29"/>
      <c r="BS261" s="30"/>
      <c r="BT261" s="30"/>
      <c r="BU261" s="30"/>
      <c r="BV261" s="29"/>
    </row>
    <row r="262" spans="1:74" outlineLevel="1" x14ac:dyDescent="0.15">
      <c r="A262" s="31"/>
      <c r="B262" s="31" t="s">
        <v>386</v>
      </c>
      <c r="C262" s="32" t="s">
        <v>227</v>
      </c>
      <c r="D262" s="31">
        <v>126093865</v>
      </c>
      <c r="E262" s="33">
        <v>18</v>
      </c>
      <c r="F262" s="32">
        <v>1500</v>
      </c>
      <c r="G262" s="32">
        <v>10</v>
      </c>
      <c r="I262" s="34">
        <f t="shared" si="46"/>
        <v>16.695105866666665</v>
      </c>
      <c r="J262" s="35">
        <f t="shared" si="47"/>
        <v>19.86033087335375</v>
      </c>
      <c r="K262" s="35">
        <f t="shared" si="48"/>
        <v>17.910893983620852</v>
      </c>
      <c r="L262" s="36"/>
      <c r="M262" s="35">
        <f t="shared" si="44"/>
        <v>1.927833935457526</v>
      </c>
      <c r="N262" s="35">
        <f t="shared" si="49"/>
        <v>19.86033087335375</v>
      </c>
      <c r="O262" s="37">
        <v>126093865</v>
      </c>
      <c r="P262" s="38">
        <v>2504265880</v>
      </c>
      <c r="Q262" s="38">
        <v>2258453848</v>
      </c>
      <c r="R262" s="39"/>
      <c r="S262" s="38">
        <v>243088032</v>
      </c>
      <c r="T262" s="41"/>
      <c r="U262" s="41"/>
      <c r="V262" s="41"/>
      <c r="W262" s="40">
        <v>87.816962000000004</v>
      </c>
      <c r="X262" s="41"/>
      <c r="Y262" s="41"/>
      <c r="Z262" s="41"/>
      <c r="AA262" s="40">
        <v>82.350099999999998</v>
      </c>
      <c r="AB262" s="42"/>
      <c r="AC262" s="42"/>
      <c r="AE262" s="34">
        <f t="shared" si="50"/>
        <v>16.691148106666667</v>
      </c>
      <c r="AF262" s="35">
        <f t="shared" si="51"/>
        <v>19.855622761662513</v>
      </c>
      <c r="AG262" s="35">
        <f t="shared" si="52"/>
        <v>17.910893983620852</v>
      </c>
      <c r="AH262" s="36"/>
      <c r="AI262" s="35">
        <f t="shared" si="45"/>
        <v>1.9231258237662872</v>
      </c>
      <c r="AJ262" s="35">
        <f t="shared" si="53"/>
        <v>19.855622761662513</v>
      </c>
      <c r="AK262" s="37">
        <v>126093865</v>
      </c>
      <c r="AL262" s="38">
        <v>2503672216</v>
      </c>
      <c r="AM262" s="38">
        <v>2258453848</v>
      </c>
      <c r="AN262" s="39"/>
      <c r="AO262" s="38">
        <v>242494368</v>
      </c>
      <c r="AP262" s="41"/>
      <c r="AQ262" s="41"/>
      <c r="AR262" s="41"/>
      <c r="AS262" s="40">
        <v>87.831632999999997</v>
      </c>
      <c r="AT262" s="41"/>
      <c r="AU262" s="41"/>
      <c r="AV262" s="41"/>
      <c r="AW262" s="40">
        <v>82.350099999999998</v>
      </c>
      <c r="AX262" s="42">
        <v>438.63199999999472</v>
      </c>
      <c r="AY262" s="42">
        <v>370.02899999999812</v>
      </c>
      <c r="BA262" s="43">
        <f t="shared" si="54"/>
        <v>2.1384250232736601E-4</v>
      </c>
      <c r="BB262" s="43"/>
      <c r="BD262" s="45"/>
      <c r="BE262" s="45"/>
      <c r="BF262" s="45"/>
      <c r="BG262" s="44"/>
      <c r="BI262" s="45"/>
      <c r="BJ262" s="45"/>
      <c r="BK262" s="45"/>
      <c r="BL262" s="44"/>
      <c r="BN262" s="45"/>
      <c r="BO262" s="45"/>
      <c r="BP262" s="45"/>
      <c r="BQ262" s="44"/>
      <c r="BS262" s="45"/>
      <c r="BT262" s="45"/>
      <c r="BU262" s="45"/>
      <c r="BV262" s="44"/>
    </row>
    <row r="263" spans="1:74" outlineLevel="1" x14ac:dyDescent="0.15">
      <c r="A263" s="16"/>
      <c r="B263" s="16" t="s">
        <v>386</v>
      </c>
      <c r="C263" s="17" t="s">
        <v>228</v>
      </c>
      <c r="D263" s="16">
        <v>126093865</v>
      </c>
      <c r="E263" s="18">
        <v>18</v>
      </c>
      <c r="F263" s="17">
        <v>1500</v>
      </c>
      <c r="G263" s="17">
        <v>10</v>
      </c>
      <c r="I263" s="19">
        <f t="shared" si="46"/>
        <v>16.044390026666669</v>
      </c>
      <c r="J263" s="20">
        <f t="shared" si="47"/>
        <v>19.086245821713849</v>
      </c>
      <c r="K263" s="20">
        <f t="shared" si="48"/>
        <v>17.910893983620852</v>
      </c>
      <c r="L263" s="21"/>
      <c r="M263" s="20">
        <f t="shared" si="44"/>
        <v>1.1537488838176226</v>
      </c>
      <c r="N263" s="20">
        <f t="shared" si="49"/>
        <v>19.086245821713849</v>
      </c>
      <c r="O263" s="22">
        <v>126093865</v>
      </c>
      <c r="P263" s="23">
        <v>2406658504</v>
      </c>
      <c r="Q263" s="23">
        <v>2258453848</v>
      </c>
      <c r="R263" s="24"/>
      <c r="S263" s="23">
        <v>145480656</v>
      </c>
      <c r="T263" s="26"/>
      <c r="U263" s="26"/>
      <c r="V263" s="26"/>
      <c r="W263" s="25">
        <v>82.395144000000002</v>
      </c>
      <c r="X263" s="26"/>
      <c r="Y263" s="26"/>
      <c r="Z263" s="26"/>
      <c r="AA263" s="25">
        <v>76.329499999999996</v>
      </c>
      <c r="AB263" s="27"/>
      <c r="AC263" s="27"/>
      <c r="AE263" s="19">
        <f t="shared" si="50"/>
        <v>16.031679733333334</v>
      </c>
      <c r="AF263" s="20">
        <f t="shared" si="51"/>
        <v>19.071125783954674</v>
      </c>
      <c r="AG263" s="20">
        <f t="shared" si="52"/>
        <v>17.910893983620852</v>
      </c>
      <c r="AH263" s="21"/>
      <c r="AI263" s="20">
        <f t="shared" si="45"/>
        <v>1.1386288460584502</v>
      </c>
      <c r="AJ263" s="20">
        <f t="shared" si="53"/>
        <v>19.071125783954674</v>
      </c>
      <c r="AK263" s="22">
        <v>126093865</v>
      </c>
      <c r="AL263" s="23">
        <v>2404751960</v>
      </c>
      <c r="AM263" s="23">
        <v>2258453848</v>
      </c>
      <c r="AN263" s="24"/>
      <c r="AO263" s="23">
        <v>143574112</v>
      </c>
      <c r="AP263" s="26"/>
      <c r="AQ263" s="26"/>
      <c r="AR263" s="26"/>
      <c r="AS263" s="25">
        <v>82.444389000000001</v>
      </c>
      <c r="AT263" s="26"/>
      <c r="AU263" s="26"/>
      <c r="AV263" s="26"/>
      <c r="AW263" s="25">
        <v>76.329499999999996</v>
      </c>
      <c r="AX263" s="27">
        <v>436.17199999999434</v>
      </c>
      <c r="AY263" s="27">
        <v>365.75199999999836</v>
      </c>
      <c r="BA263" s="28">
        <f t="shared" si="54"/>
        <v>7.4400061647539317E-4</v>
      </c>
      <c r="BB263" s="28"/>
      <c r="BD263" s="30"/>
      <c r="BE263" s="30"/>
      <c r="BF263" s="30"/>
      <c r="BG263" s="29"/>
      <c r="BI263" s="30"/>
      <c r="BJ263" s="30"/>
      <c r="BK263" s="30"/>
      <c r="BL263" s="29"/>
      <c r="BN263" s="30"/>
      <c r="BO263" s="30"/>
      <c r="BP263" s="30"/>
      <c r="BQ263" s="29"/>
      <c r="BS263" s="30"/>
      <c r="BT263" s="30"/>
      <c r="BU263" s="30"/>
      <c r="BV263" s="29"/>
    </row>
    <row r="264" spans="1:74" outlineLevel="1" x14ac:dyDescent="0.15">
      <c r="A264" s="31"/>
      <c r="B264" s="46" t="s">
        <v>386</v>
      </c>
      <c r="C264" s="47" t="s">
        <v>229</v>
      </c>
      <c r="D264" s="46">
        <v>126093865</v>
      </c>
      <c r="E264" s="48">
        <v>18</v>
      </c>
      <c r="F264" s="47">
        <v>1500</v>
      </c>
      <c r="G264" s="47">
        <v>10</v>
      </c>
      <c r="I264" s="49">
        <f t="shared" si="46"/>
        <v>15.521249386666666</v>
      </c>
      <c r="J264" s="50">
        <f t="shared" si="47"/>
        <v>18.463922951366428</v>
      </c>
      <c r="K264" s="50">
        <f t="shared" si="48"/>
        <v>17.910893983620852</v>
      </c>
      <c r="L264" s="51"/>
      <c r="M264" s="50">
        <f t="shared" si="44"/>
        <v>0.53142601347020335</v>
      </c>
      <c r="N264" s="50">
        <f t="shared" si="49"/>
        <v>18.463922951366428</v>
      </c>
      <c r="O264" s="52">
        <v>126093865</v>
      </c>
      <c r="P264" s="53">
        <v>2328187408</v>
      </c>
      <c r="Q264" s="53">
        <v>2258453848</v>
      </c>
      <c r="R264" s="54"/>
      <c r="S264" s="53">
        <v>67009560</v>
      </c>
      <c r="T264" s="56"/>
      <c r="U264" s="56"/>
      <c r="V264" s="56"/>
      <c r="W264" s="55">
        <v>76.571727999999993</v>
      </c>
      <c r="X264" s="56"/>
      <c r="Y264" s="56"/>
      <c r="Z264" s="56"/>
      <c r="AA264" s="55">
        <v>69.885099999999994</v>
      </c>
      <c r="AB264" s="57"/>
      <c r="AC264" s="57"/>
      <c r="AE264" s="49">
        <f t="shared" si="50"/>
        <v>15.506766133333333</v>
      </c>
      <c r="AF264" s="50">
        <f t="shared" si="51"/>
        <v>18.446693818133024</v>
      </c>
      <c r="AG264" s="50">
        <f t="shared" si="52"/>
        <v>17.910893983620852</v>
      </c>
      <c r="AH264" s="51"/>
      <c r="AI264" s="50">
        <f t="shared" si="45"/>
        <v>0.51419688023679821</v>
      </c>
      <c r="AJ264" s="50">
        <f t="shared" si="53"/>
        <v>18.446693818133024</v>
      </c>
      <c r="AK264" s="52">
        <v>126093865</v>
      </c>
      <c r="AL264" s="53">
        <v>2326014920</v>
      </c>
      <c r="AM264" s="53">
        <v>2258453848</v>
      </c>
      <c r="AN264" s="54"/>
      <c r="AO264" s="53">
        <v>64837072</v>
      </c>
      <c r="AP264" s="56"/>
      <c r="AQ264" s="56"/>
      <c r="AR264" s="56"/>
      <c r="AS264" s="55">
        <v>76.654185999999996</v>
      </c>
      <c r="AT264" s="56"/>
      <c r="AU264" s="56"/>
      <c r="AV264" s="56"/>
      <c r="AW264" s="55">
        <v>69.885099999999994</v>
      </c>
      <c r="AX264" s="57">
        <v>433.40599999999444</v>
      </c>
      <c r="AY264" s="57">
        <v>363.95099999999871</v>
      </c>
      <c r="BA264" s="58">
        <f t="shared" si="54"/>
        <v>9.0602081262125544E-4</v>
      </c>
      <c r="BB264" s="58"/>
      <c r="BD264" s="60"/>
      <c r="BE264" s="60"/>
      <c r="BF264" s="60"/>
      <c r="BG264" s="59"/>
      <c r="BI264" s="60"/>
      <c r="BJ264" s="60"/>
      <c r="BK264" s="60"/>
      <c r="BL264" s="59"/>
      <c r="BN264" s="60"/>
      <c r="BO264" s="60"/>
      <c r="BP264" s="60"/>
      <c r="BQ264" s="59"/>
      <c r="BS264" s="60"/>
      <c r="BT264" s="60"/>
      <c r="BU264" s="60"/>
      <c r="BV264" s="59"/>
    </row>
    <row r="265" spans="1:74" x14ac:dyDescent="0.15">
      <c r="A265" s="16"/>
      <c r="B265" s="16" t="s">
        <v>389</v>
      </c>
      <c r="C265" s="17" t="s">
        <v>225</v>
      </c>
      <c r="D265" s="16">
        <v>2233793</v>
      </c>
      <c r="E265" s="18">
        <v>18</v>
      </c>
      <c r="F265" s="17">
        <v>74</v>
      </c>
      <c r="G265" s="17">
        <v>5</v>
      </c>
      <c r="I265" s="19">
        <f t="shared" si="46"/>
        <v>1.9830821621621622</v>
      </c>
      <c r="J265" s="20">
        <f t="shared" si="47"/>
        <v>13.138914841258792</v>
      </c>
      <c r="K265" s="20">
        <f t="shared" si="48"/>
        <v>11.263009598472195</v>
      </c>
      <c r="L265" s="21"/>
      <c r="M265" s="20">
        <f t="shared" si="44"/>
        <v>1.8419826725215811</v>
      </c>
      <c r="N265" s="20">
        <f t="shared" si="49"/>
        <v>13.138914841258792</v>
      </c>
      <c r="O265" s="22">
        <v>2233793</v>
      </c>
      <c r="P265" s="23">
        <v>29349616</v>
      </c>
      <c r="Q265" s="23">
        <v>25159232</v>
      </c>
      <c r="R265" s="24"/>
      <c r="S265" s="23">
        <v>4114608</v>
      </c>
      <c r="T265" s="26"/>
      <c r="U265" s="26"/>
      <c r="V265" s="26"/>
      <c r="W265" s="25">
        <v>99.062877</v>
      </c>
      <c r="X265" s="26"/>
      <c r="Y265" s="26"/>
      <c r="Z265" s="26"/>
      <c r="AA265" s="25">
        <v>96.329499999999996</v>
      </c>
      <c r="AB265" s="27"/>
      <c r="AC265" s="27"/>
      <c r="AE265" s="19">
        <f t="shared" si="50"/>
        <v>1.986244864864865</v>
      </c>
      <c r="AF265" s="20">
        <f t="shared" si="51"/>
        <v>13.159869334356406</v>
      </c>
      <c r="AG265" s="20">
        <f t="shared" si="52"/>
        <v>11.263009598472195</v>
      </c>
      <c r="AH265" s="21"/>
      <c r="AI265" s="20">
        <f t="shared" si="45"/>
        <v>1.8629371656191958</v>
      </c>
      <c r="AJ265" s="20">
        <f t="shared" si="53"/>
        <v>13.159869334356406</v>
      </c>
      <c r="AK265" s="22">
        <v>2233793</v>
      </c>
      <c r="AL265" s="23">
        <v>29396424</v>
      </c>
      <c r="AM265" s="23">
        <v>25159232</v>
      </c>
      <c r="AN265" s="24"/>
      <c r="AO265" s="23">
        <v>4161416</v>
      </c>
      <c r="AP265" s="26"/>
      <c r="AQ265" s="26"/>
      <c r="AR265" s="26"/>
      <c r="AS265" s="25">
        <v>98.918062000000006</v>
      </c>
      <c r="AT265" s="26"/>
      <c r="AU265" s="26"/>
      <c r="AV265" s="26"/>
      <c r="AW265" s="25">
        <v>96.329499999999996</v>
      </c>
      <c r="AX265" s="27">
        <v>9.2479999999999976</v>
      </c>
      <c r="AY265" s="27">
        <v>8.3149999999999995</v>
      </c>
      <c r="BA265" s="28">
        <f t="shared" si="54"/>
        <v>-1.3649619300886151E-3</v>
      </c>
      <c r="BB265" s="28">
        <f t="array" ref="BB265">AVERAGE(AM265:AM269/AL265:AL269) - AVERAGE(Q265:Q269/P265:P269)</f>
        <v>-4.7674991184298854E-5</v>
      </c>
      <c r="BD265" s="30"/>
      <c r="BE265" s="30"/>
      <c r="BF265" s="30"/>
      <c r="BG265" s="29">
        <f>IF( OR(ISBLANK(S265:S269),ISBLANK(AO265:AO269), ISBLANK(W265:W269),ISBLANK(AS265:AS269)), "·", bdRateExtend( S265:S269,W265:W269, AO265:AO269,AS265:AS269))</f>
        <v>-1.3948371701632212E-2</v>
      </c>
      <c r="BI265" s="30"/>
      <c r="BJ265" s="30"/>
      <c r="BK265" s="30"/>
      <c r="BL265" s="29">
        <f>IF( OR(ISBLANK(S265:S269),ISBLANK(AO265:AO269), ISBLANK(AA265:AA269),ISBLANK(AW265:AW269)), "·", bdRateExtend( S265:S269,AA265:AA269, AO265:AO269,AW265:AW269))</f>
        <v>-9.6869198372258047E-3</v>
      </c>
      <c r="BN265" s="30"/>
      <c r="BO265" s="30"/>
      <c r="BP265" s="30"/>
      <c r="BQ265" s="29">
        <f>IF( OR(ISBLANK(P265:P269),ISBLANK(AL265:AL269), ISBLANK(W265:W269),ISBLANK(AS265:AS269)), "·", bdRateExtend( P265:P269,W265:W269, AL265:AL269,AS265:AS269))</f>
        <v>-3.4828288770993865E-4</v>
      </c>
      <c r="BS265" s="30"/>
      <c r="BT265" s="30"/>
      <c r="BU265" s="30"/>
      <c r="BV265" s="29">
        <f>IF( OR(ISBLANK(P265:P269),ISBLANK(AL265:AL269), ISBLANK(AA265:AA269),ISBLANK(AW265:AW269)), "·", bdRateExtend( P265:P269,AA265:AA269, AL265:AL269,AW265:AW269))</f>
        <v>-6.2083382296074241E-5</v>
      </c>
    </row>
    <row r="266" spans="1:74" outlineLevel="1" x14ac:dyDescent="0.15">
      <c r="A266" s="31"/>
      <c r="B266" s="31" t="s">
        <v>389</v>
      </c>
      <c r="C266" s="32" t="s">
        <v>226</v>
      </c>
      <c r="D266" s="31">
        <v>2233793</v>
      </c>
      <c r="E266" s="33">
        <v>18</v>
      </c>
      <c r="F266" s="32">
        <v>74</v>
      </c>
      <c r="G266" s="32">
        <v>5</v>
      </c>
      <c r="I266" s="34">
        <f t="shared" si="46"/>
        <v>1.9101027027027027</v>
      </c>
      <c r="J266" s="35">
        <f t="shared" si="47"/>
        <v>12.655389286294657</v>
      </c>
      <c r="K266" s="35">
        <f t="shared" si="48"/>
        <v>11.263009598472195</v>
      </c>
      <c r="L266" s="36"/>
      <c r="M266" s="35">
        <f t="shared" si="44"/>
        <v>1.358457117557446</v>
      </c>
      <c r="N266" s="35">
        <f t="shared" si="49"/>
        <v>12.655389286294657</v>
      </c>
      <c r="O266" s="37">
        <v>2233793</v>
      </c>
      <c r="P266" s="38">
        <v>28269520</v>
      </c>
      <c r="Q266" s="38">
        <v>25159232</v>
      </c>
      <c r="R266" s="39"/>
      <c r="S266" s="38">
        <v>3034512</v>
      </c>
      <c r="T266" s="41"/>
      <c r="U266" s="41"/>
      <c r="V266" s="41"/>
      <c r="W266" s="40">
        <v>94.353149000000002</v>
      </c>
      <c r="X266" s="41"/>
      <c r="Y266" s="41"/>
      <c r="Z266" s="41"/>
      <c r="AA266" s="40">
        <v>90.308899999999994</v>
      </c>
      <c r="AB266" s="42"/>
      <c r="AC266" s="42"/>
      <c r="AE266" s="34">
        <f t="shared" si="50"/>
        <v>1.9113124324324324</v>
      </c>
      <c r="AF266" s="35">
        <f t="shared" si="51"/>
        <v>12.663404353044351</v>
      </c>
      <c r="AG266" s="35">
        <f t="shared" si="52"/>
        <v>11.263009598472195</v>
      </c>
      <c r="AH266" s="36"/>
      <c r="AI266" s="35">
        <f t="shared" si="45"/>
        <v>1.3664721843071403</v>
      </c>
      <c r="AJ266" s="35">
        <f t="shared" si="53"/>
        <v>12.663404353044351</v>
      </c>
      <c r="AK266" s="37">
        <v>2233793</v>
      </c>
      <c r="AL266" s="38">
        <v>28287424</v>
      </c>
      <c r="AM266" s="38">
        <v>25159232</v>
      </c>
      <c r="AN266" s="39"/>
      <c r="AO266" s="38">
        <v>3052416</v>
      </c>
      <c r="AP266" s="41"/>
      <c r="AQ266" s="41"/>
      <c r="AR266" s="41"/>
      <c r="AS266" s="40">
        <v>94.406971999999996</v>
      </c>
      <c r="AT266" s="41"/>
      <c r="AU266" s="41"/>
      <c r="AV266" s="41"/>
      <c r="AW266" s="40">
        <v>90.308899999999994</v>
      </c>
      <c r="AX266" s="42">
        <v>9.6579999999999977</v>
      </c>
      <c r="AY266" s="42">
        <v>8.1279999999999983</v>
      </c>
      <c r="BA266" s="43">
        <f t="shared" si="54"/>
        <v>-5.6329463441651129E-4</v>
      </c>
      <c r="BB266" s="43"/>
      <c r="BD266" s="45"/>
      <c r="BE266" s="45"/>
      <c r="BF266" s="45"/>
      <c r="BG266" s="44"/>
      <c r="BI266" s="45"/>
      <c r="BJ266" s="45"/>
      <c r="BK266" s="45"/>
      <c r="BL266" s="44"/>
      <c r="BN266" s="45"/>
      <c r="BO266" s="45"/>
      <c r="BP266" s="45"/>
      <c r="BQ266" s="44"/>
      <c r="BS266" s="45"/>
      <c r="BT266" s="45"/>
      <c r="BU266" s="45"/>
      <c r="BV266" s="44"/>
    </row>
    <row r="267" spans="1:74" outlineLevel="1" x14ac:dyDescent="0.15">
      <c r="A267" s="16"/>
      <c r="B267" s="16" t="s">
        <v>389</v>
      </c>
      <c r="C267" s="17" t="s">
        <v>227</v>
      </c>
      <c r="D267" s="16">
        <v>2233793</v>
      </c>
      <c r="E267" s="18">
        <v>18</v>
      </c>
      <c r="F267" s="17">
        <v>74</v>
      </c>
      <c r="G267" s="17">
        <v>5</v>
      </c>
      <c r="I267" s="19">
        <f t="shared" si="46"/>
        <v>1.8249351351351351</v>
      </c>
      <c r="J267" s="20">
        <f t="shared" si="47"/>
        <v>12.091111396624486</v>
      </c>
      <c r="K267" s="20">
        <f t="shared" si="48"/>
        <v>11.263009598472195</v>
      </c>
      <c r="L267" s="21"/>
      <c r="M267" s="20">
        <f t="shared" ref="M267:M284" si="55">IF(ISBLANK(Q267),"·",S267/D267)</f>
        <v>0.79391420780707966</v>
      </c>
      <c r="N267" s="20">
        <f t="shared" si="49"/>
        <v>12.091111396624486</v>
      </c>
      <c r="O267" s="22">
        <v>2233793</v>
      </c>
      <c r="P267" s="23">
        <v>27009040</v>
      </c>
      <c r="Q267" s="23">
        <v>25159232</v>
      </c>
      <c r="R267" s="24"/>
      <c r="S267" s="23">
        <v>1773440</v>
      </c>
      <c r="T267" s="26"/>
      <c r="U267" s="26"/>
      <c r="V267" s="26"/>
      <c r="W267" s="25">
        <v>87.281550999999993</v>
      </c>
      <c r="X267" s="26"/>
      <c r="Y267" s="26"/>
      <c r="Z267" s="26"/>
      <c r="AA267" s="25">
        <v>82.350099999999998</v>
      </c>
      <c r="AB267" s="27"/>
      <c r="AC267" s="27"/>
      <c r="AE267" s="19">
        <f t="shared" si="50"/>
        <v>1.8242967567567567</v>
      </c>
      <c r="AF267" s="20">
        <f t="shared" si="51"/>
        <v>12.086881819398664</v>
      </c>
      <c r="AG267" s="20">
        <f t="shared" si="52"/>
        <v>11.263009598472195</v>
      </c>
      <c r="AH267" s="21"/>
      <c r="AI267" s="20">
        <f t="shared" ref="AI267:AI284" si="56">IF(ISBLANK(AM267),"·",AO267/D267)</f>
        <v>0.78968463058125793</v>
      </c>
      <c r="AJ267" s="20">
        <f t="shared" si="53"/>
        <v>12.086881819398664</v>
      </c>
      <c r="AK267" s="22">
        <v>2233793</v>
      </c>
      <c r="AL267" s="23">
        <v>26999592</v>
      </c>
      <c r="AM267" s="23">
        <v>25159232</v>
      </c>
      <c r="AN267" s="24"/>
      <c r="AO267" s="23">
        <v>1763992</v>
      </c>
      <c r="AP267" s="26"/>
      <c r="AQ267" s="26"/>
      <c r="AR267" s="26"/>
      <c r="AS267" s="25">
        <v>87.331630000000004</v>
      </c>
      <c r="AT267" s="26"/>
      <c r="AU267" s="26"/>
      <c r="AV267" s="26"/>
      <c r="AW267" s="25">
        <v>82.350099999999998</v>
      </c>
      <c r="AX267" s="27">
        <v>9.4969999999999981</v>
      </c>
      <c r="AY267" s="27">
        <v>8.240000000000002</v>
      </c>
      <c r="BA267" s="28">
        <f t="shared" si="54"/>
        <v>3.2596495808123738E-4</v>
      </c>
      <c r="BB267" s="28"/>
      <c r="BD267" s="30"/>
      <c r="BE267" s="30"/>
      <c r="BF267" s="30"/>
      <c r="BG267" s="29"/>
      <c r="BI267" s="30"/>
      <c r="BJ267" s="30"/>
      <c r="BK267" s="30"/>
      <c r="BL267" s="29"/>
      <c r="BN267" s="30"/>
      <c r="BO267" s="30"/>
      <c r="BP267" s="30"/>
      <c r="BQ267" s="29"/>
      <c r="BS267" s="30"/>
      <c r="BT267" s="30"/>
      <c r="BU267" s="30"/>
      <c r="BV267" s="29"/>
    </row>
    <row r="268" spans="1:74" outlineLevel="1" x14ac:dyDescent="0.15">
      <c r="A268" s="31"/>
      <c r="B268" s="31" t="s">
        <v>389</v>
      </c>
      <c r="C268" s="32" t="s">
        <v>228</v>
      </c>
      <c r="D268" s="31">
        <v>2233793</v>
      </c>
      <c r="E268" s="33">
        <v>18</v>
      </c>
      <c r="F268" s="32">
        <v>74</v>
      </c>
      <c r="G268" s="32">
        <v>5</v>
      </c>
      <c r="I268" s="34">
        <f t="shared" si="46"/>
        <v>1.7651978378378379</v>
      </c>
      <c r="J268" s="35">
        <f t="shared" si="47"/>
        <v>11.695321813614781</v>
      </c>
      <c r="K268" s="35">
        <f t="shared" si="48"/>
        <v>11.263009598472195</v>
      </c>
      <c r="L268" s="36"/>
      <c r="M268" s="35">
        <f t="shared" si="55"/>
        <v>0.39812462479737382</v>
      </c>
      <c r="N268" s="35">
        <f t="shared" si="49"/>
        <v>11.695321813614781</v>
      </c>
      <c r="O268" s="37">
        <v>2233793</v>
      </c>
      <c r="P268" s="38">
        <v>26124928</v>
      </c>
      <c r="Q268" s="38">
        <v>25159232</v>
      </c>
      <c r="R268" s="39"/>
      <c r="S268" s="38">
        <v>889328</v>
      </c>
      <c r="T268" s="41"/>
      <c r="U268" s="41"/>
      <c r="V268" s="41"/>
      <c r="W268" s="40">
        <v>81.431612000000001</v>
      </c>
      <c r="X268" s="41"/>
      <c r="Y268" s="41"/>
      <c r="Z268" s="41"/>
      <c r="AA268" s="40">
        <v>76.329499999999996</v>
      </c>
      <c r="AB268" s="42"/>
      <c r="AC268" s="42"/>
      <c r="AE268" s="34">
        <f t="shared" si="50"/>
        <v>1.7635724324324324</v>
      </c>
      <c r="AF268" s="35">
        <f t="shared" si="51"/>
        <v>11.684552686842514</v>
      </c>
      <c r="AG268" s="35">
        <f t="shared" si="52"/>
        <v>11.263009598472195</v>
      </c>
      <c r="AH268" s="36"/>
      <c r="AI268" s="35">
        <f t="shared" si="56"/>
        <v>0.38735549802510799</v>
      </c>
      <c r="AJ268" s="35">
        <f t="shared" si="53"/>
        <v>11.684552686842514</v>
      </c>
      <c r="AK268" s="37">
        <v>2233793</v>
      </c>
      <c r="AL268" s="38">
        <v>26100872</v>
      </c>
      <c r="AM268" s="38">
        <v>25159232</v>
      </c>
      <c r="AN268" s="39"/>
      <c r="AO268" s="38">
        <v>865272</v>
      </c>
      <c r="AP268" s="41"/>
      <c r="AQ268" s="41"/>
      <c r="AR268" s="41"/>
      <c r="AS268" s="40">
        <v>81.546756999999999</v>
      </c>
      <c r="AT268" s="41"/>
      <c r="AU268" s="41"/>
      <c r="AV268" s="41"/>
      <c r="AW268" s="40">
        <v>76.329499999999996</v>
      </c>
      <c r="AX268" s="42">
        <v>9.4239999999999995</v>
      </c>
      <c r="AY268" s="42">
        <v>8.02</v>
      </c>
      <c r="BA268" s="43">
        <f t="shared" si="54"/>
        <v>8.8758647512177102E-4</v>
      </c>
      <c r="BB268" s="43"/>
      <c r="BD268" s="45"/>
      <c r="BE268" s="45"/>
      <c r="BF268" s="45"/>
      <c r="BG268" s="44"/>
      <c r="BI268" s="45"/>
      <c r="BJ268" s="45"/>
      <c r="BK268" s="45"/>
      <c r="BL268" s="44"/>
      <c r="BN268" s="45"/>
      <c r="BO268" s="45"/>
      <c r="BP268" s="45"/>
      <c r="BQ268" s="44"/>
      <c r="BS268" s="45"/>
      <c r="BT268" s="45"/>
      <c r="BU268" s="45"/>
      <c r="BV268" s="44"/>
    </row>
    <row r="269" spans="1:74" outlineLevel="1" x14ac:dyDescent="0.15">
      <c r="A269" s="16"/>
      <c r="B269" s="65" t="s">
        <v>389</v>
      </c>
      <c r="C269" s="67" t="s">
        <v>229</v>
      </c>
      <c r="D269" s="65">
        <v>2233793</v>
      </c>
      <c r="E269" s="66">
        <v>18</v>
      </c>
      <c r="F269" s="67">
        <v>74</v>
      </c>
      <c r="G269" s="67">
        <v>5</v>
      </c>
      <c r="I269" s="69">
        <f t="shared" si="46"/>
        <v>1.7268205405405406</v>
      </c>
      <c r="J269" s="70">
        <f t="shared" si="47"/>
        <v>11.441052953429436</v>
      </c>
      <c r="K269" s="70">
        <f t="shared" si="48"/>
        <v>11.263009598472195</v>
      </c>
      <c r="L269" s="75"/>
      <c r="M269" s="70">
        <f t="shared" si="55"/>
        <v>0.14385576461202984</v>
      </c>
      <c r="N269" s="70">
        <f t="shared" si="49"/>
        <v>11.441052953429436</v>
      </c>
      <c r="O269" s="71">
        <v>2233793</v>
      </c>
      <c r="P269" s="72">
        <v>25556944</v>
      </c>
      <c r="Q269" s="72">
        <v>25159232</v>
      </c>
      <c r="R269" s="76"/>
      <c r="S269" s="72">
        <v>321344</v>
      </c>
      <c r="T269" s="78"/>
      <c r="U269" s="78"/>
      <c r="V269" s="78"/>
      <c r="W269" s="77">
        <v>75.892570000000006</v>
      </c>
      <c r="X269" s="78"/>
      <c r="Y269" s="78"/>
      <c r="Z269" s="78"/>
      <c r="AA269" s="77">
        <v>69.885099999999994</v>
      </c>
      <c r="AB269" s="73"/>
      <c r="AC269" s="73"/>
      <c r="AE269" s="69">
        <f t="shared" si="50"/>
        <v>1.7259854054054053</v>
      </c>
      <c r="AF269" s="70">
        <f t="shared" si="51"/>
        <v>11.435519763917247</v>
      </c>
      <c r="AG269" s="70">
        <f t="shared" si="52"/>
        <v>11.263009598472195</v>
      </c>
      <c r="AH269" s="75"/>
      <c r="AI269" s="70">
        <f t="shared" si="56"/>
        <v>0.13832257509984139</v>
      </c>
      <c r="AJ269" s="70">
        <f t="shared" si="53"/>
        <v>11.435519763917247</v>
      </c>
      <c r="AK269" s="71">
        <v>2233793</v>
      </c>
      <c r="AL269" s="72">
        <v>25544584</v>
      </c>
      <c r="AM269" s="72">
        <v>25159232</v>
      </c>
      <c r="AN269" s="76"/>
      <c r="AO269" s="72">
        <v>308984</v>
      </c>
      <c r="AP269" s="78"/>
      <c r="AQ269" s="78"/>
      <c r="AR269" s="78"/>
      <c r="AS269" s="77">
        <v>75.731279999999998</v>
      </c>
      <c r="AT269" s="78"/>
      <c r="AU269" s="78"/>
      <c r="AV269" s="78"/>
      <c r="AW269" s="77">
        <v>69.885099999999994</v>
      </c>
      <c r="AX269" s="73">
        <v>9.407</v>
      </c>
      <c r="AY269" s="73">
        <v>8.286999999999999</v>
      </c>
      <c r="BA269" s="68">
        <f t="shared" si="54"/>
        <v>4.7633017538006861E-4</v>
      </c>
      <c r="BB269" s="68"/>
      <c r="BD269" s="79"/>
      <c r="BE269" s="79"/>
      <c r="BF269" s="79"/>
      <c r="BG269" s="74"/>
      <c r="BI269" s="79"/>
      <c r="BJ269" s="79"/>
      <c r="BK269" s="79"/>
      <c r="BL269" s="74"/>
      <c r="BN269" s="79"/>
      <c r="BO269" s="79"/>
      <c r="BP269" s="79"/>
      <c r="BQ269" s="74"/>
      <c r="BS269" s="79"/>
      <c r="BT269" s="79"/>
      <c r="BU269" s="79"/>
      <c r="BV269" s="74"/>
    </row>
    <row r="270" spans="1:74" x14ac:dyDescent="0.15">
      <c r="A270" s="31"/>
      <c r="B270" s="31" t="s">
        <v>392</v>
      </c>
      <c r="C270" s="32" t="s">
        <v>225</v>
      </c>
      <c r="D270" s="31">
        <v>2016190</v>
      </c>
      <c r="E270" s="33">
        <v>18</v>
      </c>
      <c r="F270" s="32">
        <v>74</v>
      </c>
      <c r="G270" s="32">
        <v>5</v>
      </c>
      <c r="I270" s="34">
        <f t="shared" si="46"/>
        <v>1.6463302702702702</v>
      </c>
      <c r="J270" s="35">
        <f t="shared" si="47"/>
        <v>12.085015797122296</v>
      </c>
      <c r="K270" s="35">
        <f t="shared" si="48"/>
        <v>10.980560363854597</v>
      </c>
      <c r="L270" s="36"/>
      <c r="M270" s="35">
        <f t="shared" si="55"/>
        <v>1.0668716738005843</v>
      </c>
      <c r="N270" s="35">
        <f t="shared" si="49"/>
        <v>12.085015797122296</v>
      </c>
      <c r="O270" s="37">
        <v>2016190</v>
      </c>
      <c r="P270" s="38">
        <v>24365688</v>
      </c>
      <c r="Q270" s="38">
        <v>22138896</v>
      </c>
      <c r="R270" s="39"/>
      <c r="S270" s="38">
        <v>2151016</v>
      </c>
      <c r="T270" s="41"/>
      <c r="U270" s="41"/>
      <c r="V270" s="41"/>
      <c r="W270" s="40">
        <v>98.884454000000005</v>
      </c>
      <c r="X270" s="41"/>
      <c r="Y270" s="41"/>
      <c r="Z270" s="41"/>
      <c r="AA270" s="40">
        <v>96.329499999999996</v>
      </c>
      <c r="AB270" s="42"/>
      <c r="AC270" s="42"/>
      <c r="AE270" s="34">
        <f t="shared" si="50"/>
        <v>1.650354054054054</v>
      </c>
      <c r="AF270" s="35">
        <f t="shared" si="51"/>
        <v>12.114552695926475</v>
      </c>
      <c r="AG270" s="35">
        <f t="shared" si="52"/>
        <v>10.980560363854597</v>
      </c>
      <c r="AH270" s="36"/>
      <c r="AI270" s="35">
        <f t="shared" si="56"/>
        <v>1.0964085726047645</v>
      </c>
      <c r="AJ270" s="35">
        <f t="shared" si="53"/>
        <v>12.114552695926475</v>
      </c>
      <c r="AK270" s="37">
        <v>2016190</v>
      </c>
      <c r="AL270" s="38">
        <v>24425240</v>
      </c>
      <c r="AM270" s="38">
        <v>22138896</v>
      </c>
      <c r="AN270" s="39"/>
      <c r="AO270" s="38">
        <v>2210568</v>
      </c>
      <c r="AP270" s="41"/>
      <c r="AQ270" s="41"/>
      <c r="AR270" s="41"/>
      <c r="AS270" s="40">
        <v>98.674340999999998</v>
      </c>
      <c r="AT270" s="41"/>
      <c r="AU270" s="41"/>
      <c r="AV270" s="41"/>
      <c r="AW270" s="40">
        <v>96.329499999999996</v>
      </c>
      <c r="AX270" s="42">
        <v>9.2360000000000007</v>
      </c>
      <c r="AY270" s="42">
        <v>7.4879999999999969</v>
      </c>
      <c r="BA270" s="43">
        <f t="shared" si="54"/>
        <v>-2.2153114542184937E-3</v>
      </c>
      <c r="BB270" s="43">
        <f t="array" ref="BB270">AVERAGE(AM270:AM274/AL270:AL274) - AVERAGE(Q270:Q274/P270:P274)</f>
        <v>-6.6639217886321767E-4</v>
      </c>
      <c r="BD270" s="45"/>
      <c r="BE270" s="45"/>
      <c r="BF270" s="45"/>
      <c r="BG270" s="44">
        <f>IF( OR(ISBLANK(S270:S274),ISBLANK(AO270:AO274), ISBLANK(W270:W274),ISBLANK(AS270:AS274)), "·", bdRateExtend( S270:S274,W270:W274, AO270:AO274,AS270:AS274))</f>
        <v>1.3848429235879811E-2</v>
      </c>
      <c r="BI270" s="45"/>
      <c r="BJ270" s="45"/>
      <c r="BK270" s="45"/>
      <c r="BL270" s="44">
        <f>IF( OR(ISBLANK(S270:S274),ISBLANK(AO270:AO274), ISBLANK(AA270:AA274),ISBLANK(AW270:AW274)), "·", bdRateExtend( S270:S274,AA270:AA274, AO270:AO274,AW270:AW274))</f>
        <v>6.8438538571642393E-3</v>
      </c>
      <c r="BN270" s="45"/>
      <c r="BO270" s="45"/>
      <c r="BP270" s="45"/>
      <c r="BQ270" s="44">
        <f>IF( OR(ISBLANK(P270:P274),ISBLANK(AL270:AL274), ISBLANK(W270:W274),ISBLANK(AS270:AS274)), "·", bdRateExtend( P270:P274,W270:W274, AL270:AL274,AS270:AS274))</f>
        <v>7.4132320500508442E-4</v>
      </c>
      <c r="BS270" s="45"/>
      <c r="BT270" s="45"/>
      <c r="BU270" s="45"/>
      <c r="BV270" s="44">
        <f>IF( OR(ISBLANK(P270:P274),ISBLANK(AL270:AL274), ISBLANK(AA270:AA274),ISBLANK(AW270:AW274)), "·", bdRateExtend( P270:P274,AA270:AA274, AL270:AL274,AW270:AW274))</f>
        <v>6.0908401152071079E-4</v>
      </c>
    </row>
    <row r="271" spans="1:74" outlineLevel="1" x14ac:dyDescent="0.15">
      <c r="A271" s="16"/>
      <c r="B271" s="16" t="s">
        <v>392</v>
      </c>
      <c r="C271" s="17" t="s">
        <v>226</v>
      </c>
      <c r="D271" s="16">
        <v>2016190</v>
      </c>
      <c r="E271" s="18">
        <v>18</v>
      </c>
      <c r="F271" s="17">
        <v>74</v>
      </c>
      <c r="G271" s="17">
        <v>5</v>
      </c>
      <c r="I271" s="19">
        <f t="shared" si="46"/>
        <v>1.6044962162162164</v>
      </c>
      <c r="J271" s="20">
        <f t="shared" si="47"/>
        <v>11.7779296594071</v>
      </c>
      <c r="K271" s="20">
        <f t="shared" si="48"/>
        <v>10.980560363854597</v>
      </c>
      <c r="L271" s="21"/>
      <c r="M271" s="20">
        <f t="shared" si="55"/>
        <v>0.75978553608538879</v>
      </c>
      <c r="N271" s="20">
        <f t="shared" si="49"/>
        <v>11.7779296594071</v>
      </c>
      <c r="O271" s="22">
        <v>2016190</v>
      </c>
      <c r="P271" s="23">
        <v>23746544</v>
      </c>
      <c r="Q271" s="23">
        <v>22138896</v>
      </c>
      <c r="R271" s="24"/>
      <c r="S271" s="23">
        <v>1531872</v>
      </c>
      <c r="T271" s="26"/>
      <c r="U271" s="26"/>
      <c r="V271" s="26"/>
      <c r="W271" s="25">
        <v>94.399814000000006</v>
      </c>
      <c r="X271" s="26"/>
      <c r="Y271" s="26"/>
      <c r="Z271" s="26"/>
      <c r="AA271" s="25">
        <v>90.308899999999994</v>
      </c>
      <c r="AB271" s="27"/>
      <c r="AC271" s="27"/>
      <c r="AE271" s="19">
        <f t="shared" si="50"/>
        <v>1.6064329729729729</v>
      </c>
      <c r="AF271" s="20">
        <f t="shared" si="51"/>
        <v>11.792146573487617</v>
      </c>
      <c r="AG271" s="20">
        <f t="shared" si="52"/>
        <v>10.980560363854597</v>
      </c>
      <c r="AH271" s="21"/>
      <c r="AI271" s="20">
        <f t="shared" si="56"/>
        <v>0.77400245016590696</v>
      </c>
      <c r="AJ271" s="20">
        <f t="shared" si="53"/>
        <v>11.792146573487617</v>
      </c>
      <c r="AK271" s="22">
        <v>2016190</v>
      </c>
      <c r="AL271" s="23">
        <v>23775208</v>
      </c>
      <c r="AM271" s="23">
        <v>22138896</v>
      </c>
      <c r="AN271" s="24"/>
      <c r="AO271" s="23">
        <v>1560536</v>
      </c>
      <c r="AP271" s="26"/>
      <c r="AQ271" s="26"/>
      <c r="AR271" s="26"/>
      <c r="AS271" s="25">
        <v>94.367217999999994</v>
      </c>
      <c r="AT271" s="26"/>
      <c r="AU271" s="26"/>
      <c r="AV271" s="26"/>
      <c r="AW271" s="25">
        <v>90.308899999999994</v>
      </c>
      <c r="AX271" s="27">
        <v>9.0939999999999994</v>
      </c>
      <c r="AY271" s="27">
        <v>8.0519999999999996</v>
      </c>
      <c r="BA271" s="28">
        <f t="shared" si="54"/>
        <v>-1.1240044160789608E-3</v>
      </c>
      <c r="BB271" s="28"/>
      <c r="BD271" s="30"/>
      <c r="BE271" s="30"/>
      <c r="BF271" s="30"/>
      <c r="BG271" s="29"/>
      <c r="BI271" s="30"/>
      <c r="BJ271" s="30"/>
      <c r="BK271" s="30"/>
      <c r="BL271" s="29"/>
      <c r="BN271" s="30"/>
      <c r="BO271" s="30"/>
      <c r="BP271" s="30"/>
      <c r="BQ271" s="29"/>
      <c r="BS271" s="30"/>
      <c r="BT271" s="30"/>
      <c r="BU271" s="30"/>
      <c r="BV271" s="29"/>
    </row>
    <row r="272" spans="1:74" outlineLevel="1" x14ac:dyDescent="0.15">
      <c r="A272" s="31"/>
      <c r="B272" s="31" t="s">
        <v>392</v>
      </c>
      <c r="C272" s="32" t="s">
        <v>227</v>
      </c>
      <c r="D272" s="31">
        <v>2016190</v>
      </c>
      <c r="E272" s="33">
        <v>18</v>
      </c>
      <c r="F272" s="32">
        <v>74</v>
      </c>
      <c r="G272" s="32">
        <v>5</v>
      </c>
      <c r="I272" s="34">
        <f t="shared" si="46"/>
        <v>1.5575562162162164</v>
      </c>
      <c r="J272" s="35">
        <f t="shared" si="47"/>
        <v>11.433362927105085</v>
      </c>
      <c r="K272" s="35">
        <f t="shared" si="48"/>
        <v>10.980560363854597</v>
      </c>
      <c r="L272" s="36"/>
      <c r="M272" s="35">
        <f t="shared" si="55"/>
        <v>0.41492518066253675</v>
      </c>
      <c r="N272" s="35">
        <f t="shared" si="49"/>
        <v>11.433362927105085</v>
      </c>
      <c r="O272" s="37">
        <v>2016190</v>
      </c>
      <c r="P272" s="38">
        <v>23051832</v>
      </c>
      <c r="Q272" s="38">
        <v>22138896</v>
      </c>
      <c r="R272" s="39"/>
      <c r="S272" s="38">
        <v>836568</v>
      </c>
      <c r="T272" s="41"/>
      <c r="U272" s="41"/>
      <c r="V272" s="41"/>
      <c r="W272" s="40">
        <v>87.275192000000004</v>
      </c>
      <c r="X272" s="41"/>
      <c r="Y272" s="41"/>
      <c r="Z272" s="41"/>
      <c r="AA272" s="40">
        <v>82.350099999999998</v>
      </c>
      <c r="AB272" s="42"/>
      <c r="AC272" s="42"/>
      <c r="AE272" s="34">
        <f t="shared" si="50"/>
        <v>1.558155135135135</v>
      </c>
      <c r="AF272" s="35">
        <f t="shared" si="51"/>
        <v>11.437759338157614</v>
      </c>
      <c r="AG272" s="35">
        <f t="shared" si="52"/>
        <v>10.980560363854597</v>
      </c>
      <c r="AH272" s="36"/>
      <c r="AI272" s="35">
        <f t="shared" si="56"/>
        <v>0.41932159171506656</v>
      </c>
      <c r="AJ272" s="35">
        <f t="shared" si="53"/>
        <v>11.437759338157614</v>
      </c>
      <c r="AK272" s="37">
        <v>2016190</v>
      </c>
      <c r="AL272" s="38">
        <v>23060696</v>
      </c>
      <c r="AM272" s="38">
        <v>22138896</v>
      </c>
      <c r="AN272" s="39"/>
      <c r="AO272" s="38">
        <v>845432</v>
      </c>
      <c r="AP272" s="41"/>
      <c r="AQ272" s="41"/>
      <c r="AR272" s="41"/>
      <c r="AS272" s="40">
        <v>87.322858999999994</v>
      </c>
      <c r="AT272" s="41"/>
      <c r="AU272" s="41"/>
      <c r="AV272" s="41"/>
      <c r="AW272" s="40">
        <v>82.350099999999998</v>
      </c>
      <c r="AX272" s="42">
        <v>9.1409999999999965</v>
      </c>
      <c r="AY272" s="42">
        <v>7.8979999999999997</v>
      </c>
      <c r="BA272" s="43">
        <f t="shared" si="54"/>
        <v>-3.6915423152583671E-4</v>
      </c>
      <c r="BB272" s="43"/>
      <c r="BD272" s="45"/>
      <c r="BE272" s="45"/>
      <c r="BF272" s="45"/>
      <c r="BG272" s="44"/>
      <c r="BI272" s="45"/>
      <c r="BJ272" s="45"/>
      <c r="BK272" s="45"/>
      <c r="BL272" s="44"/>
      <c r="BN272" s="45"/>
      <c r="BO272" s="45"/>
      <c r="BP272" s="45"/>
      <c r="BQ272" s="44"/>
      <c r="BS272" s="45"/>
      <c r="BT272" s="45"/>
      <c r="BU272" s="45"/>
      <c r="BV272" s="44"/>
    </row>
    <row r="273" spans="1:74" outlineLevel="1" x14ac:dyDescent="0.15">
      <c r="A273" s="16"/>
      <c r="B273" s="16" t="s">
        <v>392</v>
      </c>
      <c r="C273" s="17" t="s">
        <v>228</v>
      </c>
      <c r="D273" s="16">
        <v>2016190</v>
      </c>
      <c r="E273" s="18">
        <v>18</v>
      </c>
      <c r="F273" s="17">
        <v>74</v>
      </c>
      <c r="G273" s="17">
        <v>5</v>
      </c>
      <c r="I273" s="19">
        <f t="shared" si="46"/>
        <v>1.5323459459459461</v>
      </c>
      <c r="J273" s="20">
        <f t="shared" si="47"/>
        <v>11.248304971257669</v>
      </c>
      <c r="K273" s="20">
        <f t="shared" si="48"/>
        <v>10.980560363854597</v>
      </c>
      <c r="L273" s="21"/>
      <c r="M273" s="20">
        <f t="shared" si="55"/>
        <v>0.22986722481512159</v>
      </c>
      <c r="N273" s="20">
        <f t="shared" si="49"/>
        <v>11.248304971257669</v>
      </c>
      <c r="O273" s="22">
        <v>2016190</v>
      </c>
      <c r="P273" s="23">
        <v>22678720</v>
      </c>
      <c r="Q273" s="23">
        <v>22138896</v>
      </c>
      <c r="R273" s="24"/>
      <c r="S273" s="23">
        <v>463456</v>
      </c>
      <c r="T273" s="26"/>
      <c r="U273" s="26"/>
      <c r="V273" s="26"/>
      <c r="W273" s="25">
        <v>81.994827000000001</v>
      </c>
      <c r="X273" s="26"/>
      <c r="Y273" s="26"/>
      <c r="Z273" s="26"/>
      <c r="AA273" s="25">
        <v>76.329499999999996</v>
      </c>
      <c r="AB273" s="27"/>
      <c r="AC273" s="27"/>
      <c r="AE273" s="19">
        <f t="shared" si="50"/>
        <v>1.5322162162162163</v>
      </c>
      <c r="AF273" s="20">
        <f t="shared" si="51"/>
        <v>11.247352680054956</v>
      </c>
      <c r="AG273" s="20">
        <f t="shared" si="52"/>
        <v>10.980560363854597</v>
      </c>
      <c r="AH273" s="21"/>
      <c r="AI273" s="20">
        <f t="shared" si="56"/>
        <v>0.22891493361240756</v>
      </c>
      <c r="AJ273" s="20">
        <f t="shared" si="53"/>
        <v>11.247352680054956</v>
      </c>
      <c r="AK273" s="22">
        <v>2016190</v>
      </c>
      <c r="AL273" s="23">
        <v>22676800</v>
      </c>
      <c r="AM273" s="23">
        <v>22138896</v>
      </c>
      <c r="AN273" s="24"/>
      <c r="AO273" s="23">
        <v>461536</v>
      </c>
      <c r="AP273" s="26"/>
      <c r="AQ273" s="26"/>
      <c r="AR273" s="26"/>
      <c r="AS273" s="25">
        <v>81.866664</v>
      </c>
      <c r="AT273" s="26"/>
      <c r="AU273" s="26"/>
      <c r="AV273" s="26"/>
      <c r="AW273" s="25">
        <v>76.329499999999996</v>
      </c>
      <c r="AX273" s="27">
        <v>8.9369999999999994</v>
      </c>
      <c r="AY273" s="27">
        <v>7.4609999999999994</v>
      </c>
      <c r="BA273" s="28">
        <f t="shared" si="54"/>
        <v>8.265266856244402E-5</v>
      </c>
      <c r="BB273" s="28"/>
      <c r="BD273" s="30"/>
      <c r="BE273" s="30"/>
      <c r="BF273" s="30"/>
      <c r="BG273" s="29"/>
      <c r="BI273" s="30"/>
      <c r="BJ273" s="30"/>
      <c r="BK273" s="30"/>
      <c r="BL273" s="29"/>
      <c r="BN273" s="30"/>
      <c r="BO273" s="30"/>
      <c r="BP273" s="30"/>
      <c r="BQ273" s="29"/>
      <c r="BS273" s="30"/>
      <c r="BT273" s="30"/>
      <c r="BU273" s="30"/>
      <c r="BV273" s="29"/>
    </row>
    <row r="274" spans="1:74" outlineLevel="1" x14ac:dyDescent="0.15">
      <c r="A274" s="31"/>
      <c r="B274" s="46" t="s">
        <v>392</v>
      </c>
      <c r="C274" s="47" t="s">
        <v>229</v>
      </c>
      <c r="D274" s="46">
        <v>2016190</v>
      </c>
      <c r="E274" s="48">
        <v>18</v>
      </c>
      <c r="F274" s="47">
        <v>74</v>
      </c>
      <c r="G274" s="47">
        <v>5</v>
      </c>
      <c r="I274" s="49">
        <f t="shared" si="46"/>
        <v>1.5178227027027027</v>
      </c>
      <c r="J274" s="50">
        <f t="shared" si="47"/>
        <v>11.141695971113833</v>
      </c>
      <c r="K274" s="50">
        <f t="shared" si="48"/>
        <v>10.980560363854597</v>
      </c>
      <c r="L274" s="51"/>
      <c r="M274" s="50">
        <f t="shared" si="55"/>
        <v>0.12325822467128594</v>
      </c>
      <c r="N274" s="50">
        <f t="shared" si="49"/>
        <v>11.141695971113833</v>
      </c>
      <c r="O274" s="52">
        <v>2016190</v>
      </c>
      <c r="P274" s="53">
        <v>22463776</v>
      </c>
      <c r="Q274" s="53">
        <v>22138896</v>
      </c>
      <c r="R274" s="54"/>
      <c r="S274" s="53">
        <v>248512</v>
      </c>
      <c r="T274" s="56"/>
      <c r="U274" s="56"/>
      <c r="V274" s="56"/>
      <c r="W274" s="55">
        <v>75.964618000000002</v>
      </c>
      <c r="X274" s="56"/>
      <c r="Y274" s="56"/>
      <c r="Z274" s="56"/>
      <c r="AA274" s="55">
        <v>69.885099999999994</v>
      </c>
      <c r="AB274" s="57"/>
      <c r="AC274" s="57"/>
      <c r="AE274" s="49">
        <f t="shared" si="50"/>
        <v>1.5173702702702703</v>
      </c>
      <c r="AF274" s="50">
        <f t="shared" si="51"/>
        <v>11.138374855544368</v>
      </c>
      <c r="AG274" s="50">
        <f t="shared" si="52"/>
        <v>10.980560363854597</v>
      </c>
      <c r="AH274" s="51"/>
      <c r="AI274" s="50">
        <f t="shared" si="56"/>
        <v>0.11993710910182076</v>
      </c>
      <c r="AJ274" s="50">
        <f t="shared" si="53"/>
        <v>11.138374855544368</v>
      </c>
      <c r="AK274" s="52">
        <v>2016190</v>
      </c>
      <c r="AL274" s="53">
        <v>22457080</v>
      </c>
      <c r="AM274" s="53">
        <v>22138896</v>
      </c>
      <c r="AN274" s="54"/>
      <c r="AO274" s="53">
        <v>241816</v>
      </c>
      <c r="AP274" s="56"/>
      <c r="AQ274" s="56"/>
      <c r="AR274" s="56"/>
      <c r="AS274" s="55">
        <v>75.613235000000003</v>
      </c>
      <c r="AT274" s="56"/>
      <c r="AU274" s="56"/>
      <c r="AV274" s="56"/>
      <c r="AW274" s="55">
        <v>69.885099999999994</v>
      </c>
      <c r="AX274" s="57">
        <v>9.2349999999999959</v>
      </c>
      <c r="AY274" s="57">
        <v>7.5399999999999974</v>
      </c>
      <c r="BA274" s="58">
        <f t="shared" si="54"/>
        <v>2.9385653894398178E-4</v>
      </c>
      <c r="BB274" s="58"/>
      <c r="BD274" s="60"/>
      <c r="BE274" s="60"/>
      <c r="BF274" s="60"/>
      <c r="BG274" s="59"/>
      <c r="BI274" s="60"/>
      <c r="BJ274" s="60"/>
      <c r="BK274" s="60"/>
      <c r="BL274" s="59"/>
      <c r="BN274" s="60"/>
      <c r="BO274" s="60"/>
      <c r="BP274" s="60"/>
      <c r="BQ274" s="59"/>
      <c r="BS274" s="60"/>
      <c r="BT274" s="60"/>
      <c r="BU274" s="60"/>
      <c r="BV274" s="59"/>
    </row>
    <row r="275" spans="1:74" x14ac:dyDescent="0.15">
      <c r="A275" s="16"/>
      <c r="B275" s="16" t="s">
        <v>395</v>
      </c>
      <c r="C275" s="17" t="s">
        <v>225</v>
      </c>
      <c r="D275" s="16">
        <v>14430189</v>
      </c>
      <c r="E275" s="18">
        <v>18</v>
      </c>
      <c r="F275" s="17">
        <v>500</v>
      </c>
      <c r="G275" s="17">
        <v>5</v>
      </c>
      <c r="I275" s="19">
        <f t="shared" si="46"/>
        <v>1.81159392</v>
      </c>
      <c r="J275" s="20">
        <f t="shared" si="47"/>
        <v>12.554193988727382</v>
      </c>
      <c r="K275" s="20">
        <f t="shared" si="48"/>
        <v>11.25104487543441</v>
      </c>
      <c r="L275" s="21"/>
      <c r="M275" s="20">
        <f t="shared" si="55"/>
        <v>1.2676679425335315</v>
      </c>
      <c r="N275" s="20">
        <f t="shared" si="49"/>
        <v>12.554193988727382</v>
      </c>
      <c r="O275" s="22">
        <v>14430189</v>
      </c>
      <c r="P275" s="23">
        <v>181159392</v>
      </c>
      <c r="Q275" s="23">
        <v>162354704</v>
      </c>
      <c r="R275" s="24"/>
      <c r="S275" s="23">
        <v>18292688</v>
      </c>
      <c r="T275" s="26"/>
      <c r="U275" s="26"/>
      <c r="V275" s="26"/>
      <c r="W275" s="25">
        <v>99.036648999999997</v>
      </c>
      <c r="X275" s="26"/>
      <c r="Y275" s="26"/>
      <c r="Z275" s="26"/>
      <c r="AA275" s="25">
        <v>96.329499999999996</v>
      </c>
      <c r="AB275" s="27"/>
      <c r="AC275" s="27"/>
      <c r="AE275" s="19">
        <f t="shared" si="50"/>
        <v>1.8154976</v>
      </c>
      <c r="AF275" s="20">
        <f t="shared" si="51"/>
        <v>12.581246163858284</v>
      </c>
      <c r="AG275" s="20">
        <f t="shared" si="52"/>
        <v>11.25104487543441</v>
      </c>
      <c r="AH275" s="21"/>
      <c r="AI275" s="20">
        <f t="shared" si="56"/>
        <v>1.2947201176644325</v>
      </c>
      <c r="AJ275" s="20">
        <f t="shared" si="53"/>
        <v>12.581246163858284</v>
      </c>
      <c r="AK275" s="22">
        <v>14430189</v>
      </c>
      <c r="AL275" s="23">
        <v>181549760</v>
      </c>
      <c r="AM275" s="23">
        <v>162354704</v>
      </c>
      <c r="AN275" s="24"/>
      <c r="AO275" s="23">
        <v>18683056</v>
      </c>
      <c r="AP275" s="26"/>
      <c r="AQ275" s="26"/>
      <c r="AR275" s="26"/>
      <c r="AS275" s="25">
        <v>98.882874000000001</v>
      </c>
      <c r="AT275" s="26"/>
      <c r="AU275" s="26"/>
      <c r="AV275" s="26"/>
      <c r="AW275" s="25">
        <v>96.329499999999996</v>
      </c>
      <c r="AX275" s="27">
        <v>64.162000000000404</v>
      </c>
      <c r="AY275" s="27">
        <v>53.711000000000389</v>
      </c>
      <c r="BA275" s="28">
        <f t="shared" si="54"/>
        <v>-1.9270037165284304E-3</v>
      </c>
      <c r="BB275" s="28">
        <f t="array" ref="BB275">AVERAGE(AM275:AM279/AL275:AL279) - AVERAGE(Q275:Q279/P275:P279)</f>
        <v>-3.7362352457215309E-4</v>
      </c>
      <c r="BD275" s="30"/>
      <c r="BE275" s="30"/>
      <c r="BF275" s="30"/>
      <c r="BG275" s="29">
        <f>IF( OR(ISBLANK(S275:S279),ISBLANK(AO275:AO279), ISBLANK(W275:W279),ISBLANK(AS275:AS279)), "·", bdRateExtend( S275:S279,W275:W279, AO275:AO279,AS275:AS279))</f>
        <v>4.0217289949282531E-3</v>
      </c>
      <c r="BI275" s="30"/>
      <c r="BJ275" s="30"/>
      <c r="BK275" s="30"/>
      <c r="BL275" s="29">
        <f>IF( OR(ISBLANK(S275:S279),ISBLANK(AO275:AO279), ISBLANK(AA275:AA279),ISBLANK(AW275:AW279)), "·", bdRateExtend( S275:S279,AA275:AA279, AO275:AO279,AW275:AW279))</f>
        <v>-4.9504043173734802E-3</v>
      </c>
      <c r="BN275" s="30"/>
      <c r="BO275" s="30"/>
      <c r="BP275" s="30"/>
      <c r="BQ275" s="29">
        <f>IF( OR(ISBLANK(P275:P279),ISBLANK(AL275:AL279), ISBLANK(W275:W279),ISBLANK(AS275:AS279)), "·", bdRateExtend( P275:P279,W275:W279, AL275:AL279,AS275:AS279))</f>
        <v>4.4602053201447944E-4</v>
      </c>
      <c r="BS275" s="30"/>
      <c r="BT275" s="30"/>
      <c r="BU275" s="30"/>
      <c r="BV275" s="29">
        <f>IF( OR(ISBLANK(P275:P279),ISBLANK(AL275:AL279), ISBLANK(AA275:AA279),ISBLANK(AW275:AW279)), "·", bdRateExtend( P275:P279,AA275:AA279, AL275:AL279,AW275:AW279))</f>
        <v>2.5661399238741112E-4</v>
      </c>
    </row>
    <row r="276" spans="1:74" outlineLevel="1" x14ac:dyDescent="0.15">
      <c r="A276" s="31"/>
      <c r="B276" s="31" t="s">
        <v>395</v>
      </c>
      <c r="C276" s="32" t="s">
        <v>226</v>
      </c>
      <c r="D276" s="31">
        <v>14430189</v>
      </c>
      <c r="E276" s="33">
        <v>18</v>
      </c>
      <c r="F276" s="32">
        <v>500</v>
      </c>
      <c r="G276" s="32">
        <v>5</v>
      </c>
      <c r="I276" s="34">
        <f t="shared" si="46"/>
        <v>1.7611527199999999</v>
      </c>
      <c r="J276" s="35">
        <f t="shared" si="47"/>
        <v>12.204640701518185</v>
      </c>
      <c r="K276" s="35">
        <f t="shared" si="48"/>
        <v>11.25104487543441</v>
      </c>
      <c r="L276" s="36"/>
      <c r="M276" s="35">
        <f t="shared" si="55"/>
        <v>0.91811465532433423</v>
      </c>
      <c r="N276" s="35">
        <f t="shared" si="49"/>
        <v>12.204640701518185</v>
      </c>
      <c r="O276" s="37">
        <v>14430189</v>
      </c>
      <c r="P276" s="38">
        <v>176115272</v>
      </c>
      <c r="Q276" s="38">
        <v>162354704</v>
      </c>
      <c r="R276" s="39"/>
      <c r="S276" s="38">
        <v>13248568</v>
      </c>
      <c r="T276" s="41"/>
      <c r="U276" s="41"/>
      <c r="V276" s="41"/>
      <c r="W276" s="40">
        <v>94.369866000000002</v>
      </c>
      <c r="X276" s="41"/>
      <c r="Y276" s="41"/>
      <c r="Z276" s="41"/>
      <c r="AA276" s="40">
        <v>90.308899999999994</v>
      </c>
      <c r="AB276" s="42"/>
      <c r="AC276" s="42"/>
      <c r="AE276" s="34">
        <f t="shared" si="50"/>
        <v>1.7625638400000001</v>
      </c>
      <c r="AF276" s="35">
        <f t="shared" si="51"/>
        <v>12.214419644815463</v>
      </c>
      <c r="AG276" s="35">
        <f t="shared" si="52"/>
        <v>11.25104487543441</v>
      </c>
      <c r="AH276" s="36"/>
      <c r="AI276" s="35">
        <f t="shared" si="56"/>
        <v>0.92789359862161191</v>
      </c>
      <c r="AJ276" s="35">
        <f t="shared" si="53"/>
        <v>12.214419644815463</v>
      </c>
      <c r="AK276" s="37">
        <v>14430189</v>
      </c>
      <c r="AL276" s="38">
        <v>176256384</v>
      </c>
      <c r="AM276" s="38">
        <v>162354704</v>
      </c>
      <c r="AN276" s="39"/>
      <c r="AO276" s="38">
        <v>13389680</v>
      </c>
      <c r="AP276" s="41"/>
      <c r="AQ276" s="41"/>
      <c r="AR276" s="41"/>
      <c r="AS276" s="40">
        <v>94.388035000000002</v>
      </c>
      <c r="AT276" s="41"/>
      <c r="AU276" s="41"/>
      <c r="AV276" s="41"/>
      <c r="AW276" s="40">
        <v>90.308899999999994</v>
      </c>
      <c r="AX276" s="42">
        <v>63.326000000000384</v>
      </c>
      <c r="AY276" s="42">
        <v>53.627000000000422</v>
      </c>
      <c r="BA276" s="43">
        <f t="shared" si="54"/>
        <v>-7.3805197972431902E-4</v>
      </c>
      <c r="BB276" s="43"/>
      <c r="BD276" s="45"/>
      <c r="BE276" s="45"/>
      <c r="BF276" s="45"/>
      <c r="BG276" s="44"/>
      <c r="BI276" s="45"/>
      <c r="BJ276" s="45"/>
      <c r="BK276" s="45"/>
      <c r="BL276" s="44"/>
      <c r="BN276" s="45"/>
      <c r="BO276" s="45"/>
      <c r="BP276" s="45"/>
      <c r="BQ276" s="44"/>
      <c r="BS276" s="45"/>
      <c r="BT276" s="45"/>
      <c r="BU276" s="45"/>
      <c r="BV276" s="44"/>
    </row>
    <row r="277" spans="1:74" outlineLevel="1" x14ac:dyDescent="0.15">
      <c r="A277" s="16"/>
      <c r="B277" s="16" t="s">
        <v>395</v>
      </c>
      <c r="C277" s="17" t="s">
        <v>227</v>
      </c>
      <c r="D277" s="16">
        <v>14430189</v>
      </c>
      <c r="E277" s="18">
        <v>18</v>
      </c>
      <c r="F277" s="17">
        <v>500</v>
      </c>
      <c r="G277" s="17">
        <v>5</v>
      </c>
      <c r="I277" s="19">
        <f t="shared" si="46"/>
        <v>1.70219136</v>
      </c>
      <c r="J277" s="20">
        <f t="shared" si="47"/>
        <v>11.796043419805521</v>
      </c>
      <c r="K277" s="20">
        <f t="shared" si="48"/>
        <v>11.25104487543441</v>
      </c>
      <c r="L277" s="21"/>
      <c r="M277" s="20">
        <f t="shared" si="55"/>
        <v>0.50924017696511115</v>
      </c>
      <c r="N277" s="20">
        <f t="shared" si="49"/>
        <v>11.796043419805521</v>
      </c>
      <c r="O277" s="22">
        <v>14430189</v>
      </c>
      <c r="P277" s="23">
        <v>170219136</v>
      </c>
      <c r="Q277" s="23">
        <v>162354704</v>
      </c>
      <c r="R277" s="24"/>
      <c r="S277" s="23">
        <v>7348432</v>
      </c>
      <c r="T277" s="26"/>
      <c r="U277" s="26"/>
      <c r="V277" s="26"/>
      <c r="W277" s="25">
        <v>87.271715999999998</v>
      </c>
      <c r="X277" s="26"/>
      <c r="Y277" s="26"/>
      <c r="Z277" s="26"/>
      <c r="AA277" s="25">
        <v>82.350099999999998</v>
      </c>
      <c r="AB277" s="27"/>
      <c r="AC277" s="27"/>
      <c r="AE277" s="19">
        <f t="shared" si="50"/>
        <v>1.7020908799999999</v>
      </c>
      <c r="AF277" s="20">
        <f t="shared" si="51"/>
        <v>11.795347101829366</v>
      </c>
      <c r="AG277" s="20">
        <f t="shared" si="52"/>
        <v>11.25104487543441</v>
      </c>
      <c r="AH277" s="21"/>
      <c r="AI277" s="20">
        <f t="shared" si="56"/>
        <v>0.50854385898895715</v>
      </c>
      <c r="AJ277" s="20">
        <f t="shared" si="53"/>
        <v>11.795347101829366</v>
      </c>
      <c r="AK277" s="22">
        <v>14430189</v>
      </c>
      <c r="AL277" s="23">
        <v>170209088</v>
      </c>
      <c r="AM277" s="23">
        <v>162354704</v>
      </c>
      <c r="AN277" s="24"/>
      <c r="AO277" s="23">
        <v>7338384</v>
      </c>
      <c r="AP277" s="26"/>
      <c r="AQ277" s="26"/>
      <c r="AR277" s="26"/>
      <c r="AS277" s="25">
        <v>87.168546000000006</v>
      </c>
      <c r="AT277" s="26"/>
      <c r="AU277" s="26"/>
      <c r="AV277" s="26"/>
      <c r="AW277" s="25">
        <v>82.350099999999998</v>
      </c>
      <c r="AX277" s="27">
        <v>62.598000000000411</v>
      </c>
      <c r="AY277" s="27">
        <v>54.475000000000392</v>
      </c>
      <c r="BA277" s="28">
        <f t="shared" si="54"/>
        <v>5.6305831470870871E-5</v>
      </c>
      <c r="BB277" s="28"/>
      <c r="BD277" s="30"/>
      <c r="BE277" s="30"/>
      <c r="BF277" s="30"/>
      <c r="BG277" s="29"/>
      <c r="BI277" s="30"/>
      <c r="BJ277" s="30"/>
      <c r="BK277" s="30"/>
      <c r="BL277" s="29"/>
      <c r="BN277" s="30"/>
      <c r="BO277" s="30"/>
      <c r="BP277" s="30"/>
      <c r="BQ277" s="29"/>
      <c r="BS277" s="30"/>
      <c r="BT277" s="30"/>
      <c r="BU277" s="30"/>
      <c r="BV277" s="29"/>
    </row>
    <row r="278" spans="1:74" outlineLevel="1" x14ac:dyDescent="0.15">
      <c r="A278" s="31"/>
      <c r="B278" s="31" t="s">
        <v>395</v>
      </c>
      <c r="C278" s="32" t="s">
        <v>228</v>
      </c>
      <c r="D278" s="31">
        <v>14430189</v>
      </c>
      <c r="E278" s="33">
        <v>18</v>
      </c>
      <c r="F278" s="32">
        <v>500</v>
      </c>
      <c r="G278" s="32">
        <v>5</v>
      </c>
      <c r="I278" s="34">
        <f t="shared" si="46"/>
        <v>1.6632968000000001</v>
      </c>
      <c r="J278" s="35">
        <f t="shared" si="47"/>
        <v>11.526507379771672</v>
      </c>
      <c r="K278" s="35">
        <f t="shared" si="48"/>
        <v>11.25104487543441</v>
      </c>
      <c r="L278" s="36"/>
      <c r="M278" s="35">
        <f t="shared" si="55"/>
        <v>0.23970413693126263</v>
      </c>
      <c r="N278" s="35">
        <f t="shared" si="49"/>
        <v>11.526507379771672</v>
      </c>
      <c r="O278" s="37">
        <v>14430189</v>
      </c>
      <c r="P278" s="38">
        <v>166329680</v>
      </c>
      <c r="Q278" s="38">
        <v>162354704</v>
      </c>
      <c r="R278" s="39"/>
      <c r="S278" s="38">
        <v>3458976</v>
      </c>
      <c r="T278" s="41"/>
      <c r="U278" s="41"/>
      <c r="V278" s="41"/>
      <c r="W278" s="40">
        <v>81.558328000000003</v>
      </c>
      <c r="X278" s="41"/>
      <c r="Y278" s="41"/>
      <c r="Z278" s="41"/>
      <c r="AA278" s="40">
        <v>76.329499999999996</v>
      </c>
      <c r="AB278" s="42"/>
      <c r="AC278" s="42"/>
      <c r="AE278" s="34">
        <f t="shared" si="50"/>
        <v>1.66260184</v>
      </c>
      <c r="AF278" s="35">
        <f t="shared" si="51"/>
        <v>11.521691365234371</v>
      </c>
      <c r="AG278" s="35">
        <f t="shared" si="52"/>
        <v>11.25104487543441</v>
      </c>
      <c r="AH278" s="36"/>
      <c r="AI278" s="35">
        <f t="shared" si="56"/>
        <v>0.2348881223939617</v>
      </c>
      <c r="AJ278" s="35">
        <f t="shared" si="53"/>
        <v>11.521691365234371</v>
      </c>
      <c r="AK278" s="37">
        <v>14430189</v>
      </c>
      <c r="AL278" s="38">
        <v>166260184</v>
      </c>
      <c r="AM278" s="38">
        <v>162354704</v>
      </c>
      <c r="AN278" s="39"/>
      <c r="AO278" s="38">
        <v>3389480</v>
      </c>
      <c r="AP278" s="41"/>
      <c r="AQ278" s="41"/>
      <c r="AR278" s="41"/>
      <c r="AS278" s="40">
        <v>81.508240000000001</v>
      </c>
      <c r="AT278" s="41"/>
      <c r="AU278" s="41"/>
      <c r="AV278" s="41"/>
      <c r="AW278" s="40">
        <v>76.329499999999996</v>
      </c>
      <c r="AX278" s="42">
        <v>64.369000000000369</v>
      </c>
      <c r="AY278" s="42">
        <v>53.900000000000453</v>
      </c>
      <c r="BA278" s="43">
        <f t="shared" si="54"/>
        <v>4.080061185711692E-4</v>
      </c>
      <c r="BB278" s="43"/>
      <c r="BD278" s="45"/>
      <c r="BE278" s="45"/>
      <c r="BF278" s="45"/>
      <c r="BG278" s="44"/>
      <c r="BI278" s="45"/>
      <c r="BJ278" s="45"/>
      <c r="BK278" s="45"/>
      <c r="BL278" s="44"/>
      <c r="BN278" s="45"/>
      <c r="BO278" s="45"/>
      <c r="BP278" s="45"/>
      <c r="BQ278" s="44"/>
      <c r="BS278" s="45"/>
      <c r="BT278" s="45"/>
      <c r="BU278" s="45"/>
      <c r="BV278" s="44"/>
    </row>
    <row r="279" spans="1:74" outlineLevel="1" x14ac:dyDescent="0.15">
      <c r="A279" s="16"/>
      <c r="B279" s="65" t="s">
        <v>395</v>
      </c>
      <c r="C279" s="67" t="s">
        <v>229</v>
      </c>
      <c r="D279" s="65">
        <v>14430189</v>
      </c>
      <c r="E279" s="66">
        <v>18</v>
      </c>
      <c r="F279" s="67">
        <v>500</v>
      </c>
      <c r="G279" s="67">
        <v>5</v>
      </c>
      <c r="I279" s="69">
        <f t="shared" si="46"/>
        <v>1.6417114399999999</v>
      </c>
      <c r="J279" s="70">
        <f t="shared" si="47"/>
        <v>11.376922644602923</v>
      </c>
      <c r="K279" s="70">
        <f t="shared" si="48"/>
        <v>11.25104487543441</v>
      </c>
      <c r="L279" s="75"/>
      <c r="M279" s="70">
        <f t="shared" si="55"/>
        <v>9.0119401762513304E-2</v>
      </c>
      <c r="N279" s="70">
        <f t="shared" si="49"/>
        <v>11.376922644602923</v>
      </c>
      <c r="O279" s="71">
        <v>14430189</v>
      </c>
      <c r="P279" s="72">
        <v>164171144</v>
      </c>
      <c r="Q279" s="72">
        <v>162354704</v>
      </c>
      <c r="R279" s="76"/>
      <c r="S279" s="72">
        <v>1300440</v>
      </c>
      <c r="T279" s="78"/>
      <c r="U279" s="78"/>
      <c r="V279" s="78"/>
      <c r="W279" s="77">
        <v>75.807740999999993</v>
      </c>
      <c r="X279" s="78"/>
      <c r="Y279" s="78"/>
      <c r="Z279" s="78"/>
      <c r="AA279" s="77">
        <v>69.885099999999994</v>
      </c>
      <c r="AB279" s="73"/>
      <c r="AC279" s="73"/>
      <c r="AE279" s="69">
        <f t="shared" si="50"/>
        <v>1.64115944</v>
      </c>
      <c r="AF279" s="70">
        <f t="shared" si="51"/>
        <v>11.37309733088042</v>
      </c>
      <c r="AG279" s="70">
        <f t="shared" si="52"/>
        <v>11.25104487543441</v>
      </c>
      <c r="AH279" s="75"/>
      <c r="AI279" s="70">
        <f t="shared" si="56"/>
        <v>8.6294088040011124E-2</v>
      </c>
      <c r="AJ279" s="70">
        <f t="shared" si="53"/>
        <v>11.37309733088042</v>
      </c>
      <c r="AK279" s="71">
        <v>14430189</v>
      </c>
      <c r="AL279" s="72">
        <v>164115944</v>
      </c>
      <c r="AM279" s="72">
        <v>162354704</v>
      </c>
      <c r="AN279" s="76"/>
      <c r="AO279" s="72">
        <v>1245240</v>
      </c>
      <c r="AP279" s="78"/>
      <c r="AQ279" s="78"/>
      <c r="AR279" s="78"/>
      <c r="AS279" s="77">
        <v>75.540261000000001</v>
      </c>
      <c r="AT279" s="78"/>
      <c r="AU279" s="78"/>
      <c r="AV279" s="78"/>
      <c r="AW279" s="77">
        <v>69.885099999999994</v>
      </c>
      <c r="AX279" s="73">
        <v>62.810000000000372</v>
      </c>
      <c r="AY279" s="73">
        <v>54.200000000000344</v>
      </c>
      <c r="BA279" s="68">
        <f t="shared" si="54"/>
        <v>3.3262612335016595E-4</v>
      </c>
      <c r="BB279" s="68"/>
      <c r="BD279" s="79"/>
      <c r="BE279" s="79"/>
      <c r="BF279" s="79"/>
      <c r="BG279" s="74"/>
      <c r="BI279" s="79"/>
      <c r="BJ279" s="79"/>
      <c r="BK279" s="79"/>
      <c r="BL279" s="74"/>
      <c r="BN279" s="79"/>
      <c r="BO279" s="79"/>
      <c r="BP279" s="79"/>
      <c r="BQ279" s="74"/>
      <c r="BS279" s="79"/>
      <c r="BT279" s="79"/>
      <c r="BU279" s="79"/>
      <c r="BV279" s="74"/>
    </row>
    <row r="280" spans="1:74" x14ac:dyDescent="0.15">
      <c r="A280" s="31"/>
      <c r="B280" s="31" t="s">
        <v>398</v>
      </c>
      <c r="C280" s="32" t="s">
        <v>225</v>
      </c>
      <c r="D280" s="31">
        <v>8167066</v>
      </c>
      <c r="E280" s="33">
        <v>18</v>
      </c>
      <c r="F280" s="32">
        <v>300</v>
      </c>
      <c r="G280" s="32">
        <v>5</v>
      </c>
      <c r="I280" s="34">
        <f t="shared" si="46"/>
        <v>1.8546643999999999</v>
      </c>
      <c r="J280" s="35">
        <f t="shared" si="47"/>
        <v>13.625439539731895</v>
      </c>
      <c r="K280" s="35">
        <f t="shared" si="48"/>
        <v>11.909703680611862</v>
      </c>
      <c r="L280" s="36"/>
      <c r="M280" s="35">
        <f t="shared" si="55"/>
        <v>1.6781213718610821</v>
      </c>
      <c r="N280" s="35">
        <f t="shared" si="49"/>
        <v>13.625439539731895</v>
      </c>
      <c r="O280" s="37">
        <v>8167066</v>
      </c>
      <c r="P280" s="38">
        <v>111279864</v>
      </c>
      <c r="Q280" s="38">
        <v>97267336</v>
      </c>
      <c r="R280" s="39"/>
      <c r="S280" s="38">
        <v>13705328</v>
      </c>
      <c r="T280" s="41"/>
      <c r="U280" s="41"/>
      <c r="V280" s="41"/>
      <c r="W280" s="40">
        <v>98.915115</v>
      </c>
      <c r="X280" s="41"/>
      <c r="Y280" s="41"/>
      <c r="Z280" s="41"/>
      <c r="AA280" s="40">
        <v>96.329499999999996</v>
      </c>
      <c r="AB280" s="42"/>
      <c r="AC280" s="42"/>
      <c r="AE280" s="34">
        <f t="shared" si="50"/>
        <v>1.8574734666666666</v>
      </c>
      <c r="AF280" s="35">
        <f t="shared" si="51"/>
        <v>13.646076571439487</v>
      </c>
      <c r="AG280" s="35">
        <f t="shared" si="52"/>
        <v>11.909703680611862</v>
      </c>
      <c r="AH280" s="36"/>
      <c r="AI280" s="35">
        <f t="shared" si="56"/>
        <v>1.6987584035686745</v>
      </c>
      <c r="AJ280" s="35">
        <f t="shared" si="53"/>
        <v>13.646076571439487</v>
      </c>
      <c r="AK280" s="37">
        <v>8167066</v>
      </c>
      <c r="AL280" s="38">
        <v>111448408</v>
      </c>
      <c r="AM280" s="38">
        <v>97267336</v>
      </c>
      <c r="AN280" s="39"/>
      <c r="AO280" s="38">
        <v>13873872</v>
      </c>
      <c r="AP280" s="41"/>
      <c r="AQ280" s="41"/>
      <c r="AR280" s="41"/>
      <c r="AS280" s="40">
        <v>98.749436000000003</v>
      </c>
      <c r="AT280" s="41"/>
      <c r="AU280" s="41"/>
      <c r="AV280" s="41"/>
      <c r="AW280" s="40">
        <v>96.329499999999996</v>
      </c>
      <c r="AX280" s="42">
        <v>36.193000000000055</v>
      </c>
      <c r="AY280" s="42">
        <v>30.785</v>
      </c>
      <c r="BA280" s="43">
        <f t="shared" si="54"/>
        <v>-1.3218733980226993E-3</v>
      </c>
      <c r="BB280" s="43">
        <f t="array" ref="BB280">AVERAGE(AM280:AM284/AL280:AL284) - AVERAGE(Q280:Q284/P280:P284)</f>
        <v>5.6443024166075162E-5</v>
      </c>
      <c r="BD280" s="45"/>
      <c r="BE280" s="45"/>
      <c r="BF280" s="45"/>
      <c r="BG280" s="44">
        <f>IF( OR(ISBLANK(S280:S284),ISBLANK(AO280:AO284), ISBLANK(W280:W284),ISBLANK(AS280:AS284)), "·", bdRateExtend( S280:S284,W280:W284, AO280:AO284,AS280:AS284))</f>
        <v>4.4880228038584047E-3</v>
      </c>
      <c r="BI280" s="45"/>
      <c r="BJ280" s="45"/>
      <c r="BK280" s="45"/>
      <c r="BL280" s="44">
        <f>IF( OR(ISBLANK(S280:S284),ISBLANK(AO280:AO284), ISBLANK(AA280:AA284),ISBLANK(AW280:AW284)), "·", bdRateExtend( S280:S284,AA280:AA284, AO280:AO284,AW280:AW284))</f>
        <v>-1.8616005870236707E-2</v>
      </c>
      <c r="BN280" s="45"/>
      <c r="BO280" s="45"/>
      <c r="BP280" s="45"/>
      <c r="BQ280" s="44">
        <f>IF( OR(ISBLANK(P280:P284),ISBLANK(AL280:AL284), ISBLANK(W280:W284),ISBLANK(AS280:AS284)), "·", bdRateExtend( P280:P284,W280:W284, AL280:AL284,AS280:AS284))</f>
        <v>3.066176154067346E-4</v>
      </c>
      <c r="BS280" s="45"/>
      <c r="BT280" s="45"/>
      <c r="BU280" s="45"/>
      <c r="BV280" s="44">
        <f>IF( OR(ISBLANK(P280:P284),ISBLANK(AL280:AL284), ISBLANK(AA280:AA284),ISBLANK(AW280:AW284)), "·", bdRateExtend( P280:P284,AA280:AA284, AL280:AL284,AW280:AW284))</f>
        <v>-2.2533620098197371E-4</v>
      </c>
    </row>
    <row r="281" spans="1:74" outlineLevel="1" x14ac:dyDescent="0.15">
      <c r="A281" s="16"/>
      <c r="B281" s="16" t="s">
        <v>398</v>
      </c>
      <c r="C281" s="17" t="s">
        <v>226</v>
      </c>
      <c r="D281" s="16">
        <v>8167066</v>
      </c>
      <c r="E281" s="18">
        <v>18</v>
      </c>
      <c r="F281" s="17">
        <v>300</v>
      </c>
      <c r="G281" s="17">
        <v>5</v>
      </c>
      <c r="I281" s="19">
        <f t="shared" si="46"/>
        <v>1.7864818666666666</v>
      </c>
      <c r="J281" s="20">
        <f t="shared" si="47"/>
        <v>13.124531135171431</v>
      </c>
      <c r="K281" s="20">
        <f t="shared" si="48"/>
        <v>11.909703680611862</v>
      </c>
      <c r="L281" s="21"/>
      <c r="M281" s="20">
        <f t="shared" si="55"/>
        <v>1.1772129673006193</v>
      </c>
      <c r="N281" s="20">
        <f t="shared" si="49"/>
        <v>13.124531135171431</v>
      </c>
      <c r="O281" s="22">
        <v>8167066</v>
      </c>
      <c r="P281" s="23">
        <v>107188912</v>
      </c>
      <c r="Q281" s="23">
        <v>97267336</v>
      </c>
      <c r="R281" s="24"/>
      <c r="S281" s="23">
        <v>9614376</v>
      </c>
      <c r="T281" s="26"/>
      <c r="U281" s="26"/>
      <c r="V281" s="26"/>
      <c r="W281" s="25">
        <v>94.265095000000002</v>
      </c>
      <c r="X281" s="26"/>
      <c r="Y281" s="26"/>
      <c r="Z281" s="26"/>
      <c r="AA281" s="25">
        <v>90.308899999999994</v>
      </c>
      <c r="AB281" s="27"/>
      <c r="AC281" s="27"/>
      <c r="AE281" s="19">
        <f t="shared" si="50"/>
        <v>1.7869017333333335</v>
      </c>
      <c r="AF281" s="20">
        <f t="shared" si="51"/>
        <v>13.127615719035452</v>
      </c>
      <c r="AG281" s="20">
        <f t="shared" si="52"/>
        <v>11.909703680611862</v>
      </c>
      <c r="AH281" s="21"/>
      <c r="AI281" s="20">
        <f t="shared" si="56"/>
        <v>1.180297551164641</v>
      </c>
      <c r="AJ281" s="20">
        <f t="shared" si="53"/>
        <v>13.127615719035452</v>
      </c>
      <c r="AK281" s="22">
        <v>8167066</v>
      </c>
      <c r="AL281" s="23">
        <v>107214104</v>
      </c>
      <c r="AM281" s="23">
        <v>97267336</v>
      </c>
      <c r="AN281" s="24"/>
      <c r="AO281" s="23">
        <v>9639568</v>
      </c>
      <c r="AP281" s="26"/>
      <c r="AQ281" s="26"/>
      <c r="AR281" s="26"/>
      <c r="AS281" s="25">
        <v>94.259105000000005</v>
      </c>
      <c r="AT281" s="26"/>
      <c r="AU281" s="26"/>
      <c r="AV281" s="26"/>
      <c r="AW281" s="25">
        <v>90.308899999999994</v>
      </c>
      <c r="AX281" s="27">
        <v>35.707000000000029</v>
      </c>
      <c r="AY281" s="27">
        <v>30.713000000000015</v>
      </c>
      <c r="BA281" s="28">
        <f t="shared" si="54"/>
        <v>-2.1321997387691027E-4</v>
      </c>
      <c r="BB281" s="28"/>
      <c r="BD281" s="30"/>
      <c r="BE281" s="30"/>
      <c r="BF281" s="30"/>
      <c r="BG281" s="29"/>
      <c r="BI281" s="30"/>
      <c r="BJ281" s="30"/>
      <c r="BK281" s="30"/>
      <c r="BL281" s="29"/>
      <c r="BN281" s="30"/>
      <c r="BO281" s="30"/>
      <c r="BP281" s="30"/>
      <c r="BQ281" s="29"/>
      <c r="BS281" s="30"/>
      <c r="BT281" s="30"/>
      <c r="BU281" s="30"/>
      <c r="BV281" s="29"/>
    </row>
    <row r="282" spans="1:74" outlineLevel="1" x14ac:dyDescent="0.15">
      <c r="A282" s="31"/>
      <c r="B282" s="31" t="s">
        <v>398</v>
      </c>
      <c r="C282" s="32" t="s">
        <v>227</v>
      </c>
      <c r="D282" s="31">
        <v>8167066</v>
      </c>
      <c r="E282" s="33">
        <v>18</v>
      </c>
      <c r="F282" s="32">
        <v>300</v>
      </c>
      <c r="G282" s="32">
        <v>5</v>
      </c>
      <c r="I282" s="34">
        <f t="shared" si="46"/>
        <v>1.7076800000000001</v>
      </c>
      <c r="J282" s="35">
        <f t="shared" si="47"/>
        <v>12.545606953586514</v>
      </c>
      <c r="K282" s="35">
        <f t="shared" si="48"/>
        <v>11.909703680611862</v>
      </c>
      <c r="L282" s="36"/>
      <c r="M282" s="35">
        <f t="shared" si="55"/>
        <v>0.597994922533992</v>
      </c>
      <c r="N282" s="35">
        <f t="shared" si="49"/>
        <v>12.545606953586514</v>
      </c>
      <c r="O282" s="37">
        <v>8167066</v>
      </c>
      <c r="P282" s="38">
        <v>102460800</v>
      </c>
      <c r="Q282" s="38">
        <v>97267336</v>
      </c>
      <c r="R282" s="39"/>
      <c r="S282" s="38">
        <v>4883864</v>
      </c>
      <c r="T282" s="41"/>
      <c r="U282" s="41"/>
      <c r="V282" s="41"/>
      <c r="W282" s="40">
        <v>87.175821999999997</v>
      </c>
      <c r="X282" s="41"/>
      <c r="Y282" s="41"/>
      <c r="Z282" s="41"/>
      <c r="AA282" s="40">
        <v>82.350099999999998</v>
      </c>
      <c r="AB282" s="42"/>
      <c r="AC282" s="42"/>
      <c r="AE282" s="34">
        <f t="shared" si="50"/>
        <v>1.7065121333333333</v>
      </c>
      <c r="AF282" s="35">
        <f t="shared" si="51"/>
        <v>12.537027128224505</v>
      </c>
      <c r="AG282" s="35">
        <f t="shared" si="52"/>
        <v>11.909703680611862</v>
      </c>
      <c r="AH282" s="36"/>
      <c r="AI282" s="35">
        <f t="shared" si="56"/>
        <v>0.58941509717198315</v>
      </c>
      <c r="AJ282" s="35">
        <f t="shared" si="53"/>
        <v>12.537027128224505</v>
      </c>
      <c r="AK282" s="37">
        <v>8167066</v>
      </c>
      <c r="AL282" s="38">
        <v>102390728</v>
      </c>
      <c r="AM282" s="38">
        <v>97267336</v>
      </c>
      <c r="AN282" s="39"/>
      <c r="AO282" s="38">
        <v>4813792</v>
      </c>
      <c r="AP282" s="41"/>
      <c r="AQ282" s="41"/>
      <c r="AR282" s="41"/>
      <c r="AS282" s="40">
        <v>87.029280999999997</v>
      </c>
      <c r="AT282" s="41"/>
      <c r="AU282" s="41"/>
      <c r="AV282" s="41"/>
      <c r="AW282" s="40">
        <v>82.350099999999998</v>
      </c>
      <c r="AX282" s="42">
        <v>35.493000000000045</v>
      </c>
      <c r="AY282" s="42">
        <v>30.507000000000012</v>
      </c>
      <c r="BA282" s="43">
        <f t="shared" si="54"/>
        <v>6.4967052166342576E-4</v>
      </c>
      <c r="BB282" s="43"/>
      <c r="BD282" s="45"/>
      <c r="BE282" s="45"/>
      <c r="BF282" s="45"/>
      <c r="BG282" s="44"/>
      <c r="BI282" s="45"/>
      <c r="BJ282" s="45"/>
      <c r="BK282" s="45"/>
      <c r="BL282" s="44"/>
      <c r="BN282" s="45"/>
      <c r="BO282" s="45"/>
      <c r="BP282" s="45"/>
      <c r="BQ282" s="44"/>
      <c r="BS282" s="45"/>
      <c r="BT282" s="45"/>
      <c r="BU282" s="45"/>
      <c r="BV282" s="44"/>
    </row>
    <row r="283" spans="1:74" outlineLevel="1" x14ac:dyDescent="0.15">
      <c r="A283" s="16"/>
      <c r="B283" s="16" t="s">
        <v>398</v>
      </c>
      <c r="C283" s="17" t="s">
        <v>228</v>
      </c>
      <c r="D283" s="16">
        <v>8167066</v>
      </c>
      <c r="E283" s="18">
        <v>18</v>
      </c>
      <c r="F283" s="17">
        <v>300</v>
      </c>
      <c r="G283" s="17">
        <v>5</v>
      </c>
      <c r="I283" s="19">
        <f t="shared" si="46"/>
        <v>1.6611403999999999</v>
      </c>
      <c r="J283" s="20">
        <f t="shared" si="47"/>
        <v>12.203700080298114</v>
      </c>
      <c r="K283" s="20">
        <f t="shared" si="48"/>
        <v>11.909703680611862</v>
      </c>
      <c r="L283" s="21"/>
      <c r="M283" s="20">
        <f t="shared" si="55"/>
        <v>0.25608804924559198</v>
      </c>
      <c r="N283" s="20">
        <f t="shared" si="49"/>
        <v>12.203700080298114</v>
      </c>
      <c r="O283" s="22">
        <v>8167066</v>
      </c>
      <c r="P283" s="23">
        <v>99668424</v>
      </c>
      <c r="Q283" s="23">
        <v>97267336</v>
      </c>
      <c r="R283" s="24"/>
      <c r="S283" s="23">
        <v>2091488</v>
      </c>
      <c r="T283" s="26"/>
      <c r="U283" s="26"/>
      <c r="V283" s="26"/>
      <c r="W283" s="25">
        <v>81.640507999999997</v>
      </c>
      <c r="X283" s="26"/>
      <c r="Y283" s="26"/>
      <c r="Z283" s="26"/>
      <c r="AA283" s="25">
        <v>76.329499999999996</v>
      </c>
      <c r="AB283" s="27"/>
      <c r="AC283" s="27"/>
      <c r="AE283" s="19">
        <f t="shared" si="50"/>
        <v>1.6598908000000001</v>
      </c>
      <c r="AF283" s="20">
        <f t="shared" si="51"/>
        <v>12.194519794501478</v>
      </c>
      <c r="AG283" s="20">
        <f t="shared" si="52"/>
        <v>11.909703680611862</v>
      </c>
      <c r="AH283" s="21"/>
      <c r="AI283" s="20">
        <f t="shared" si="56"/>
        <v>0.24690776344895463</v>
      </c>
      <c r="AJ283" s="20">
        <f t="shared" si="53"/>
        <v>12.194519794501478</v>
      </c>
      <c r="AK283" s="22">
        <v>8167066</v>
      </c>
      <c r="AL283" s="23">
        <v>99593448</v>
      </c>
      <c r="AM283" s="23">
        <v>97267336</v>
      </c>
      <c r="AN283" s="24"/>
      <c r="AO283" s="23">
        <v>2016512</v>
      </c>
      <c r="AP283" s="26"/>
      <c r="AQ283" s="26"/>
      <c r="AR283" s="26"/>
      <c r="AS283" s="25">
        <v>81.465404000000007</v>
      </c>
      <c r="AT283" s="26"/>
      <c r="AU283" s="26"/>
      <c r="AV283" s="26"/>
      <c r="AW283" s="25">
        <v>76.329499999999996</v>
      </c>
      <c r="AX283" s="27">
        <v>35.445000000000043</v>
      </c>
      <c r="AY283" s="27">
        <v>30.039000000000023</v>
      </c>
      <c r="BA283" s="28">
        <f t="shared" si="54"/>
        <v>7.3468458728376262E-4</v>
      </c>
      <c r="BB283" s="28"/>
      <c r="BD283" s="30"/>
      <c r="BE283" s="30"/>
      <c r="BF283" s="30"/>
      <c r="BG283" s="29"/>
      <c r="BI283" s="30"/>
      <c r="BJ283" s="30"/>
      <c r="BK283" s="30"/>
      <c r="BL283" s="29"/>
      <c r="BN283" s="30"/>
      <c r="BO283" s="30"/>
      <c r="BP283" s="30"/>
      <c r="BQ283" s="29"/>
      <c r="BS283" s="30"/>
      <c r="BT283" s="30"/>
      <c r="BU283" s="30"/>
      <c r="BV283" s="29"/>
    </row>
    <row r="284" spans="1:74" outlineLevel="1" x14ac:dyDescent="0.15">
      <c r="A284" s="46"/>
      <c r="B284" s="46" t="s">
        <v>398</v>
      </c>
      <c r="C284" s="47" t="s">
        <v>229</v>
      </c>
      <c r="D284" s="46">
        <v>8167066</v>
      </c>
      <c r="E284" s="48">
        <v>18</v>
      </c>
      <c r="F284" s="47">
        <v>300</v>
      </c>
      <c r="G284" s="47">
        <v>5</v>
      </c>
      <c r="I284" s="49">
        <f t="shared" si="46"/>
        <v>1.6360381333333334</v>
      </c>
      <c r="J284" s="50">
        <f t="shared" si="47"/>
        <v>12.019284281527785</v>
      </c>
      <c r="K284" s="50">
        <f t="shared" si="48"/>
        <v>11.909703680611862</v>
      </c>
      <c r="L284" s="51"/>
      <c r="M284" s="50">
        <f t="shared" si="55"/>
        <v>7.1672250475262475E-2</v>
      </c>
      <c r="N284" s="50">
        <f t="shared" si="49"/>
        <v>12.019284281527785</v>
      </c>
      <c r="O284" s="52">
        <v>8167066</v>
      </c>
      <c r="P284" s="53">
        <v>98162288</v>
      </c>
      <c r="Q284" s="53">
        <v>97267336</v>
      </c>
      <c r="R284" s="54"/>
      <c r="S284" s="53">
        <v>585352</v>
      </c>
      <c r="T284" s="56"/>
      <c r="U284" s="56"/>
      <c r="V284" s="56"/>
      <c r="W284" s="55">
        <v>75.926844000000003</v>
      </c>
      <c r="X284" s="56"/>
      <c r="Y284" s="56"/>
      <c r="Z284" s="56"/>
      <c r="AA284" s="55">
        <v>69.885099999999994</v>
      </c>
      <c r="AB284" s="57"/>
      <c r="AC284" s="57"/>
      <c r="AE284" s="49">
        <f t="shared" si="50"/>
        <v>1.6353236</v>
      </c>
      <c r="AF284" s="50">
        <f t="shared" si="51"/>
        <v>12.014034905558496</v>
      </c>
      <c r="AG284" s="50">
        <f t="shared" si="52"/>
        <v>11.909703680611862</v>
      </c>
      <c r="AH284" s="51"/>
      <c r="AI284" s="50">
        <f t="shared" si="56"/>
        <v>6.6422874505973131E-2</v>
      </c>
      <c r="AJ284" s="50">
        <f t="shared" si="53"/>
        <v>12.014034905558496</v>
      </c>
      <c r="AK284" s="52">
        <v>8167066</v>
      </c>
      <c r="AL284" s="53">
        <v>98119416</v>
      </c>
      <c r="AM284" s="53">
        <v>97267336</v>
      </c>
      <c r="AN284" s="54"/>
      <c r="AO284" s="53">
        <v>542480</v>
      </c>
      <c r="AP284" s="56"/>
      <c r="AQ284" s="56"/>
      <c r="AR284" s="56"/>
      <c r="AS284" s="55">
        <v>75.525964000000002</v>
      </c>
      <c r="AT284" s="56"/>
      <c r="AU284" s="56"/>
      <c r="AV284" s="56"/>
      <c r="AW284" s="55">
        <v>69.885099999999994</v>
      </c>
      <c r="AX284" s="57">
        <v>35.551000000000023</v>
      </c>
      <c r="AY284" s="57">
        <v>30.037000000000035</v>
      </c>
      <c r="BA284" s="58">
        <f t="shared" si="54"/>
        <v>4.3295338378246395E-4</v>
      </c>
      <c r="BB284" s="58"/>
      <c r="BD284" s="60"/>
      <c r="BE284" s="60"/>
      <c r="BF284" s="60"/>
      <c r="BG284" s="59"/>
      <c r="BI284" s="60"/>
      <c r="BJ284" s="60"/>
      <c r="BK284" s="60"/>
      <c r="BL284" s="59"/>
      <c r="BN284" s="60"/>
      <c r="BO284" s="60"/>
      <c r="BP284" s="60"/>
      <c r="BQ284" s="59"/>
      <c r="BS284" s="60"/>
      <c r="BT284" s="60"/>
      <c r="BU284" s="60"/>
      <c r="BV284" s="59"/>
    </row>
    <row r="285" spans="1:74" x14ac:dyDescent="0.15">
      <c r="B285" s="61" t="s">
        <v>401</v>
      </c>
      <c r="J285" s="62">
        <f>AVERAGE(J5:J114)</f>
        <v>6.8212642447098819</v>
      </c>
      <c r="K285" s="62">
        <f>AVERAGE(K5:K114)</f>
        <v>4.2144656323827707</v>
      </c>
      <c r="L285" s="62">
        <f>AVERAGE(L5:L114)</f>
        <v>2.6063752275392491</v>
      </c>
      <c r="M285" s="63"/>
      <c r="AF285" s="62">
        <f>AVERAGE(AF5:AF114)</f>
        <v>6.7876518380769015</v>
      </c>
      <c r="AG285" s="62">
        <f>AVERAGE(AG5:AG114)</f>
        <v>4.2144656323827707</v>
      </c>
      <c r="AH285" s="62">
        <f>AVERAGE(AH5:AH114)</f>
        <v>2.5727628209062683</v>
      </c>
      <c r="AI285" s="63"/>
      <c r="BB285" s="8">
        <f>AVERAGE(BB5:BB114)</f>
        <v>3.6953879637181856E-3</v>
      </c>
      <c r="BD285" s="4">
        <f>AVERAGE(BD5:BD114)</f>
        <v>-3.3337464904905904E-2</v>
      </c>
      <c r="BE285" s="4">
        <f>AVERAGE(BE5:BE114)</f>
        <v>-3.1532799463529493E-2</v>
      </c>
      <c r="BF285" s="4">
        <f>AVERAGE(BF5:BF114)</f>
        <v>-2.8529771985161153E-2</v>
      </c>
      <c r="BG285" s="5"/>
      <c r="BI285" s="4">
        <f>AVERAGE(BI5:BI114)</f>
        <v>-2.4614321527947382E-2</v>
      </c>
      <c r="BJ285" s="4">
        <f>AVERAGE(BJ5:BJ114)</f>
        <v>-2.4614321527947382E-2</v>
      </c>
      <c r="BK285" s="4">
        <f>AVERAGE(BK5:BK114)</f>
        <v>-2.4614321527947382E-2</v>
      </c>
      <c r="BL285" s="5"/>
      <c r="BN285" s="4">
        <f>AVERAGE(BN5:BN114)</f>
        <v>-8.4731592341808389E-3</v>
      </c>
      <c r="BO285" s="4">
        <f>AVERAGE(BO5:BO114)</f>
        <v>-7.0267147490851419E-3</v>
      </c>
      <c r="BP285" s="4">
        <f>AVERAGE(BP5:BP114)</f>
        <v>-6.4371698404662673E-3</v>
      </c>
      <c r="BQ285" s="5"/>
      <c r="BS285" s="4">
        <f>AVERAGE(BS5:BS114)</f>
        <v>-6.2401368793714969E-3</v>
      </c>
      <c r="BT285" s="4">
        <f>AVERAGE(BT5:BT114)</f>
        <v>-6.2401368793714969E-3</v>
      </c>
      <c r="BU285" s="4">
        <f>AVERAGE(BU5:BU114)</f>
        <v>-6.2401368793714969E-3</v>
      </c>
      <c r="BV285" s="5"/>
    </row>
    <row r="286" spans="1:74" x14ac:dyDescent="0.15">
      <c r="B286" s="61" t="s">
        <v>402</v>
      </c>
      <c r="J286" s="62">
        <f>AVERAGE(J115:J234)</f>
        <v>24.902805500449407</v>
      </c>
      <c r="K286" s="62">
        <f>AVERAGE(K115:K234)</f>
        <v>20.911408881280256</v>
      </c>
      <c r="L286" s="62">
        <f>AVERAGE(L115:L234)</f>
        <v>3.9910395939793708</v>
      </c>
      <c r="M286" s="63"/>
      <c r="AF286" s="62">
        <f>AVERAGE(AF115:AF234)</f>
        <v>24.876340061364449</v>
      </c>
      <c r="AG286" s="62">
        <f>AVERAGE(AG115:AG234)</f>
        <v>20.911408881280256</v>
      </c>
      <c r="AH286" s="62">
        <f>AVERAGE(AH115:AH234)</f>
        <v>3.9645741548944278</v>
      </c>
      <c r="AI286" s="63"/>
      <c r="BB286" s="8">
        <f>AVERAGE(BB115:BB234)</f>
        <v>1.1152116417596271E-3</v>
      </c>
      <c r="BD286" s="4">
        <f>AVERAGE(BD115:BD234)</f>
        <v>-1.4210387688289042E-2</v>
      </c>
      <c r="BE286" s="4">
        <f>AVERAGE(BE115:BE234)</f>
        <v>-2.0750424466008329E-2</v>
      </c>
      <c r="BF286" s="4">
        <f>AVERAGE(BF115:BF234)</f>
        <v>-2.154286484640831E-2</v>
      </c>
      <c r="BG286" s="5"/>
      <c r="BI286" s="4">
        <f>AVERAGE(BI115:BI234)</f>
        <v>-1.236924286810267E-2</v>
      </c>
      <c r="BJ286" s="4">
        <f>AVERAGE(BJ115:BJ234)</f>
        <v>-1.236924286810267E-2</v>
      </c>
      <c r="BK286" s="4">
        <f>AVERAGE(BK115:BK234)</f>
        <v>-1.236924286810267E-2</v>
      </c>
      <c r="BL286" s="5"/>
      <c r="BN286" s="4">
        <f>AVERAGE(BN115:BN234)</f>
        <v>-1.7856625770713102E-3</v>
      </c>
      <c r="BO286" s="4">
        <f>AVERAGE(BO115:BO234)</f>
        <v>-2.6178991651837811E-3</v>
      </c>
      <c r="BP286" s="4">
        <f>AVERAGE(BP115:BP234)</f>
        <v>-2.6921027830598271E-3</v>
      </c>
      <c r="BQ286" s="5"/>
      <c r="BS286" s="4">
        <f>AVERAGE(BS115:BS234)</f>
        <v>-1.6439129294874288E-3</v>
      </c>
      <c r="BT286" s="4">
        <f>AVERAGE(BT115:BT234)</f>
        <v>-1.6439129294874288E-3</v>
      </c>
      <c r="BU286" s="4">
        <f>AVERAGE(BU115:BU234)</f>
        <v>-1.6439129294874288E-3</v>
      </c>
      <c r="BV286" s="5"/>
    </row>
    <row r="287" spans="1:74" x14ac:dyDescent="0.15">
      <c r="B287" s="61" t="s">
        <v>403</v>
      </c>
      <c r="J287" s="62">
        <f>AVERAGE(J235:J249)</f>
        <v>27.001565873760111</v>
      </c>
      <c r="K287" s="62">
        <f>AVERAGE(K235:K249)</f>
        <v>19.697263571956878</v>
      </c>
      <c r="L287" s="62">
        <f>AVERAGE(L235:L249)</f>
        <v>5.2416640305430571</v>
      </c>
      <c r="M287" s="62">
        <f>AVERAGE(M235:M249)</f>
        <v>2.0623802698999358</v>
      </c>
      <c r="AF287" s="62">
        <f>AVERAGE(AF235:AF249)</f>
        <v>26.987426864342687</v>
      </c>
      <c r="AG287" s="62">
        <f>AVERAGE(AG235:AG249)</f>
        <v>19.697263571956878</v>
      </c>
      <c r="AH287" s="62">
        <f>AVERAGE(AH235:AH249)</f>
        <v>5.2232310208881483</v>
      </c>
      <c r="AI287" s="62">
        <f>AVERAGE(AI235:AI249)</f>
        <v>2.0666742701374252</v>
      </c>
      <c r="BB287" s="8">
        <f>AVERAGE(BB235:BB249)</f>
        <v>5.1376859304730349E-4</v>
      </c>
      <c r="BD287" s="4">
        <f>AVERAGE(BD235:BD249)</f>
        <v>-5.1660456506094814E-3</v>
      </c>
      <c r="BE287" s="4">
        <f>AVERAGE(BE235:BE249)</f>
        <v>-1.8440267454257309E-2</v>
      </c>
      <c r="BF287" s="4">
        <f>AVERAGE(BF235:BF249)</f>
        <v>-1.805595991367533E-2</v>
      </c>
      <c r="BG287" s="4">
        <f>AVERAGE(BG235:BG249)</f>
        <v>2.8791339635848199E-3</v>
      </c>
      <c r="BI287" s="4">
        <f>AVERAGE(BI235:BI249)</f>
        <v>-6.3276680567460426E-3</v>
      </c>
      <c r="BJ287" s="4">
        <f>AVERAGE(BJ235:BJ249)</f>
        <v>-6.3276680567460426E-3</v>
      </c>
      <c r="BK287" s="4">
        <f>AVERAGE(BK235:BK249)</f>
        <v>-6.3276680567460426E-3</v>
      </c>
      <c r="BL287" s="4">
        <f>AVERAGE(BL235:BL249)</f>
        <v>2.5438248176526956E-3</v>
      </c>
      <c r="BN287" s="4">
        <f>AVERAGE(BN235:BN249)</f>
        <v>-3.5430136345064128E-4</v>
      </c>
      <c r="BO287" s="4">
        <f>AVERAGE(BO235:BO249)</f>
        <v>-2.7036404575025244E-3</v>
      </c>
      <c r="BP287" s="4">
        <f>AVERAGE(BP235:BP249)</f>
        <v>-2.7049797455174587E-3</v>
      </c>
      <c r="BQ287" s="4">
        <f>AVERAGE(BQ235:BQ249)</f>
        <v>-6.4161113412834292E-4</v>
      </c>
      <c r="BS287" s="4">
        <f>AVERAGE(BS235:BS249)</f>
        <v>-6.0126851558151007E-4</v>
      </c>
      <c r="BT287" s="4">
        <f>AVERAGE(BT235:BT249)</f>
        <v>-6.0126851558151007E-4</v>
      </c>
      <c r="BU287" s="4">
        <f>AVERAGE(BU235:BU249)</f>
        <v>-6.0126851558151007E-4</v>
      </c>
      <c r="BV287" s="4">
        <f>AVERAGE(BV235:BV249)</f>
        <v>-6.0126851558151007E-4</v>
      </c>
    </row>
    <row r="288" spans="1:74" x14ac:dyDescent="0.15">
      <c r="B288" s="61" t="s">
        <v>404</v>
      </c>
      <c r="J288" s="62">
        <f>AVERAGE(J250:J284)</f>
        <v>15.316254006083</v>
      </c>
      <c r="K288" s="62">
        <f>AVERAGE(K250:K284)</f>
        <v>13.978217927319671</v>
      </c>
      <c r="L288" s="63"/>
      <c r="M288" s="62">
        <f>AVERAGE(M250:M284)</f>
        <v>1.3079778227096504</v>
      </c>
      <c r="AF288" s="62">
        <f>AVERAGE(AF250:AF284)</f>
        <v>15.323669288728427</v>
      </c>
      <c r="AG288" s="62">
        <f>AVERAGE(AG250:AG284)</f>
        <v>13.978217927319671</v>
      </c>
      <c r="AH288" s="63"/>
      <c r="AI288" s="62">
        <f>AVERAGE(AI250:AI284)</f>
        <v>1.3153931053550789</v>
      </c>
      <c r="BB288" s="8">
        <f>AVERAGE(BB250:BB284)</f>
        <v>-3.4458557068336608E-4</v>
      </c>
      <c r="BD288" s="5"/>
      <c r="BE288" s="5"/>
      <c r="BF288" s="5"/>
      <c r="BG288" s="4">
        <f>AVERAGE(BG250:BG284)</f>
        <v>1.1559868826018307E-3</v>
      </c>
      <c r="BI288" s="5"/>
      <c r="BJ288" s="5"/>
      <c r="BK288" s="5"/>
      <c r="BL288" s="4">
        <f>AVERAGE(BL250:BL284)</f>
        <v>-2.7506843791852737E-3</v>
      </c>
      <c r="BN288" s="5"/>
      <c r="BO288" s="5"/>
      <c r="BP288" s="5"/>
      <c r="BQ288" s="4">
        <f>AVERAGE(BQ250:BQ284)</f>
        <v>3.1487817188163055E-4</v>
      </c>
      <c r="BS288" s="5"/>
      <c r="BT288" s="5"/>
      <c r="BU288" s="5"/>
      <c r="BV288" s="4">
        <f>AVERAGE(BV250:BV284)</f>
        <v>3.2229107840026875E-4</v>
      </c>
    </row>
    <row r="289" spans="1:74" collapsed="1" x14ac:dyDescent="0.15">
      <c r="B289" s="61" t="s">
        <v>405</v>
      </c>
      <c r="J289" s="62">
        <f>AVERAGE(J5:J284)</f>
        <v>16.713457518897588</v>
      </c>
      <c r="K289" s="62">
        <f>AVERAGE(K5:K284)</f>
        <v>13.420203094111713</v>
      </c>
      <c r="L289" s="62">
        <f>AVERAGE(L5:L249)</f>
        <v>3.4459223949591342</v>
      </c>
      <c r="M289" s="62">
        <f>AVERAGE(M235:M284)</f>
        <v>1.5342985568667362</v>
      </c>
      <c r="AF289" s="62">
        <f>AVERAGE(AF5:AF284)</f>
        <v>16.689079777224389</v>
      </c>
      <c r="AG289" s="62">
        <f>AVERAGE(AG5:AG284)</f>
        <v>13.420203094111713</v>
      </c>
      <c r="AH289" s="62">
        <f>AVERAGE(AH5:AH249)</f>
        <v>3.4167398946952758</v>
      </c>
      <c r="AI289" s="62">
        <f>AVERAGE(AI235:AI284)</f>
        <v>1.5407774547897823</v>
      </c>
      <c r="BB289" s="8">
        <f>AVERAGE(BB5:BB284)</f>
        <v>1.9141575247926693E-3</v>
      </c>
      <c r="BD289" s="4">
        <f>AVERAGE(BD5:BD249)</f>
        <v>-2.2244319783238681E-2</v>
      </c>
      <c r="BE289" s="4">
        <f>AVERAGE(BE5:BE249)</f>
        <v>-2.5450052607033074E-2</v>
      </c>
      <c r="BF289" s="4">
        <f>AVERAGE(BF5:BF249)</f>
        <v>-2.4466359586293281E-2</v>
      </c>
      <c r="BG289" s="4">
        <f>AVERAGE(BG235:BG284)</f>
        <v>1.6729310068967274E-3</v>
      </c>
      <c r="BI289" s="4">
        <f>AVERAGE(BI5:BI249)</f>
        <v>-1.7497140951419278E-2</v>
      </c>
      <c r="BJ289" s="4">
        <f>AVERAGE(BJ5:BJ249)</f>
        <v>-1.7497140951419278E-2</v>
      </c>
      <c r="BK289" s="4">
        <f>AVERAGE(BK5:BK249)</f>
        <v>-1.7497140951419278E-2</v>
      </c>
      <c r="BL289" s="4">
        <f>AVERAGE(BL235:BL284)</f>
        <v>-1.162331620133883E-3</v>
      </c>
      <c r="BN289" s="4">
        <f>AVERAGE(BN5:BN249)</f>
        <v>-4.7005777365722824E-3</v>
      </c>
      <c r="BO289" s="4">
        <f>AVERAGE(BO5:BO249)</f>
        <v>-4.6026168534039069E-3</v>
      </c>
      <c r="BP289" s="4">
        <f>AVERAGE(BP5:BP249)</f>
        <v>-4.3743498473519616E-3</v>
      </c>
      <c r="BQ289" s="4">
        <f>AVERAGE(BQ235:BQ284)</f>
        <v>2.7931380078638492E-5</v>
      </c>
      <c r="BS289" s="4">
        <f>AVERAGE(BS5:BS249)</f>
        <v>-3.6436883102166479E-3</v>
      </c>
      <c r="BT289" s="4">
        <f>AVERAGE(BT5:BT249)</f>
        <v>-3.6436883102166479E-3</v>
      </c>
      <c r="BU289" s="4">
        <f>AVERAGE(BU5:BU249)</f>
        <v>-3.6436883102166479E-3</v>
      </c>
      <c r="BV289" s="4">
        <f>AVERAGE(BV235:BV284)</f>
        <v>4.5223200205735112E-5</v>
      </c>
    </row>
    <row r="290" spans="1:74" hidden="1" outlineLevel="2" x14ac:dyDescent="0.15">
      <c r="A290" s="61" t="s">
        <v>406</v>
      </c>
      <c r="B290" s="61" t="s">
        <v>407</v>
      </c>
      <c r="AB290" s="64">
        <f>SUM(AB5:AB114,AB115:AB234,AB235:AB249,AB250:AB284)</f>
        <v>0</v>
      </c>
      <c r="AC290" s="64">
        <f>SUM(AC5:AC114,AC115:AC234,AC235:AC249,AC250:AC284)</f>
        <v>0</v>
      </c>
      <c r="AX290" s="64">
        <f>SUM(AX5:AX114,AX115:AX234,AX235:AX249,AX250:AX284)</f>
        <v>24738.283999999931</v>
      </c>
      <c r="AY290" s="64">
        <f>SUM(AY5:AY114,AY115:AY234,AY235:AY249,AY250:AY284)</f>
        <v>21682.654999999984</v>
      </c>
    </row>
    <row r="291" spans="1:74" hidden="1" outlineLevel="2" x14ac:dyDescent="0.15">
      <c r="B291" s="61" t="s">
        <v>408</v>
      </c>
      <c r="AX291" s="8" t="e">
        <f>AX290/AB290</f>
        <v>#DIV/0!</v>
      </c>
      <c r="AY291" s="8" t="e">
        <f>AY290/AC290</f>
        <v>#DIV/0!</v>
      </c>
    </row>
    <row r="292" spans="1:74" ht="27" hidden="1" outlineLevel="2" x14ac:dyDescent="0.15">
      <c r="B292" s="61" t="s">
        <v>409</v>
      </c>
      <c r="AB292" s="64" t="e">
        <f>GEOMEAN(AB5:AB114,AB115:AB234,AB235:AB249,AB250:AB284)</f>
        <v>#NUM!</v>
      </c>
      <c r="AC292" s="64" t="e">
        <f>GEOMEAN(AC5:AC114,AC115:AC234,AC235:AC249,AC250:AC284)</f>
        <v>#NUM!</v>
      </c>
      <c r="AX292" s="64">
        <f>GEOMEAN(AX5:AX114,AX115:AX234,AX235:AX249,AX250:AX284)</f>
        <v>24.337540470903697</v>
      </c>
      <c r="AY292" s="64">
        <f>GEOMEAN(AY5:AY114,AY115:AY234,AY235:AY249,AY250:AY284)</f>
        <v>20.864688498333379</v>
      </c>
    </row>
    <row r="293" spans="1:74" ht="27" outlineLevel="2" collapsed="1" x14ac:dyDescent="0.15">
      <c r="B293" s="61" t="s">
        <v>410</v>
      </c>
      <c r="AX293" s="8" t="e">
        <f>AX292/AB292</f>
        <v>#NUM!</v>
      </c>
      <c r="AY293" s="8" t="e">
        <f>AY292/AC292</f>
        <v>#NUM!</v>
      </c>
    </row>
  </sheetData>
  <mergeCells count="34">
    <mergeCell ref="A2:A3"/>
    <mergeCell ref="B2:B3"/>
    <mergeCell ref="C2:C3"/>
    <mergeCell ref="D2:D3"/>
    <mergeCell ref="E2:E3"/>
    <mergeCell ref="F2:F3"/>
    <mergeCell ref="G2:G3"/>
    <mergeCell ref="I2:I3"/>
    <mergeCell ref="J2:M2"/>
    <mergeCell ref="N2:N3"/>
    <mergeCell ref="AF2:AI2"/>
    <mergeCell ref="AJ2:AJ3"/>
    <mergeCell ref="AK2:AK3"/>
    <mergeCell ref="O2:O3"/>
    <mergeCell ref="P2:S2"/>
    <mergeCell ref="T2:W2"/>
    <mergeCell ref="X2:AA2"/>
    <mergeCell ref="AB2:AB3"/>
    <mergeCell ref="BS2:BV2"/>
    <mergeCell ref="A1:G1"/>
    <mergeCell ref="I1:AC1"/>
    <mergeCell ref="AE1:AY1"/>
    <mergeCell ref="BA2:BA3"/>
    <mergeCell ref="BB2:BB3"/>
    <mergeCell ref="BD2:BG2"/>
    <mergeCell ref="BI2:BL2"/>
    <mergeCell ref="BN2:BQ2"/>
    <mergeCell ref="AL2:AO2"/>
    <mergeCell ref="AP2:AS2"/>
    <mergeCell ref="AT2:AW2"/>
    <mergeCell ref="AX2:AX3"/>
    <mergeCell ref="AY2:AY3"/>
    <mergeCell ref="AC2:AC3"/>
    <mergeCell ref="AE2:AE3"/>
  </mergeCells>
  <phoneticPr fontId="2" type="noConversion"/>
  <conditionalFormatting sqref="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BD230 BD231 BD232 BD233 BD234 BD235 BD236 BD237 BD238 BD239 BD240 BD241 BD242 BD243 BD244 BD245 BD246 BD247 BD248 BD249 BD250 BD251 BD252 BD253 BD254 BD255 BD256 BD257 BD258 BD259 BD260 BD261 BD262 BD263 BD264 BD265 BD266 BD267 BD268 BD269 BD270 BD271 BD272 BD273 BD274 BD275 BD276 BD277 BD278 BD279 BD280 BD281 BD282 BD283 BD284 BD285 BD286 BD287 BD289">
    <cfRule type="cellIs" dxfId="31" priority="25" operator="greaterThanOrEqual">
      <formula>0.03</formula>
    </cfRule>
    <cfRule type="cellIs" dxfId="30" priority="26" operator="lessThanOrEqual">
      <formula>-0.03</formula>
    </cfRule>
  </conditionalFormatting>
  <conditionalFormatting sqref="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BE230 BE231 BE232 BE233 BE234 BE235 BE236 BE237 BE238 BE239 BE240 BE241 BE242 BE243 BE244 BE245 BE246 BE247 BE248 BE249 BE250 BE251 BE252 BE253 BE254 BE255 BE256 BE257 BE258 BE259 BE260 BE261 BE262 BE263 BE264 BE265 BE266 BE267 BE268 BE269 BE270 BE271 BE272 BE273 BE274 BE275 BE276 BE277 BE278 BE279 BE280 BE281 BE282 BE283 BE284 BE285 BE286 BE287 BE289">
    <cfRule type="cellIs" dxfId="29" priority="29" operator="greaterThanOrEqual">
      <formula>0.03</formula>
    </cfRule>
    <cfRule type="cellIs" dxfId="28" priority="30" operator="lessThanOrEqual">
      <formula>-0.03</formula>
    </cfRule>
  </conditionalFormatting>
  <conditionalFormatting sqref="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BF230 BF231 BF232 BF233 BF234 BF235 BF236 BF237 BF238 BF239 BF240 BF241 BF242 BF243 BF244 BF245 BF246 BF247 BF248 BF249 BF250 BF251 BF252 BF253 BF254 BF255 BF256 BF257 BF258 BF259 BF260 BF261 BF262 BF263 BF264 BF265 BF266 BF267 BF268 BF269 BF270 BF271 BF272 BF273 BF274 BF275 BF276 BF277 BF278 BF279 BF280 BF281 BF282 BF283 BF284 BF285 BF286 BF287 BF289">
    <cfRule type="cellIs" dxfId="27" priority="13" operator="greaterThanOrEqual">
      <formula>0.03</formula>
    </cfRule>
    <cfRule type="cellIs" dxfId="26" priority="14" operator="lessThanOrEqual">
      <formula>-0.03</formula>
    </cfRule>
  </conditionalFormatting>
  <conditionalFormatting sqref="BG5 BG6 BG7 BG8 BG9 BG10 BG11 BG12 BG13 BG14 BG15 BG16 BG17 BG18 BG19 BG20 BG21 BG22 BG23 BG24 BG25 BG26 BG27 BG28 BG29 BG30 BG31 BG32 BG33 BG34 BG35 BG36 BG37 BG38 BG39 BG40 BG41 BG42 BG43 BG44 BG45 BG46 BG47 BG48 BG49 BG50 BG51 BG52 BG53 BG54 BG55 BG56 BG57 BG58 BG59 BG60 BG61 BG62 BG63 BG64 BG65 BG66 BG67 BG68 BG69 BG70 BG71 BG72 BG73 BG74 BG75 BG76 BG77 BG78 BG79 BG80 BG81 BG82 BG83 BG84 BG85 BG86 BG87 BG88 BG89 BG90 BG91 BG92 BG93 BG94 BG95 BG96 BG97 BG98 BG99 BG100 BG101 BG102 BG103 BG104 BG105 BG106 BG107 BG108 BG109 BG110 BG111 BG112 BG113 BG114 BG115 BG116 BG117 BG118 BG119 BG120 BG121 BG122 BG123 BG124 BG125 BG126 BG127 BG128 BG129 BG130 BG131 BG132 BG133 BG134 BG135 BG136 BG137 BG138 BG139 BG140 BG141 BG142 BG143 BG144 BG145 BG146 BG147 BG148 BG149 BG150 BG151 BG152 BG153 BG154 BG155 BG156 BG157 BG158 BG159 BG160 BG161 BG162 BG163 BG164 BG165 BG166 BG167 BG168 BG169 BG170 BG171 BG172 BG173 BG174 BG175 BG176 BG177 BG178 BG179 BG180 BG181 BG182 BG183 BG184 BG185 BG186 BG187 BG188 BG189 BG190 BG191 BG192 BG193 BG194 BG195 BG196 BG197 BG198 BG199 BG200 BG201 BG202 BG203 BG204 BG205 BG206 BG207 BG208 BG209 BG210 BG211 BG212 BG213 BG214 BG215 BG216 BG217 BG218 BG219 BG220 BG221 BG222 BG223 BG224 BG225 BG226 BG227 BG228 BG229 BG230 BG231 BG232 BG233 BG234 BG235 BG236 BG237 BG238 BG239 BG240 BG241 BG242 BG243 BG244 BG245 BG246 BG247 BG248 BG249 BG250 BG251 BG252 BG253 BG254 BG255 BG256 BG257 BG258 BG259 BG260 BG261 BG262 BG263 BG264 BG265 BG266 BG267 BG268 BG269 BG270 BG271 BG272 BG273 BG274 BG275 BG276 BG277 BG278 BG279 BG280 BG281 BG282 BG283 BG284 BG287 BG288 BG289">
    <cfRule type="cellIs" dxfId="25" priority="21" operator="greaterThanOrEqual">
      <formula>0.03</formula>
    </cfRule>
    <cfRule type="cellIs" dxfId="24" priority="22" operator="lessThanOrEqual">
      <formula>-0.03</formula>
    </cfRule>
  </conditionalFormatting>
  <conditionalFormatting sqref="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BI230 BI231 BI232 BI233 BI234 BI235 BI236 BI237 BI238 BI239 BI240 BI241 BI242 BI243 BI244 BI245 BI246 BI247 BI248 BI249 BI250 BI251 BI252 BI253 BI254 BI255 BI256 BI257 BI258 BI259 BI260 BI261 BI262 BI263 BI264 BI265 BI266 BI267 BI268 BI269 BI270 BI271 BI272 BI273 BI274 BI275 BI276 BI277 BI278 BI279 BI280 BI281 BI282 BI283 BI284 BI285 BI286 BI287 BI289">
    <cfRule type="cellIs" dxfId="23" priority="1" operator="greaterThanOrEqual">
      <formula>0.03</formula>
    </cfRule>
    <cfRule type="cellIs" dxfId="22" priority="2" operator="lessThanOrEqual">
      <formula>-0.03</formula>
    </cfRule>
  </conditionalFormatting>
  <conditionalFormatting sqref="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BJ230 BJ231 BJ232 BJ233 BJ234 BJ235 BJ236 BJ237 BJ238 BJ239 BJ240 BJ241 BJ242 BJ243 BJ244 BJ245 BJ246 BJ247 BJ248 BJ249 BJ250 BJ251 BJ252 BJ253 BJ254 BJ255 BJ256 BJ257 BJ258 BJ259 BJ260 BJ261 BJ262 BJ263 BJ264 BJ265 BJ266 BJ267 BJ268 BJ269 BJ270 BJ271 BJ272 BJ273 BJ274 BJ275 BJ276 BJ277 BJ278 BJ279 BJ280 BJ281 BJ282 BJ283 BJ284 BJ285 BJ286 BJ287 BJ289">
    <cfRule type="cellIs" dxfId="21" priority="9" operator="greaterThanOrEqual">
      <formula>0.03</formula>
    </cfRule>
    <cfRule type="cellIs" dxfId="20" priority="10"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BK44 BK45 BK46 BK47 BK48 BK49 BK50 BK51 BK52 BK53 BK54 BK55 BK56 BK57 BK58 BK59 BK60 BK61 BK62 BK63 BK64 BK65 BK66 BK67 BK68 BK69 BK70 BK71 BK72 BK73 BK74 BK75 BK76 BK77 BK78 BK79 BK80 BK81 BK82 BK83 BK84 BK85 BK86 BK87 BK88 BK89 BK90 BK91 BK92 BK93 BK94 BK95 BK96 BK97 BK98 BK99 BK100 BK101 BK102 BK103 BK104 BK105 BK106 BK107 BK108 BK109 BK110 BK111 BK112 BK113 BK114 BK115 BK116 BK117 BK118 BK119 BK120 BK121 BK122 BK123 BK124 BK125 BK126 BK127 BK128 BK129 BK130 BK131 BK132 BK133 BK134 BK135 BK136 BK137 BK138 BK139 BK140 BK141 BK142 BK143 BK144 BK145 BK146 BK147 BK148 BK149 BK150 BK151 BK152 BK153 BK154 BK155 BK156 BK157 BK158 BK159 BK160 BK161 BK162 BK163 BK164 BK165 BK166 BK167 BK168 BK169 BK170 BK171 BK172 BK173 BK174 BK175 BK176 BK177 BK178 BK179 BK180 BK181 BK182 BK183 BK184 BK185 BK186 BK187 BK188 BK189 BK190 BK191 BK192 BK193 BK194 BK195 BK196 BK197 BK198 BK199 BK200 BK201 BK202 BK203 BK204 BK205 BK206 BK207 BK208 BK209 BK210 BK211 BK212 BK213 BK214 BK215 BK216 BK217 BK218 BK219 BK220 BK221 BK222 BK223 BK224 BK225 BK226 BK227 BK228 BK229 BK230 BK231 BK232 BK233 BK234 BK235 BK236 BK237 BK238 BK239 BK240 BK241 BK242 BK243 BK244 BK245 BK246 BK247 BK248 BK249 BK250 BK251 BK252 BK253 BK254 BK255 BK256 BK257 BK258 BK259 BK260 BK261 BK262 BK263 BK264 BK265 BK266 BK267 BK268 BK269 BK270 BK271 BK272 BK273 BK274 BK275 BK276 BK277 BK278 BK279 BK280 BK281 BK282 BK283 BK284 BK285 BK286 BK287 BK289">
    <cfRule type="cellIs" dxfId="19" priority="27" operator="greaterThanOrEqual">
      <formula>0.03</formula>
    </cfRule>
    <cfRule type="cellIs" dxfId="18" priority="28"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BL44 BL45 BL46 BL47 BL48 BL49 BL50 BL51 BL52 BL53 BL54 BL55 BL56 BL57 BL58 BL59 BL60 BL61 BL62 BL63 BL64 BL65 BL66 BL67 BL68 BL69 BL70 BL71 BL72 BL73 BL74 BL75 BL76 BL77 BL78 BL79 BL80 BL81 BL82 BL83 BL84 BL85 BL86 BL87 BL88 BL89 BL90 BL91 BL92 BL93 BL94 BL95 BL96 BL97 BL98 BL99 BL100 BL101 BL102 BL103 BL104 BL105 BL106 BL107 BL108 BL109 BL110 BL111 BL112 BL113 BL114 BL115 BL116 BL117 BL118 BL119 BL120 BL121 BL122 BL123 BL124 BL125 BL126 BL127 BL128 BL129 BL130 BL131 BL132 BL133 BL134 BL135 BL136 BL137 BL138 BL139 BL140 BL141 BL142 BL143 BL144 BL145 BL146 BL147 BL148 BL149 BL150 BL151 BL152 BL153 BL154 BL155 BL156 BL157 BL158 BL159 BL160 BL161 BL162 BL163 BL164 BL165 BL166 BL167 BL168 BL169 BL170 BL171 BL172 BL173 BL174 BL175 BL176 BL177 BL178 BL179 BL180 BL181 BL182 BL183 BL184 BL185 BL186 BL187 BL188 BL189 BL190 BL191 BL192 BL193 BL194 BL195 BL196 BL197 BL198 BL199 BL200 BL201 BL202 BL203 BL204 BL205 BL206 BL207 BL208 BL209 BL210 BL211 BL212 BL213 BL214 BL215 BL216 BL217 BL218 BL219 BL220 BL221 BL222 BL223 BL224 BL225 BL226 BL227 BL228 BL229 BL230 BL231 BL232 BL233 BL234 BL235 BL236 BL237 BL238 BL239 BL240 BL241 BL242 BL243 BL244 BL245 BL246 BL247 BL248 BL249 BL250 BL251 BL252 BL253 BL254 BL255 BL256 BL257 BL258 BL259 BL260 BL261 BL262 BL263 BL264 BL265 BL266 BL267 BL268 BL269 BL270 BL271 BL272 BL273 BL274 BL275 BL276 BL277 BL278 BL279 BL280 BL281 BL282 BL283 BL284 BL287 BL288 BL289">
    <cfRule type="cellIs" dxfId="17" priority="11" operator="greaterThanOrEqual">
      <formula>0.03</formula>
    </cfRule>
    <cfRule type="cellIs" dxfId="16" priority="12"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BN44 BN45 BN46 BN47 BN48 BN49 BN50 BN51 BN52 BN53 BN54 BN55 BN56 BN57 BN58 BN59 BN60 BN61 BN62 BN63 BN64 BN65 BN66 BN67 BN68 BN69 BN70 BN71 BN72 BN73 BN74 BN75 BN76 BN77 BN78 BN79 BN80 BN81 BN82 BN83 BN84 BN85 BN86 BN87 BN88 BN89 BN90 BN91 BN92 BN93 BN94 BN95 BN96 BN97 BN98 BN99 BN100 BN101 BN102 BN103 BN104 BN105 BN106 BN107 BN108 BN109 BN110 BN111 BN112 BN113 BN114 BN115 BN116 BN117 BN118 BN119 BN120 BN121 BN122 BN123 BN124 BN125 BN126 BN127 BN128 BN129 BN130 BN131 BN132 BN133 BN134 BN135 BN136 BN137 BN138 BN139 BN140 BN141 BN142 BN143 BN144 BN145 BN146 BN147 BN148 BN149 BN150 BN151 BN152 BN153 BN154 BN155 BN156 BN157 BN158 BN159 BN160 BN161 BN162 BN163 BN164 BN165 BN166 BN167 BN168 BN169 BN170 BN171 BN172 BN173 BN174 BN175 BN176 BN177 BN178 BN179 BN180 BN181 BN182 BN183 BN184 BN185 BN186 BN187 BN188 BN189 BN190 BN191 BN192 BN193 BN194 BN195 BN196 BN197 BN198 BN199 BN200 BN201 BN202 BN203 BN204 BN205 BN206 BN207 BN208 BN209 BN210 BN211 BN212 BN213 BN214 BN215 BN216 BN217 BN218 BN219 BN220 BN221 BN222 BN223 BN224 BN225 BN226 BN227 BN228 BN229 BN230 BN231 BN232 BN233 BN234 BN235 BN236 BN237 BN238 BN239 BN240 BN241 BN242 BN243 BN244 BN245 BN246 BN247 BN248 BN249 BN250 BN251 BN252 BN253 BN254 BN255 BN256 BN257 BN258 BN259 BN260 BN261 BN262 BN263 BN264 BN265 BN266 BN267 BN268 BN269 BN270 BN271 BN272 BN273 BN274 BN275 BN276 BN277 BN278 BN279 BN280 BN281 BN282 BN283 BN284 BN285 BN286 BN287 BN289">
    <cfRule type="cellIs" dxfId="15" priority="7" operator="greaterThanOrEqual">
      <formula>0.03</formula>
    </cfRule>
    <cfRule type="cellIs" dxfId="14" priority="8" operator="lessThanOrEqual">
      <formula>-0.03</formula>
    </cfRule>
  </conditionalFormatting>
  <conditionalFormatting sqref="BO5 BO6 BO7 BO8 BO9 BO10 BO11 BO12 BO13 BO14 BO15 BO16 BO17 BO18 BO19 BO20 BO21 BO22 BO23 BO24 BO25 BO26 BO27 BO28 BO29 BO30 BO31 BO32 BO33 BO34 BO35 BO36 BO37 BO38 BO39 BO40 BO41 BO42 BO43 BO44 BO45 BO46 BO47 BO48 BO49 BO50 BO51 BO52 BO53 BO54 BO55 BO56 BO57 BO58 BO59 BO60 BO61 BO62 BO63 BO64 BO65 BO66 BO67 BO68 BO69 BO70 BO71 BO72 BO73 BO74 BO75 BO76 BO77 BO78 BO79 BO80 BO81 BO82 BO83 BO84 BO85 BO86 BO87 BO88 BO89 BO90 BO91 BO92 BO93 BO94 BO95 BO96 BO97 BO98 BO99 BO100 BO101 BO102 BO103 BO104 BO105 BO106 BO107 BO108 BO109 BO110 BO111 BO112 BO113 BO114 BO115 BO116 BO117 BO118 BO119 BO120 BO121 BO122 BO123 BO124 BO125 BO126 BO127 BO128 BO129 BO130 BO131 BO132 BO133 BO134 BO135 BO136 BO137 BO138 BO139 BO140 BO141 BO142 BO143 BO144 BO145 BO146 BO147 BO148 BO149 BO150 BO151 BO152 BO153 BO154 BO155 BO156 BO157 BO158 BO159 BO160 BO161 BO162 BO163 BO164 BO165 BO166 BO167 BO168 BO169 BO170 BO171 BO172 BO173 BO174 BO175 BO176 BO177 BO178 BO179 BO180 BO181 BO182 BO183 BO184 BO185 BO186 BO187 BO188 BO189 BO190 BO191 BO192 BO193 BO194 BO195 BO196 BO197 BO198 BO199 BO200 BO201 BO202 BO203 BO204 BO205 BO206 BO207 BO208 BO209 BO210 BO211 BO212 BO213 BO214 BO215 BO216 BO217 BO218 BO219 BO220 BO221 BO222 BO223 BO224 BO225 BO226 BO227 BO228 BO229 BO230 BO231 BO232 BO233 BO234 BO235 BO236 BO237 BO238 BO239 BO240 BO241 BO242 BO243 BO244 BO245 BO246 BO247 BO248 BO249 BO250 BO251 BO252 BO253 BO254 BO255 BO256 BO257 BO258 BO259 BO260 BO261 BO262 BO263 BO264 BO265 BO266 BO267 BO268 BO269 BO270 BO271 BO272 BO273 BO274 BO275 BO276 BO277 BO278 BO279 BO280 BO281 BO282 BO283 BO284 BO285 BO286 BO287 BO289">
    <cfRule type="cellIs" dxfId="13" priority="19" operator="greaterThanOrEqual">
      <formula>0.03</formula>
    </cfRule>
    <cfRule type="cellIs" dxfId="12" priority="20"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BP44 BP45 BP46 BP47 BP48 BP49 BP50 BP51 BP52 BP53 BP54 BP55 BP56 BP57 BP58 BP59 BP60 BP61 BP62 BP63 BP64 BP65 BP66 BP67 BP68 BP69 BP70 BP71 BP72 BP73 BP74 BP75 BP76 BP77 BP78 BP79 BP80 BP81 BP82 BP83 BP84 BP85 BP86 BP87 BP88 BP89 BP90 BP91 BP92 BP93 BP94 BP95 BP96 BP97 BP98 BP99 BP100 BP101 BP102 BP103 BP104 BP105 BP106 BP107 BP108 BP109 BP110 BP111 BP112 BP113 BP114 BP115 BP116 BP117 BP118 BP119 BP120 BP121 BP122 BP123 BP124 BP125 BP126 BP127 BP128 BP129 BP130 BP131 BP132 BP133 BP134 BP135 BP136 BP137 BP138 BP139 BP140 BP141 BP142 BP143 BP144 BP145 BP146 BP147 BP148 BP149 BP150 BP151 BP152 BP153 BP154 BP155 BP156 BP157 BP158 BP159 BP160 BP161 BP162 BP163 BP164 BP165 BP166 BP167 BP168 BP169 BP170 BP171 BP172 BP173 BP174 BP175 BP176 BP177 BP178 BP179 BP180 BP181 BP182 BP183 BP184 BP185 BP186 BP187 BP188 BP189 BP190 BP191 BP192 BP193 BP194 BP195 BP196 BP197 BP198 BP199 BP200 BP201 BP202 BP203 BP204 BP205 BP206 BP207 BP208 BP209 BP210 BP211 BP212 BP213 BP214 BP215 BP216 BP217 BP218 BP219 BP220 BP221 BP222 BP223 BP224 BP225 BP226 BP227 BP228 BP229 BP230 BP231 BP232 BP233 BP234 BP235 BP236 BP237 BP238 BP239 BP240 BP241 BP242 BP243 BP244 BP245 BP246 BP247 BP248 BP249 BP250 BP251 BP252 BP253 BP254 BP255 BP256 BP257 BP258 BP259 BP260 BP261 BP262 BP263 BP264 BP265 BP266 BP267 BP268 BP269 BP270 BP271 BP272 BP273 BP274 BP275 BP276 BP277 BP278 BP279 BP280 BP281 BP282 BP283 BP284 BP285 BP286 BP287 BP289">
    <cfRule type="cellIs" dxfId="11" priority="5" operator="greaterThanOrEqual">
      <formula>0.03</formula>
    </cfRule>
    <cfRule type="cellIs" dxfId="10" priority="6"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BQ44 BQ45 BQ46 BQ47 BQ48 BQ49 BQ50 BQ51 BQ52 BQ53 BQ54 BQ55 BQ56 BQ57 BQ58 BQ59 BQ60 BQ61 BQ62 BQ63 BQ64 BQ65 BQ66 BQ67 BQ68 BQ69 BQ70 BQ71 BQ72 BQ73 BQ74 BQ75 BQ76 BQ77 BQ78 BQ79 BQ80 BQ81 BQ82 BQ83 BQ84 BQ85 BQ86 BQ87 BQ88 BQ89 BQ90 BQ91 BQ92 BQ93 BQ94 BQ95 BQ96 BQ97 BQ98 BQ99 BQ100 BQ101 BQ102 BQ103 BQ104 BQ105 BQ106 BQ107 BQ108 BQ109 BQ110 BQ111 BQ112 BQ113 BQ114 BQ115 BQ116 BQ117 BQ118 BQ119 BQ120 BQ121 BQ122 BQ123 BQ124 BQ125 BQ126 BQ127 BQ128 BQ129 BQ130 BQ131 BQ132 BQ133 BQ134 BQ135 BQ136 BQ137 BQ138 BQ139 BQ140 BQ141 BQ142 BQ143 BQ144 BQ145 BQ146 BQ147 BQ148 BQ149 BQ150 BQ151 BQ152 BQ153 BQ154 BQ155 BQ156 BQ157 BQ158 BQ159 BQ160 BQ161 BQ162 BQ163 BQ164 BQ165 BQ166 BQ167 BQ168 BQ169 BQ170 BQ171 BQ172 BQ173 BQ174 BQ175 BQ176 BQ177 BQ178 BQ179 BQ180 BQ181 BQ182 BQ183 BQ184 BQ185 BQ186 BQ187 BQ188 BQ189 BQ190 BQ191 BQ192 BQ193 BQ194 BQ195 BQ196 BQ197 BQ198 BQ199 BQ200 BQ201 BQ202 BQ203 BQ204 BQ205 BQ206 BQ207 BQ208 BQ209 BQ210 BQ211 BQ212 BQ213 BQ214 BQ215 BQ216 BQ217 BQ218 BQ219 BQ220 BQ221 BQ222 BQ223 BQ224 BQ225 BQ226 BQ227 BQ228 BQ229 BQ230 BQ231 BQ232 BQ233 BQ234 BQ235 BQ236 BQ237 BQ238 BQ239 BQ240 BQ241 BQ242 BQ243 BQ244 BQ245 BQ246 BQ247 BQ248 BQ249 BQ250 BQ251 BQ252 BQ253 BQ254 BQ255 BQ256 BQ257 BQ258 BQ259 BQ260 BQ261 BQ262 BQ263 BQ264 BQ265 BQ266 BQ267 BQ268 BQ269 BQ270 BQ271 BQ272 BQ273 BQ274 BQ275 BQ276 BQ277 BQ278 BQ279 BQ280 BQ281 BQ282 BQ283 BQ284 BQ287 BQ288 BQ289">
    <cfRule type="cellIs" dxfId="9" priority="23" operator="greaterThanOrEqual">
      <formula>0.03</formula>
    </cfRule>
    <cfRule type="cellIs" dxfId="8" priority="2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BS44 BS45 BS46 BS47 BS48 BS49 BS50 BS51 BS52 BS53 BS54 BS55 BS56 BS57 BS58 BS59 BS60 BS61 BS62 BS63 BS64 BS65 BS66 BS67 BS68 BS69 BS70 BS71 BS72 BS73 BS74 BS75 BS76 BS77 BS78 BS79 BS80 BS81 BS82 BS83 BS84 BS85 BS86 BS87 BS88 BS89 BS90 BS91 BS92 BS93 BS94 BS95 BS96 BS97 BS98 BS99 BS100 BS101 BS102 BS103 BS104 BS105 BS106 BS107 BS108 BS109 BS110 BS111 BS112 BS113 BS114 BS115 BS116 BS117 BS118 BS119 BS120 BS121 BS122 BS123 BS124 BS125 BS126 BS127 BS128 BS129 BS130 BS131 BS132 BS133 BS134 BS135 BS136 BS137 BS138 BS139 BS140 BS141 BS142 BS143 BS144 BS145 BS146 BS147 BS148 BS149 BS150 BS151 BS152 BS153 BS154 BS155 BS156 BS157 BS158 BS159 BS160 BS161 BS162 BS163 BS164 BS165 BS166 BS167 BS168 BS169 BS170 BS171 BS172 BS173 BS174 BS175 BS176 BS177 BS178 BS179 BS180 BS181 BS182 BS183 BS184 BS185 BS186 BS187 BS188 BS189 BS190 BS191 BS192 BS193 BS194 BS195 BS196 BS197 BS198 BS199 BS200 BS201 BS202 BS203 BS204 BS205 BS206 BS207 BS208 BS209 BS210 BS211 BS212 BS213 BS214 BS215 BS216 BS217 BS218 BS219 BS220 BS221 BS222 BS223 BS224 BS225 BS226 BS227 BS228 BS229 BS230 BS231 BS232 BS233 BS234 BS235 BS236 BS237 BS238 BS239 BS240 BS241 BS242 BS243 BS244 BS245 BS246 BS247 BS248 BS249 BS250 BS251 BS252 BS253 BS254 BS255 BS256 BS257 BS258 BS259 BS260 BS261 BS262 BS263 BS264 BS265 BS266 BS267 BS268 BS269 BS270 BS271 BS272 BS273 BS274 BS275 BS276 BS277 BS278 BS279 BS280 BS281 BS282 BS283 BS284 BS285 BS286 BS287 BS289">
    <cfRule type="cellIs" dxfId="7" priority="31" operator="greaterThanOrEqual">
      <formula>0.03</formula>
    </cfRule>
    <cfRule type="cellIs" dxfId="6" priority="32"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BT44 BT45 BT46 BT47 BT48 BT49 BT50 BT51 BT52 BT53 BT54 BT55 BT56 BT57 BT58 BT59 BT60 BT61 BT62 BT63 BT64 BT65 BT66 BT67 BT68 BT69 BT70 BT71 BT72 BT73 BT74 BT75 BT76 BT77 BT78 BT79 BT80 BT81 BT82 BT83 BT84 BT85 BT86 BT87 BT88 BT89 BT90 BT91 BT92 BT93 BT94 BT95 BT96 BT97 BT98 BT99 BT100 BT101 BT102 BT103 BT104 BT105 BT106 BT107 BT108 BT109 BT110 BT111 BT112 BT113 BT114 BT115 BT116 BT117 BT118 BT119 BT120 BT121 BT122 BT123 BT124 BT125 BT126 BT127 BT128 BT129 BT130 BT131 BT132 BT133 BT134 BT135 BT136 BT137 BT138 BT139 BT140 BT141 BT142 BT143 BT144 BT145 BT146 BT147 BT148 BT149 BT150 BT151 BT152 BT153 BT154 BT155 BT156 BT157 BT158 BT159 BT160 BT161 BT162 BT163 BT164 BT165 BT166 BT167 BT168 BT169 BT170 BT171 BT172 BT173 BT174 BT175 BT176 BT177 BT178 BT179 BT180 BT181 BT182 BT183 BT184 BT185 BT186 BT187 BT188 BT189 BT190 BT191 BT192 BT193 BT194 BT195 BT196 BT197 BT198 BT199 BT200 BT201 BT202 BT203 BT204 BT205 BT206 BT207 BT208 BT209 BT210 BT211 BT212 BT213 BT214 BT215 BT216 BT217 BT218 BT219 BT220 BT221 BT222 BT223 BT224 BT225 BT226 BT227 BT228 BT229 BT230 BT231 BT232 BT233 BT234 BT235 BT236 BT237 BT238 BT239 BT240 BT241 BT242 BT243 BT244 BT245 BT246 BT247 BT248 BT249 BT250 BT251 BT252 BT253 BT254 BT255 BT256 BT257 BT258 BT259 BT260 BT261 BT262 BT263 BT264 BT265 BT266 BT267 BT268 BT269 BT270 BT271 BT272 BT273 BT274 BT275 BT276 BT277 BT278 BT279 BT280 BT281 BT282 BT283 BT284 BT285 BT286 BT287 BT289">
    <cfRule type="cellIs" dxfId="5" priority="3" operator="greaterThanOrEqual">
      <formula>0.03</formula>
    </cfRule>
    <cfRule type="cellIs" dxfId="4" priority="4" operator="lessThanOrEqual">
      <formula>-0.03</formula>
    </cfRule>
  </conditionalFormatting>
  <conditionalFormatting sqref="BU5 BU6 BU7 BU8 BU9 BU10 BU11 BU12 BU13 BU14 BU15 BU16 BU17 BU18 BU19 BU20 BU21 BU22 BU23 BU24 BU25 BU26 BU27 BU28 BU29 BU30 BU31 BU32 BU33 BU34 BU35 BU36 BU37 BU38 BU39 BU40 BU41 BU42 BU43 BU44 BU45 BU46 BU47 BU48 BU49 BU50 BU51 BU52 BU53 BU54 BU55 BU56 BU57 BU58 BU59 BU60 BU61 BU62 BU63 BU64 BU65 BU66 BU67 BU68 BU69 BU70 BU71 BU72 BU73 BU74 BU75 BU76 BU77 BU78 BU79 BU80 BU81 BU82 BU83 BU84 BU85 BU86 BU87 BU88 BU89 BU90 BU91 BU92 BU93 BU94 BU95 BU96 BU97 BU98 BU99 BU100 BU101 BU102 BU103 BU104 BU105 BU106 BU107 BU108 BU109 BU110 BU111 BU112 BU113 BU114 BU115 BU116 BU117 BU118 BU119 BU120 BU121 BU122 BU123 BU124 BU125 BU126 BU127 BU128 BU129 BU130 BU131 BU132 BU133 BU134 BU135 BU136 BU137 BU138 BU139 BU140 BU141 BU142 BU143 BU144 BU145 BU146 BU147 BU148 BU149 BU150 BU151 BU152 BU153 BU154 BU155 BU156 BU157 BU158 BU159 BU160 BU161 BU162 BU163 BU164 BU165 BU166 BU167 BU168 BU169 BU170 BU171 BU172 BU173 BU174 BU175 BU176 BU177 BU178 BU179 BU180 BU181 BU182 BU183 BU184 BU185 BU186 BU187 BU188 BU189 BU190 BU191 BU192 BU193 BU194 BU195 BU196 BU197 BU198 BU199 BU200 BU201 BU202 BU203 BU204 BU205 BU206 BU207 BU208 BU209 BU210 BU211 BU212 BU213 BU214 BU215 BU216 BU217 BU218 BU219 BU220 BU221 BU222 BU223 BU224 BU225 BU226 BU227 BU228 BU229 BU230 BU231 BU232 BU233 BU234 BU235 BU236 BU237 BU238 BU239 BU240 BU241 BU242 BU243 BU244 BU245 BU246 BU247 BU248 BU249 BU250 BU251 BU252 BU253 BU254 BU255 BU256 BU257 BU258 BU259 BU260 BU261 BU262 BU263 BU264 BU265 BU266 BU267 BU268 BU269 BU270 BU271 BU272 BU273 BU274 BU275 BU276 BU277 BU278 BU279 BU280 BU281 BU282 BU283 BU284 BU285 BU286 BU287 BU289">
    <cfRule type="cellIs" dxfId="3" priority="15" operator="greaterThanOrEqual">
      <formula>0.03</formula>
    </cfRule>
    <cfRule type="cellIs" dxfId="2" priority="16" operator="lessThanOrEqual">
      <formula>-0.03</formula>
    </cfRule>
  </conditionalFormatting>
  <conditionalFormatting sqref="BV5 BV6 BV7 BV8 BV9 BV10 BV11 BV12 BV13 BV14 BV15 BV16 BV17 BV18 BV19 BV20 BV21 BV22 BV23 BV24 BV25 BV26 BV27 BV28 BV29 BV30 BV31 BV32 BV33 BV34 BV35 BV36 BV37 BV38 BV39 BV40 BV41 BV42 BV43 BV44 BV45 BV46 BV47 BV48 BV49 BV50 BV51 BV52 BV53 BV54 BV55 BV56 BV57 BV58 BV59 BV60 BV61 BV62 BV63 BV64 BV65 BV66 BV67 BV68 BV69 BV70 BV71 BV72 BV73 BV74 BV75 BV76 BV77 BV78 BV79 BV80 BV81 BV82 BV83 BV84 BV85 BV86 BV87 BV88 BV89 BV90 BV91 BV92 BV93 BV94 BV95 BV96 BV97 BV98 BV99 BV100 BV101 BV102 BV103 BV104 BV105 BV106 BV107 BV108 BV109 BV110 BV111 BV112 BV113 BV114 BV115 BV116 BV117 BV118 BV119 BV120 BV121 BV122 BV123 BV124 BV125 BV126 BV127 BV128 BV129 BV130 BV131 BV132 BV133 BV134 BV135 BV136 BV137 BV138 BV139 BV140 BV141 BV142 BV143 BV144 BV145 BV146 BV147 BV148 BV149 BV150 BV151 BV152 BV153 BV154 BV155 BV156 BV157 BV158 BV159 BV160 BV161 BV162 BV163 BV164 BV165 BV166 BV167 BV168 BV169 BV170 BV171 BV172 BV173 BV174 BV175 BV176 BV177 BV178 BV179 BV180 BV181 BV182 BV183 BV184 BV185 BV186 BV187 BV188 BV189 BV190 BV191 BV192 BV193 BV194 BV195 BV196 BV197 BV198 BV199 BV200 BV201 BV202 BV203 BV204 BV205 BV206 BV207 BV208 BV209 BV210 BV211 BV212 BV213 BV214 BV215 BV216 BV217 BV218 BV219 BV220 BV221 BV222 BV223 BV224 BV225 BV226 BV227 BV228 BV229 BV230 BV231 BV232 BV233 BV234 BV235 BV236 BV237 BV238 BV239 BV240 BV241 BV242 BV243 BV244 BV245 BV246 BV247 BV248 BV249 BV250 BV251 BV252 BV253 BV254 BV255 BV256 BV257 BV258 BV259 BV260 BV261 BV262 BV263 BV264 BV265 BV266 BV267 BV268 BV269 BV270 BV271 BV272 BV273 BV274 BV275 BV276 BV277 BV278 BV279 BV280 BV281 BV282 BV283 BV284 BV287 BV288 BV289">
    <cfRule type="cellIs" dxfId="1" priority="17" operator="greaterThanOrEqual">
      <formula>0.03</formula>
    </cfRule>
    <cfRule type="cellIs" dxfId="0" priority="18"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1</vt:i4>
      </vt:variant>
    </vt:vector>
  </HeadingPairs>
  <TitlesOfParts>
    <vt:vector size="8" baseType="lpstr">
      <vt:lpstr>Summary</vt:lpstr>
      <vt:lpstr>Graphs</vt:lpstr>
      <vt:lpstr>C1 losslG,lossyA,intra</vt:lpstr>
      <vt:lpstr>names</vt:lpstr>
      <vt:lpstr>C2 lossyG,lossyA,intra</vt:lpstr>
      <vt:lpstr>CW losslG,losslA,intra</vt:lpstr>
      <vt:lpstr>CY losslG,nearllA,intra</vt:lpstr>
      <vt:lpstr>Graphs!all_cols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N18883</dc:title>
  <cp:lastModifiedBy>Windows 用户</cp:lastModifiedBy>
  <dcterms:created xsi:type="dcterms:W3CDTF">2019-11-21T08:32:50Z</dcterms:created>
  <dcterms:modified xsi:type="dcterms:W3CDTF">2020-09-29T23:18:07Z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&lt;davidflynn@apple.com&gt;</vt:lpwstr>
  </property>
  <property fmtid="{D5CDD505-2E9C-101B-9397-08002B2CF9AE}" pid="3" name="Generated from">
    <vt:lpwstr>ctc-mpeg127-1-g7570c8c
</vt:lpwstr>
  </property>
  <property fmtid="{D5CDD505-2E9C-101B-9397-08002B2CF9AE}" pid="4" name="Generated on">
    <vt:filetime>2019-11-21T08:32:50Z</vt:filetime>
  </property>
</Properties>
</file>